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jit raut\Desktop\Assignments to be submitted\"/>
    </mc:Choice>
  </mc:AlternateContent>
  <xr:revisionPtr revIDLastSave="0" documentId="13_ncr:1_{1F8DE91E-AD5A-447E-AF06-247B0A8E0A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a="1"/>
  <c r="R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<sst xmlns="http://schemas.openxmlformats.org/spreadsheetml/2006/main" count="28072" uniqueCount="6222">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</sst>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4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21"/>
  <sheetViews>
    <sheetView tabSelected="1" topLeftCell="K274" workbookViewId="0">
      <selection activeCell="S10" sqref="S10:S9621"/>
    </sheetView>
  </sheetViews>
  <sheetFormatPr defaultRowHeight="15" x14ac:dyDescent="0.25"/>
  <cols>
    <col min="1" max="1" width="14.140625" bestFit="1" customWidth="1"/>
    <col min="2" max="2" width="21.7109375" bestFit="1" customWidth="1"/>
    <col min="3" max="3" width="15" bestFit="1" customWidth="1"/>
    <col min="4" max="4" width="20.7109375" bestFit="1" customWidth="1"/>
    <col min="5" max="5" width="17" bestFit="1" customWidth="1"/>
    <col min="6" max="6" width="22.28515625" bestFit="1" customWidth="1"/>
    <col min="7" max="7" width="30.140625" customWidth="1"/>
    <col min="8" max="8" width="24.85546875" bestFit="1" customWidth="1"/>
    <col min="9" max="9" width="38.42578125" customWidth="1"/>
    <col min="10" max="10" width="8.140625" bestFit="1" customWidth="1"/>
    <col min="11" max="11" width="7.42578125" bestFit="1" customWidth="1"/>
    <col min="12" max="12" width="12" bestFit="1" customWidth="1"/>
    <col min="13" max="13" width="14.140625" bestFit="1" customWidth="1"/>
    <col min="14" max="14" width="15.140625" bestFit="1" customWidth="1"/>
    <col min="15" max="15" width="15.42578125" bestFit="1" customWidth="1"/>
    <col min="16" max="16" width="24.28515625" bestFit="1" customWidth="1"/>
    <col min="17" max="17" width="20.5703125" bestFit="1" customWidth="1"/>
    <col min="18" max="18" width="17.140625" bestFit="1" customWidth="1"/>
    <col min="19" max="19" width="33.28515625" bestFit="1" customWidth="1"/>
    <col min="20" max="20" width="9" bestFit="1" customWidth="1"/>
    <col min="21" max="21" width="15" bestFit="1" customWidth="1"/>
  </cols>
  <sheetData>
    <row r="1" spans="1:21" ht="15.75" x14ac:dyDescent="0.25">
      <c r="T1" s="1" t="s">
        <v>0</v>
      </c>
      <c r="U1" s="1" t="s">
        <v>1</v>
      </c>
    </row>
    <row r="2" spans="1:21" x14ac:dyDescent="0.25">
      <c r="T2" s="2">
        <v>0</v>
      </c>
      <c r="U2" s="3">
        <v>0.02</v>
      </c>
    </row>
    <row r="3" spans="1:21" x14ac:dyDescent="0.25">
      <c r="T3" s="2">
        <v>5000</v>
      </c>
      <c r="U3" s="3">
        <v>0.05</v>
      </c>
    </row>
    <row r="4" spans="1:21" x14ac:dyDescent="0.25">
      <c r="T4" s="2">
        <v>25000</v>
      </c>
      <c r="U4" s="3">
        <v>7.0000000000000007E-2</v>
      </c>
    </row>
    <row r="5" spans="1:21" x14ac:dyDescent="0.25">
      <c r="T5" s="2">
        <v>50000</v>
      </c>
      <c r="U5" s="3">
        <v>0.09</v>
      </c>
    </row>
    <row r="6" spans="1:21" x14ac:dyDescent="0.25">
      <c r="T6" s="2">
        <v>100000</v>
      </c>
      <c r="U6" s="3">
        <v>0.12</v>
      </c>
    </row>
    <row r="7" spans="1:21" x14ac:dyDescent="0.25">
      <c r="G7" s="23" t="s">
        <v>6221</v>
      </c>
      <c r="H7" s="23"/>
      <c r="I7" s="23"/>
      <c r="M7" s="22" t="s">
        <v>6215</v>
      </c>
      <c r="N7" s="22" t="s">
        <v>6216</v>
      </c>
      <c r="P7" s="22" t="s">
        <v>6217</v>
      </c>
      <c r="Q7" s="22" t="s">
        <v>6218</v>
      </c>
      <c r="S7" s="22" t="s">
        <v>6219</v>
      </c>
      <c r="T7" s="2">
        <v>250000</v>
      </c>
      <c r="U7" s="3">
        <v>0.15</v>
      </c>
    </row>
    <row r="8" spans="1:21" x14ac:dyDescent="0.25">
      <c r="S8" s="22" t="s">
        <v>6220</v>
      </c>
    </row>
    <row r="9" spans="1:21" ht="15.75" x14ac:dyDescent="0.25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25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VLOOKUP(F10,'Customer Info'!$A:$B,2,0)</f>
        <v>Cari</v>
      </c>
      <c r="H10" s="6" t="str">
        <f>VLOOKUP(F10,'Customer Info'!$A$1:$C$501,3,0)</f>
        <v>Sayre</v>
      </c>
      <c r="I10" s="6" t="str">
        <f>VLOOKUP(F10,Customer,5,0)</f>
        <v>Recklinghausen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N10+O10</f>
        <v>3721</v>
      </c>
      <c r="Q10" s="8">
        <f>N10-M10</f>
        <v>236</v>
      </c>
      <c r="R10" s="2" t="s">
        <v>26</v>
      </c>
      <c r="S10" s="24">
        <f>VLOOKUP(N10,$T$1:$U$7,2,TRUE)</f>
        <v>0.02</v>
      </c>
    </row>
    <row r="11" spans="1:21" x14ac:dyDescent="0.25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VLOOKUP(F11,'Customer Info'!$A:$B,2,0)</f>
        <v>Michael</v>
      </c>
      <c r="H11" s="6" t="str">
        <f>VLOOKUP(F11,'Customer Info'!$A$1:$C$501,3,0)</f>
        <v>Granlund</v>
      </c>
      <c r="I11" s="6" t="str">
        <f>VLOOKUP(F11,Customer,5,0)</f>
        <v>Sydney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8">
        <f t="shared" ref="P11:P74" si="2">N11+O11</f>
        <v>28879</v>
      </c>
      <c r="Q11" s="8">
        <f t="shared" ref="Q11:Q74" si="3">N11-M11</f>
        <v>2100</v>
      </c>
      <c r="R11" s="2" t="s">
        <v>28</v>
      </c>
      <c r="S11" s="24">
        <f t="shared" ref="S11:S74" si="4">VLOOKUP(N11,$T$1:$U$7,2,TRUE)</f>
        <v>7.0000000000000007E-2</v>
      </c>
    </row>
    <row r="12" spans="1:21" x14ac:dyDescent="0.25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VLOOKUP(F12,'Customer Info'!$A:$B,2,0)</f>
        <v>Muhammed</v>
      </c>
      <c r="H12" s="6" t="str">
        <f>VLOOKUP(F12,'Customer Info'!$A$1:$C$501,3,0)</f>
        <v>Lee</v>
      </c>
      <c r="I12" s="6" t="str">
        <f>VLOOKUP(F12,Customer,5,0)</f>
        <v>Nellore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402</v>
      </c>
      <c r="R12" s="2" t="s">
        <v>28</v>
      </c>
      <c r="S12" s="24">
        <f t="shared" si="4"/>
        <v>0.05</v>
      </c>
    </row>
    <row r="13" spans="1:21" x14ac:dyDescent="0.25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VLOOKUP(F13,'Customer Info'!$A:$B,2,0)</f>
        <v>Rick</v>
      </c>
      <c r="H13" s="6" t="str">
        <f>VLOOKUP(F13,'Customer Info'!$A$1:$C$501,3,0)</f>
        <v>Duston</v>
      </c>
      <c r="I13" s="6" t="str">
        <f>VLOOKUP(F13,Customer,5,0)</f>
        <v>Bhiwandi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234</v>
      </c>
      <c r="R13" s="2" t="s">
        <v>28</v>
      </c>
      <c r="S13" s="24">
        <f t="shared" si="4"/>
        <v>0.02</v>
      </c>
    </row>
    <row r="14" spans="1:21" x14ac:dyDescent="0.25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VLOOKUP(F14,'Customer Info'!$A:$B,2,0)</f>
        <v>Steve</v>
      </c>
      <c r="H14" s="6" t="str">
        <f>VLOOKUP(F14,'Customer Info'!$A$1:$C$501,3,0)</f>
        <v>Nguyen</v>
      </c>
      <c r="I14" s="6" t="str">
        <f>VLOOKUP(F14,Customer,5,0)</f>
        <v>Delhi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128</v>
      </c>
      <c r="R14" s="2" t="s">
        <v>28</v>
      </c>
      <c r="S14" s="24">
        <f t="shared" si="4"/>
        <v>0.05</v>
      </c>
    </row>
    <row r="15" spans="1:21" x14ac:dyDescent="0.25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VLOOKUP(F15,'Customer Info'!$A:$B,2,0)</f>
        <v>Michael</v>
      </c>
      <c r="H15" s="6" t="str">
        <f>VLOOKUP(F15,'Customer Info'!$A$1:$C$501,3,0)</f>
        <v>Moore</v>
      </c>
      <c r="I15" s="6" t="str">
        <f>VLOOKUP(F15,Customer,5,0)</f>
        <v>Melbourne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30</v>
      </c>
      <c r="R15" s="2" t="s">
        <v>28</v>
      </c>
      <c r="S15" s="24">
        <f t="shared" si="4"/>
        <v>0.02</v>
      </c>
    </row>
    <row r="16" spans="1:21" x14ac:dyDescent="0.25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VLOOKUP(F16,'Customer Info'!$A:$B,2,0)</f>
        <v>Jas</v>
      </c>
      <c r="H16" s="6" t="str">
        <f>VLOOKUP(F16,'Customer Info'!$A$1:$C$501,3,0)</f>
        <v>O'Carroll</v>
      </c>
      <c r="I16" s="6" t="str">
        <f>VLOOKUP(F16,Customer,5,0)</f>
        <v>Essen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466</v>
      </c>
      <c r="R16" s="2" t="s">
        <v>28</v>
      </c>
      <c r="S16" s="24">
        <f t="shared" si="4"/>
        <v>0.05</v>
      </c>
    </row>
    <row r="17" spans="1:19" x14ac:dyDescent="0.25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VLOOKUP(F17,'Customer Info'!$A:$B,2,0)</f>
        <v>Cindy</v>
      </c>
      <c r="H17" s="6" t="str">
        <f>VLOOKUP(F17,'Customer Info'!$A$1:$C$501,3,0)</f>
        <v>Schnelling</v>
      </c>
      <c r="I17" s="6" t="str">
        <f>VLOOKUP(F17,Customer,5,0)</f>
        <v>Balikpapan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30</v>
      </c>
      <c r="R17" s="2" t="s">
        <v>28</v>
      </c>
      <c r="S17" s="24">
        <f t="shared" si="4"/>
        <v>0.02</v>
      </c>
    </row>
    <row r="18" spans="1:19" x14ac:dyDescent="0.25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VLOOKUP(F18,'Customer Info'!$A:$B,2,0)</f>
        <v>Jeremy</v>
      </c>
      <c r="H18" s="6" t="str">
        <f>VLOOKUP(F18,'Customer Info'!$A$1:$C$501,3,0)</f>
        <v>Ellison</v>
      </c>
      <c r="I18" s="6" t="str">
        <f>VLOOKUP(F18,Customer,5,0)</f>
        <v>Jammu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42</v>
      </c>
      <c r="R18" s="2" t="s">
        <v>28</v>
      </c>
      <c r="S18" s="24">
        <f t="shared" si="4"/>
        <v>0.02</v>
      </c>
    </row>
    <row r="19" spans="1:19" x14ac:dyDescent="0.25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VLOOKUP(F19,'Customer Info'!$A:$B,2,0)</f>
        <v>Corinna</v>
      </c>
      <c r="H19" s="6" t="str">
        <f>VLOOKUP(F19,'Customer Info'!$A$1:$C$501,3,0)</f>
        <v>Mitchell</v>
      </c>
      <c r="I19" s="6" t="str">
        <f>VLOOKUP(F19,Customer,5,0)</f>
        <v>Augsburg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46</v>
      </c>
      <c r="R19" s="2" t="s">
        <v>50</v>
      </c>
      <c r="S19" s="24">
        <f t="shared" si="4"/>
        <v>0.02</v>
      </c>
    </row>
    <row r="20" spans="1:19" x14ac:dyDescent="0.25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VLOOKUP(F20,'Customer Info'!$A:$B,2,0)</f>
        <v>Victor</v>
      </c>
      <c r="H20" s="6" t="str">
        <f>VLOOKUP(F20,'Customer Info'!$A$1:$C$501,3,0)</f>
        <v>Preis</v>
      </c>
      <c r="I20" s="6" t="str">
        <f>VLOOKUP(F20,Customer,5,0)</f>
        <v>Melbourne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180</v>
      </c>
      <c r="R20" s="2" t="s">
        <v>28</v>
      </c>
      <c r="S20" s="24">
        <f t="shared" si="4"/>
        <v>0.02</v>
      </c>
    </row>
    <row r="21" spans="1:19" x14ac:dyDescent="0.25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VLOOKUP(F21,'Customer Info'!$A:$B,2,0)</f>
        <v>Jenna</v>
      </c>
      <c r="H21" s="6" t="str">
        <f>VLOOKUP(F21,'Customer Info'!$A$1:$C$501,3,0)</f>
        <v>Caffey</v>
      </c>
      <c r="I21" s="6" t="str">
        <f>VLOOKUP(F21,Customer,5,0)</f>
        <v>Kanpur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18</v>
      </c>
      <c r="R21" s="2" t="s">
        <v>56</v>
      </c>
      <c r="S21" s="24">
        <f t="shared" si="4"/>
        <v>0.02</v>
      </c>
    </row>
    <row r="22" spans="1:19" x14ac:dyDescent="0.25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VLOOKUP(F22,'Customer Info'!$A:$B,2,0)</f>
        <v>Paul</v>
      </c>
      <c r="H22" s="6" t="str">
        <f>VLOOKUP(F22,'Customer Info'!$A$1:$C$501,3,0)</f>
        <v>Knutson</v>
      </c>
      <c r="I22" s="6" t="str">
        <f>VLOOKUP(F22,Customer,5,0)</f>
        <v>Gold Coast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3968</v>
      </c>
      <c r="R22" s="2" t="s">
        <v>50</v>
      </c>
      <c r="S22" s="24">
        <f t="shared" si="4"/>
        <v>7.0000000000000007E-2</v>
      </c>
    </row>
    <row r="23" spans="1:19" x14ac:dyDescent="0.25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VLOOKUP(F23,'Customer Info'!$A:$B,2,0)</f>
        <v>Ryan</v>
      </c>
      <c r="H23" s="6" t="str">
        <f>VLOOKUP(F23,'Customer Info'!$A$1:$C$501,3,0)</f>
        <v>Crowe</v>
      </c>
      <c r="I23" s="6" t="str">
        <f>VLOOKUP(F23,Customer,5,0)</f>
        <v>Kanpur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156</v>
      </c>
      <c r="R23" s="2" t="s">
        <v>28</v>
      </c>
      <c r="S23" s="24">
        <f t="shared" si="4"/>
        <v>0.02</v>
      </c>
    </row>
    <row r="24" spans="1:19" x14ac:dyDescent="0.25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VLOOKUP(F24,'Customer Info'!$A:$B,2,0)</f>
        <v>Kelly</v>
      </c>
      <c r="H24" s="6" t="str">
        <f>VLOOKUP(F24,'Customer Info'!$A$1:$C$501,3,0)</f>
        <v>Collister</v>
      </c>
      <c r="I24" s="6" t="str">
        <f>VLOOKUP(F24,Customer,5,0)</f>
        <v>Tangshan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32</v>
      </c>
      <c r="R24" s="2" t="s">
        <v>56</v>
      </c>
      <c r="S24" s="24">
        <f t="shared" si="4"/>
        <v>0.02</v>
      </c>
    </row>
    <row r="25" spans="1:19" x14ac:dyDescent="0.25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VLOOKUP(F25,'Customer Info'!$A:$B,2,0)</f>
        <v>Adam</v>
      </c>
      <c r="H25" s="6" t="str">
        <f>VLOOKUP(F25,'Customer Info'!$A$1:$C$501,3,0)</f>
        <v>Bellavance</v>
      </c>
      <c r="I25" s="6" t="str">
        <f>VLOOKUP(F25,Customer,5,0)</f>
        <v>Medan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264</v>
      </c>
      <c r="R25" s="2" t="s">
        <v>50</v>
      </c>
      <c r="S25" s="24">
        <f t="shared" si="4"/>
        <v>0.02</v>
      </c>
    </row>
    <row r="26" spans="1:19" x14ac:dyDescent="0.25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VLOOKUP(F26,'Customer Info'!$A:$B,2,0)</f>
        <v>Corey</v>
      </c>
      <c r="H26" s="6" t="str">
        <f>VLOOKUP(F26,'Customer Info'!$A$1:$C$501,3,0)</f>
        <v>Lock</v>
      </c>
      <c r="I26" s="6" t="str">
        <f>VLOOKUP(F26,Customer,5,0)</f>
        <v>Geelong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1260</v>
      </c>
      <c r="R26" s="2" t="s">
        <v>28</v>
      </c>
      <c r="S26" s="24">
        <f t="shared" si="4"/>
        <v>0.05</v>
      </c>
    </row>
    <row r="27" spans="1:19" x14ac:dyDescent="0.25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VLOOKUP(F27,'Customer Info'!$A:$B,2,0)</f>
        <v>Dennis</v>
      </c>
      <c r="H27" s="6" t="str">
        <f>VLOOKUP(F27,'Customer Info'!$A$1:$C$501,3,0)</f>
        <v>Pardue</v>
      </c>
      <c r="I27" s="6" t="str">
        <f>VLOOKUP(F27,Customer,5,0)</f>
        <v>Wollongong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4302</v>
      </c>
      <c r="R27" s="2" t="s">
        <v>28</v>
      </c>
      <c r="S27" s="24">
        <f t="shared" si="4"/>
        <v>0.09</v>
      </c>
    </row>
    <row r="28" spans="1:19" x14ac:dyDescent="0.25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VLOOKUP(F28,'Customer Info'!$A:$B,2,0)</f>
        <v>Lisa</v>
      </c>
      <c r="H28" s="6" t="str">
        <f>VLOOKUP(F28,'Customer Info'!$A$1:$C$501,3,0)</f>
        <v>DeCherney</v>
      </c>
      <c r="I28" s="6" t="str">
        <f>VLOOKUP(F28,Customer,5,0)</f>
        <v>Sydney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76</v>
      </c>
      <c r="R28" s="2" t="s">
        <v>50</v>
      </c>
      <c r="S28" s="24">
        <f t="shared" si="4"/>
        <v>0.02</v>
      </c>
    </row>
    <row r="29" spans="1:19" x14ac:dyDescent="0.25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VLOOKUP(F29,'Customer Info'!$A:$B,2,0)</f>
        <v>Bill</v>
      </c>
      <c r="H29" s="6" t="str">
        <f>VLOOKUP(F29,'Customer Info'!$A$1:$C$501,3,0)</f>
        <v>Stewart</v>
      </c>
      <c r="I29" s="6" t="str">
        <f>VLOOKUP(F29,Customer,5,0)</f>
        <v>Wenling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21</v>
      </c>
      <c r="R29" s="2" t="s">
        <v>50</v>
      </c>
      <c r="S29" s="24">
        <f t="shared" si="4"/>
        <v>0.02</v>
      </c>
    </row>
    <row r="30" spans="1:19" x14ac:dyDescent="0.25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VLOOKUP(F30,'Customer Info'!$A:$B,2,0)</f>
        <v>David</v>
      </c>
      <c r="H30" s="6" t="str">
        <f>VLOOKUP(F30,'Customer Info'!$A$1:$C$501,3,0)</f>
        <v>Kendrick</v>
      </c>
      <c r="I30" s="6" t="str">
        <f>VLOOKUP(F30,Customer,5,0)</f>
        <v>Kunming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320</v>
      </c>
      <c r="R30" s="2" t="s">
        <v>28</v>
      </c>
      <c r="S30" s="24">
        <f t="shared" si="4"/>
        <v>0.05</v>
      </c>
    </row>
    <row r="31" spans="1:19" x14ac:dyDescent="0.25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VLOOKUP(F31,'Customer Info'!$A:$B,2,0)</f>
        <v>Laurel</v>
      </c>
      <c r="H31" s="6" t="str">
        <f>VLOOKUP(F31,'Customer Info'!$A$1:$C$501,3,0)</f>
        <v>Workman</v>
      </c>
      <c r="I31" s="6" t="str">
        <f>VLOOKUP(F31,Customer,5,0)</f>
        <v>Leipzig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666</v>
      </c>
      <c r="R31" s="2" t="s">
        <v>50</v>
      </c>
      <c r="S31" s="24">
        <f t="shared" si="4"/>
        <v>0.05</v>
      </c>
    </row>
    <row r="32" spans="1:19" x14ac:dyDescent="0.25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VLOOKUP(F32,'Customer Info'!$A:$B,2,0)</f>
        <v>Craig</v>
      </c>
      <c r="H32" s="6" t="str">
        <f>VLOOKUP(F32,'Customer Info'!$A$1:$C$501,3,0)</f>
        <v>Carroll</v>
      </c>
      <c r="I32" s="6" t="str">
        <f>VLOOKUP(F32,Customer,5,0)</f>
        <v>Augsburg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60</v>
      </c>
      <c r="R32" s="2" t="s">
        <v>28</v>
      </c>
      <c r="S32" s="24">
        <f t="shared" si="4"/>
        <v>0.02</v>
      </c>
    </row>
    <row r="33" spans="1:19" x14ac:dyDescent="0.25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VLOOKUP(F33,'Customer Info'!$A:$B,2,0)</f>
        <v>Emily</v>
      </c>
      <c r="H33" s="6" t="str">
        <f>VLOOKUP(F33,'Customer Info'!$A$1:$C$501,3,0)</f>
        <v>Burns</v>
      </c>
      <c r="I33" s="6" t="str">
        <f>VLOOKUP(F33,Customer,5,0)</f>
        <v>Adelaide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282</v>
      </c>
      <c r="R33" s="2" t="s">
        <v>28</v>
      </c>
      <c r="S33" s="24">
        <f t="shared" si="4"/>
        <v>0.02</v>
      </c>
    </row>
    <row r="34" spans="1:19" x14ac:dyDescent="0.25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VLOOKUP(F34,'Customer Info'!$A:$B,2,0)</f>
        <v>Erica</v>
      </c>
      <c r="H34" s="6" t="str">
        <f>VLOOKUP(F34,'Customer Info'!$A$1:$C$501,3,0)</f>
        <v>Smith</v>
      </c>
      <c r="I34" s="6" t="str">
        <f>VLOOKUP(F34,Customer,5,0)</f>
        <v>Halle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36</v>
      </c>
      <c r="R34" s="2" t="s">
        <v>28</v>
      </c>
      <c r="S34" s="24">
        <f t="shared" si="4"/>
        <v>0.02</v>
      </c>
    </row>
    <row r="35" spans="1:19" x14ac:dyDescent="0.25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VLOOKUP(F35,'Customer Info'!$A:$B,2,0)</f>
        <v>Thomas</v>
      </c>
      <c r="H35" s="6" t="str">
        <f>VLOOKUP(F35,'Customer Info'!$A$1:$C$501,3,0)</f>
        <v>Brumley</v>
      </c>
      <c r="I35" s="6" t="str">
        <f>VLOOKUP(F35,Customer,5,0)</f>
        <v>Jinan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273</v>
      </c>
      <c r="R35" s="2" t="s">
        <v>28</v>
      </c>
      <c r="S35" s="24">
        <f t="shared" si="4"/>
        <v>0.05</v>
      </c>
    </row>
    <row r="36" spans="1:19" x14ac:dyDescent="0.25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VLOOKUP(F36,'Customer Info'!$A:$B,2,0)</f>
        <v>Justin</v>
      </c>
      <c r="H36" s="6" t="str">
        <f>VLOOKUP(F36,'Customer Info'!$A$1:$C$501,3,0)</f>
        <v>Hirsh</v>
      </c>
      <c r="I36" s="6" t="str">
        <f>VLOOKUP(F36,Customer,5,0)</f>
        <v>Surakarta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1214</v>
      </c>
      <c r="R36" s="2" t="s">
        <v>28</v>
      </c>
      <c r="S36" s="24">
        <f t="shared" si="4"/>
        <v>0.05</v>
      </c>
    </row>
    <row r="37" spans="1:19" x14ac:dyDescent="0.25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VLOOKUP(F37,'Customer Info'!$A:$B,2,0)</f>
        <v>Thomas</v>
      </c>
      <c r="H37" s="6" t="str">
        <f>VLOOKUP(F37,'Customer Info'!$A$1:$C$501,3,0)</f>
        <v>Brumley</v>
      </c>
      <c r="I37" s="6" t="str">
        <f>VLOOKUP(F37,Customer,5,0)</f>
        <v>Jinan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1505</v>
      </c>
      <c r="R37" s="2" t="s">
        <v>28</v>
      </c>
      <c r="S37" s="24">
        <f t="shared" si="4"/>
        <v>7.0000000000000007E-2</v>
      </c>
    </row>
    <row r="38" spans="1:19" x14ac:dyDescent="0.25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VLOOKUP(F38,'Customer Info'!$A:$B,2,0)</f>
        <v>Heather</v>
      </c>
      <c r="H38" s="6" t="str">
        <f>VLOOKUP(F38,'Customer Info'!$A$1:$C$501,3,0)</f>
        <v>Kirkland</v>
      </c>
      <c r="I38" s="6" t="str">
        <f>VLOOKUP(F38,Customer,5,0)</f>
        <v>Townsville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102</v>
      </c>
      <c r="R38" s="2" t="s">
        <v>50</v>
      </c>
      <c r="S38" s="24">
        <f t="shared" si="4"/>
        <v>0.02</v>
      </c>
    </row>
    <row r="39" spans="1:19" x14ac:dyDescent="0.25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VLOOKUP(F39,'Customer Info'!$A:$B,2,0)</f>
        <v>Jeremy</v>
      </c>
      <c r="H39" s="6" t="str">
        <f>VLOOKUP(F39,'Customer Info'!$A$1:$C$501,3,0)</f>
        <v>Ellison</v>
      </c>
      <c r="I39" s="6" t="str">
        <f>VLOOKUP(F39,Customer,5,0)</f>
        <v>Jammu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43</v>
      </c>
      <c r="R39" s="2" t="s">
        <v>50</v>
      </c>
      <c r="S39" s="24">
        <f t="shared" si="4"/>
        <v>0.02</v>
      </c>
    </row>
    <row r="40" spans="1:19" x14ac:dyDescent="0.25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VLOOKUP(F40,'Customer Info'!$A:$B,2,0)</f>
        <v>Jenna</v>
      </c>
      <c r="H40" s="6" t="str">
        <f>VLOOKUP(F40,'Customer Info'!$A$1:$C$501,3,0)</f>
        <v>Caffey</v>
      </c>
      <c r="I40" s="6" t="str">
        <f>VLOOKUP(F40,Customer,5,0)</f>
        <v>Kanpur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558</v>
      </c>
      <c r="R40" s="2" t="s">
        <v>50</v>
      </c>
      <c r="S40" s="24">
        <f t="shared" si="4"/>
        <v>0.05</v>
      </c>
    </row>
    <row r="41" spans="1:19" x14ac:dyDescent="0.25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VLOOKUP(F41,'Customer Info'!$A:$B,2,0)</f>
        <v>Frank</v>
      </c>
      <c r="H41" s="6" t="str">
        <f>VLOOKUP(F41,'Customer Info'!$A$1:$C$501,3,0)</f>
        <v>Hawley</v>
      </c>
      <c r="I41" s="6" t="str">
        <f>VLOOKUP(F41,Customer,5,0)</f>
        <v>Gold Coast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591</v>
      </c>
      <c r="R41" s="2" t="s">
        <v>28</v>
      </c>
      <c r="S41" s="24">
        <f t="shared" si="4"/>
        <v>0.05</v>
      </c>
    </row>
    <row r="42" spans="1:19" x14ac:dyDescent="0.25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VLOOKUP(F42,'Customer Info'!$A:$B,2,0)</f>
        <v>Trudy</v>
      </c>
      <c r="H42" s="6" t="str">
        <f>VLOOKUP(F42,'Customer Info'!$A$1:$C$501,3,0)</f>
        <v>Glocke</v>
      </c>
      <c r="I42" s="6" t="str">
        <f>VLOOKUP(F42,Customer,5,0)</f>
        <v>Huaiyin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65</v>
      </c>
      <c r="R42" s="2" t="s">
        <v>50</v>
      </c>
      <c r="S42" s="24">
        <f t="shared" si="4"/>
        <v>0.02</v>
      </c>
    </row>
    <row r="43" spans="1:19" x14ac:dyDescent="0.25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VLOOKUP(F43,'Customer Info'!$A:$B,2,0)</f>
        <v>Duane</v>
      </c>
      <c r="H43" s="6" t="str">
        <f>VLOOKUP(F43,'Customer Info'!$A$1:$C$501,3,0)</f>
        <v>Huffman</v>
      </c>
      <c r="I43" s="6" t="str">
        <f>VLOOKUP(F43,Customer,5,0)</f>
        <v>Jakarta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2</v>
      </c>
      <c r="R43" s="2" t="s">
        <v>28</v>
      </c>
      <c r="S43" s="24">
        <f t="shared" si="4"/>
        <v>0.02</v>
      </c>
    </row>
    <row r="44" spans="1:19" x14ac:dyDescent="0.25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VLOOKUP(F44,'Customer Info'!$A:$B,2,0)</f>
        <v>Steven</v>
      </c>
      <c r="H44" s="6" t="str">
        <f>VLOOKUP(F44,'Customer Info'!$A$1:$C$501,3,0)</f>
        <v>Ward</v>
      </c>
      <c r="I44" s="6" t="str">
        <f>VLOOKUP(F44,Customer,5,0)</f>
        <v>Adelaide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1032</v>
      </c>
      <c r="R44" s="2" t="s">
        <v>50</v>
      </c>
      <c r="S44" s="24">
        <f t="shared" si="4"/>
        <v>0.05</v>
      </c>
    </row>
    <row r="45" spans="1:19" x14ac:dyDescent="0.25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VLOOKUP(F45,'Customer Info'!$A:$B,2,0)</f>
        <v>Victoria</v>
      </c>
      <c r="H45" s="6" t="str">
        <f>VLOOKUP(F45,'Customer Info'!$A$1:$C$501,3,0)</f>
        <v>Pisteka</v>
      </c>
      <c r="I45" s="6" t="str">
        <f>VLOOKUP(F45,Customer,5,0)</f>
        <v>Bokaro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1821</v>
      </c>
      <c r="R45" s="2" t="s">
        <v>26</v>
      </c>
      <c r="S45" s="24">
        <f t="shared" si="4"/>
        <v>0.05</v>
      </c>
    </row>
    <row r="46" spans="1:19" x14ac:dyDescent="0.25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VLOOKUP(F46,'Customer Info'!$A:$B,2,0)</f>
        <v>Dana</v>
      </c>
      <c r="H46" s="6" t="str">
        <f>VLOOKUP(F46,'Customer Info'!$A$1:$C$501,3,0)</f>
        <v>Kaydos</v>
      </c>
      <c r="I46" s="6" t="str">
        <f>VLOOKUP(F46,Customer,5,0)</f>
        <v>Nagercoil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48</v>
      </c>
      <c r="R46" s="2" t="s">
        <v>56</v>
      </c>
      <c r="S46" s="24">
        <f t="shared" si="4"/>
        <v>0.02</v>
      </c>
    </row>
    <row r="47" spans="1:19" x14ac:dyDescent="0.25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VLOOKUP(F47,'Customer Info'!$A:$B,2,0)</f>
        <v>Steve</v>
      </c>
      <c r="H47" s="6" t="str">
        <f>VLOOKUP(F47,'Customer Info'!$A$1:$C$501,3,0)</f>
        <v>Carroll</v>
      </c>
      <c r="I47" s="6" t="str">
        <f>VLOOKUP(F47,Customer,5,0)</f>
        <v>Qingdao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567</v>
      </c>
      <c r="R47" s="2" t="s">
        <v>28</v>
      </c>
      <c r="S47" s="24">
        <f t="shared" si="4"/>
        <v>0.05</v>
      </c>
    </row>
    <row r="48" spans="1:19" x14ac:dyDescent="0.25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VLOOKUP(F48,'Customer Info'!$A:$B,2,0)</f>
        <v>Hunter</v>
      </c>
      <c r="H48" s="6" t="str">
        <f>VLOOKUP(F48,'Customer Info'!$A$1:$C$501,3,0)</f>
        <v>Lopez</v>
      </c>
      <c r="I48" s="6" t="str">
        <f>VLOOKUP(F48,Customer,5,0)</f>
        <v>Wollongong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414</v>
      </c>
      <c r="R48" s="2" t="s">
        <v>50</v>
      </c>
      <c r="S48" s="24">
        <f t="shared" si="4"/>
        <v>0.02</v>
      </c>
    </row>
    <row r="49" spans="1:19" x14ac:dyDescent="0.25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VLOOKUP(F49,'Customer Info'!$A:$B,2,0)</f>
        <v>Lisa</v>
      </c>
      <c r="H49" s="6" t="str">
        <f>VLOOKUP(F49,'Customer Info'!$A$1:$C$501,3,0)</f>
        <v>Ryan</v>
      </c>
      <c r="I49" s="6" t="str">
        <f>VLOOKUP(F49,Customer,5,0)</f>
        <v>Berlin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16</v>
      </c>
      <c r="R49" s="2" t="s">
        <v>50</v>
      </c>
      <c r="S49" s="24">
        <f t="shared" si="4"/>
        <v>0.02</v>
      </c>
    </row>
    <row r="50" spans="1:19" x14ac:dyDescent="0.25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VLOOKUP(F50,'Customer Info'!$A:$B,2,0)</f>
        <v>Neil</v>
      </c>
      <c r="H50" s="6" t="str">
        <f>VLOOKUP(F50,'Customer Info'!$A$1:$C$501,3,0)</f>
        <v>Knudson</v>
      </c>
      <c r="I50" s="6" t="str">
        <f>VLOOKUP(F50,Customer,5,0)</f>
        <v>Malang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135</v>
      </c>
      <c r="R50" s="2" t="s">
        <v>28</v>
      </c>
      <c r="S50" s="24">
        <f t="shared" si="4"/>
        <v>0.02</v>
      </c>
    </row>
    <row r="51" spans="1:19" x14ac:dyDescent="0.25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VLOOKUP(F51,'Customer Info'!$A:$B,2,0)</f>
        <v>Adam</v>
      </c>
      <c r="H51" s="6" t="str">
        <f>VLOOKUP(F51,'Customer Info'!$A$1:$C$501,3,0)</f>
        <v>Bellavance</v>
      </c>
      <c r="I51" s="6" t="str">
        <f>VLOOKUP(F51,Customer,5,0)</f>
        <v>Kaiyuan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20</v>
      </c>
      <c r="R51" s="2" t="s">
        <v>28</v>
      </c>
      <c r="S51" s="24">
        <f t="shared" si="4"/>
        <v>0.02</v>
      </c>
    </row>
    <row r="52" spans="1:19" x14ac:dyDescent="0.25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VLOOKUP(F52,'Customer Info'!$A:$B,2,0)</f>
        <v>Larry</v>
      </c>
      <c r="H52" s="6" t="str">
        <f>VLOOKUP(F52,'Customer Info'!$A$1:$C$501,3,0)</f>
        <v>Blacks</v>
      </c>
      <c r="I52" s="6" t="str">
        <f>VLOOKUP(F52,Customer,5,0)</f>
        <v>Shangyu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36</v>
      </c>
      <c r="R52" s="2" t="s">
        <v>28</v>
      </c>
      <c r="S52" s="24">
        <f t="shared" si="4"/>
        <v>0.02</v>
      </c>
    </row>
    <row r="53" spans="1:19" x14ac:dyDescent="0.25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VLOOKUP(F53,'Customer Info'!$A:$B,2,0)</f>
        <v>Patrick</v>
      </c>
      <c r="H53" s="6" t="str">
        <f>VLOOKUP(F53,'Customer Info'!$A$1:$C$501,3,0)</f>
        <v>Bzostek</v>
      </c>
      <c r="I53" s="6" t="str">
        <f>VLOOKUP(F53,Customer,5,0)</f>
        <v>Krefeld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858</v>
      </c>
      <c r="R53" s="2" t="s">
        <v>28</v>
      </c>
      <c r="S53" s="24">
        <f t="shared" si="4"/>
        <v>0.05</v>
      </c>
    </row>
    <row r="54" spans="1:19" x14ac:dyDescent="0.25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VLOOKUP(F54,'Customer Info'!$A:$B,2,0)</f>
        <v>Eileen</v>
      </c>
      <c r="H54" s="6" t="str">
        <f>VLOOKUP(F54,'Customer Info'!$A$1:$C$501,3,0)</f>
        <v>Kiefer</v>
      </c>
      <c r="I54" s="6" t="str">
        <f>VLOOKUP(F54,Customer,5,0)</f>
        <v>Hamm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45</v>
      </c>
      <c r="R54" s="2" t="s">
        <v>50</v>
      </c>
      <c r="S54" s="24">
        <f t="shared" si="4"/>
        <v>0.02</v>
      </c>
    </row>
    <row r="55" spans="1:19" x14ac:dyDescent="0.25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VLOOKUP(F55,'Customer Info'!$A:$B,2,0)</f>
        <v>Trudy</v>
      </c>
      <c r="H55" s="6" t="str">
        <f>VLOOKUP(F55,'Customer Info'!$A$1:$C$501,3,0)</f>
        <v>Glocke</v>
      </c>
      <c r="I55" s="6" t="str">
        <f>VLOOKUP(F55,Customer,5,0)</f>
        <v>Brisbane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130</v>
      </c>
      <c r="R55" s="2" t="s">
        <v>28</v>
      </c>
      <c r="S55" s="24">
        <f t="shared" si="4"/>
        <v>0.02</v>
      </c>
    </row>
    <row r="56" spans="1:19" x14ac:dyDescent="0.25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VLOOKUP(F56,'Customer Info'!$A:$B,2,0)</f>
        <v>Mark</v>
      </c>
      <c r="H56" s="6" t="str">
        <f>VLOOKUP(F56,'Customer Info'!$A$1:$C$501,3,0)</f>
        <v>Packer</v>
      </c>
      <c r="I56" s="6" t="str">
        <f>VLOOKUP(F56,Customer,5,0)</f>
        <v>Perth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690</v>
      </c>
      <c r="R56" s="2" t="s">
        <v>28</v>
      </c>
      <c r="S56" s="24">
        <f t="shared" si="4"/>
        <v>0.05</v>
      </c>
    </row>
    <row r="57" spans="1:19" x14ac:dyDescent="0.25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VLOOKUP(F57,'Customer Info'!$A:$B,2,0)</f>
        <v>Stuart</v>
      </c>
      <c r="H57" s="6" t="str">
        <f>VLOOKUP(F57,'Customer Info'!$A$1:$C$501,3,0)</f>
        <v>Calhoun</v>
      </c>
      <c r="I57" s="6" t="str">
        <f>VLOOKUP(F57,Customer,5,0)</f>
        <v>Nowra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634</v>
      </c>
      <c r="R57" s="2" t="s">
        <v>28</v>
      </c>
      <c r="S57" s="24">
        <f t="shared" si="4"/>
        <v>0.05</v>
      </c>
    </row>
    <row r="58" spans="1:19" x14ac:dyDescent="0.25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VLOOKUP(F58,'Customer Info'!$A:$B,2,0)</f>
        <v>Jack</v>
      </c>
      <c r="H58" s="6" t="str">
        <f>VLOOKUP(F58,'Customer Info'!$A$1:$C$501,3,0)</f>
        <v>Lebron</v>
      </c>
      <c r="I58" s="6" t="str">
        <f>VLOOKUP(F58,Customer,5,0)</f>
        <v>Erftstadt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1029</v>
      </c>
      <c r="R58" s="2" t="s">
        <v>50</v>
      </c>
      <c r="S58" s="24">
        <f t="shared" si="4"/>
        <v>0.05</v>
      </c>
    </row>
    <row r="59" spans="1:19" x14ac:dyDescent="0.25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VLOOKUP(F59,'Customer Info'!$A:$B,2,0)</f>
        <v>Lisa</v>
      </c>
      <c r="H59" s="6" t="str">
        <f>VLOOKUP(F59,'Customer Info'!$A$1:$C$501,3,0)</f>
        <v>Ryan</v>
      </c>
      <c r="I59" s="6" t="str">
        <f>VLOOKUP(F59,Customer,5,0)</f>
        <v>Berlin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40</v>
      </c>
      <c r="R59" s="2" t="s">
        <v>28</v>
      </c>
      <c r="S59" s="24">
        <f t="shared" si="4"/>
        <v>0.02</v>
      </c>
    </row>
    <row r="60" spans="1:19" x14ac:dyDescent="0.25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VLOOKUP(F60,'Customer Info'!$A:$B,2,0)</f>
        <v>Laurel</v>
      </c>
      <c r="H60" s="6" t="str">
        <f>VLOOKUP(F60,'Customer Info'!$A$1:$C$501,3,0)</f>
        <v>Workman</v>
      </c>
      <c r="I60" s="6" t="str">
        <f>VLOOKUP(F60,Customer,5,0)</f>
        <v>Dongguan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196</v>
      </c>
      <c r="R60" s="2" t="s">
        <v>28</v>
      </c>
      <c r="S60" s="24">
        <f t="shared" si="4"/>
        <v>0.02</v>
      </c>
    </row>
    <row r="61" spans="1:19" x14ac:dyDescent="0.25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VLOOKUP(F61,'Customer Info'!$A:$B,2,0)</f>
        <v>Dean</v>
      </c>
      <c r="H61" s="6" t="str">
        <f>VLOOKUP(F61,'Customer Info'!$A$1:$C$501,3,0)</f>
        <v>Katz</v>
      </c>
      <c r="I61" s="6" t="str">
        <f>VLOOKUP(F61,Customer,5,0)</f>
        <v>Changzhou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480</v>
      </c>
      <c r="R61" s="2" t="s">
        <v>28</v>
      </c>
      <c r="S61" s="24">
        <f t="shared" si="4"/>
        <v>0.05</v>
      </c>
    </row>
    <row r="62" spans="1:19" x14ac:dyDescent="0.25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VLOOKUP(F62,'Customer Info'!$A:$B,2,0)</f>
        <v>Tony</v>
      </c>
      <c r="H62" s="6" t="str">
        <f>VLOOKUP(F62,'Customer Info'!$A$1:$C$501,3,0)</f>
        <v>Sayre</v>
      </c>
      <c r="I62" s="6" t="str">
        <f>VLOOKUP(F62,Customer,5,0)</f>
        <v>Bharatpur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1990</v>
      </c>
      <c r="R62" s="2" t="s">
        <v>50</v>
      </c>
      <c r="S62" s="24">
        <f t="shared" si="4"/>
        <v>7.0000000000000007E-2</v>
      </c>
    </row>
    <row r="63" spans="1:19" x14ac:dyDescent="0.25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VLOOKUP(F63,'Customer Info'!$A:$B,2,0)</f>
        <v>Gary</v>
      </c>
      <c r="H63" s="6" t="str">
        <f>VLOOKUP(F63,'Customer Info'!$A$1:$C$501,3,0)</f>
        <v>Hansen</v>
      </c>
      <c r="I63" s="6" t="str">
        <f>VLOOKUP(F63,Customer,5,0)</f>
        <v>Dewas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52</v>
      </c>
      <c r="R63" s="2" t="s">
        <v>28</v>
      </c>
      <c r="S63" s="24">
        <f t="shared" si="4"/>
        <v>0.02</v>
      </c>
    </row>
    <row r="64" spans="1:19" x14ac:dyDescent="0.25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VLOOKUP(F64,'Customer Info'!$A:$B,2,0)</f>
        <v>Adam</v>
      </c>
      <c r="H64" s="6" t="str">
        <f>VLOOKUP(F64,'Customer Info'!$A$1:$C$501,3,0)</f>
        <v>Bellavance</v>
      </c>
      <c r="I64" s="6" t="str">
        <f>VLOOKUP(F64,Customer,5,0)</f>
        <v>Kwinana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285</v>
      </c>
      <c r="R64" s="2" t="s">
        <v>50</v>
      </c>
      <c r="S64" s="24">
        <f t="shared" si="4"/>
        <v>0.05</v>
      </c>
    </row>
    <row r="65" spans="1:19" x14ac:dyDescent="0.25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VLOOKUP(F65,'Customer Info'!$A:$B,2,0)</f>
        <v>Craig</v>
      </c>
      <c r="H65" s="6" t="str">
        <f>VLOOKUP(F65,'Customer Info'!$A$1:$C$501,3,0)</f>
        <v>Carroll</v>
      </c>
      <c r="I65" s="6" t="str">
        <f>VLOOKUP(F65,Customer,5,0)</f>
        <v>Augsburg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1040</v>
      </c>
      <c r="R65" s="2" t="s">
        <v>50</v>
      </c>
      <c r="S65" s="24">
        <f t="shared" si="4"/>
        <v>0.05</v>
      </c>
    </row>
    <row r="66" spans="1:19" x14ac:dyDescent="0.25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VLOOKUP(F66,'Customer Info'!$A:$B,2,0)</f>
        <v>Greg</v>
      </c>
      <c r="H66" s="6" t="str">
        <f>VLOOKUP(F66,'Customer Info'!$A$1:$C$501,3,0)</f>
        <v>Hansen</v>
      </c>
      <c r="I66" s="6" t="str">
        <f>VLOOKUP(F66,Customer,5,0)</f>
        <v>Canberra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1232</v>
      </c>
      <c r="R66" s="2" t="s">
        <v>28</v>
      </c>
      <c r="S66" s="24">
        <f t="shared" si="4"/>
        <v>0.05</v>
      </c>
    </row>
    <row r="67" spans="1:19" x14ac:dyDescent="0.25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VLOOKUP(F67,'Customer Info'!$A:$B,2,0)</f>
        <v>Annie</v>
      </c>
      <c r="H67" s="6" t="str">
        <f>VLOOKUP(F67,'Customer Info'!$A$1:$C$501,3,0)</f>
        <v>Thurman</v>
      </c>
      <c r="I67" s="6" t="str">
        <f>VLOOKUP(F67,Customer,5,0)</f>
        <v>Sydney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67</v>
      </c>
      <c r="R67" s="2" t="s">
        <v>50</v>
      </c>
      <c r="S67" s="24">
        <f t="shared" si="4"/>
        <v>0.02</v>
      </c>
    </row>
    <row r="68" spans="1:19" x14ac:dyDescent="0.25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VLOOKUP(F68,'Customer Info'!$A:$B,2,0)</f>
        <v>Becky</v>
      </c>
      <c r="H68" s="6" t="str">
        <f>VLOOKUP(F68,'Customer Info'!$A$1:$C$501,3,0)</f>
        <v>Pak</v>
      </c>
      <c r="I68" s="6" t="str">
        <f>VLOOKUP(F68,Customer,5,0)</f>
        <v>Geelong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112</v>
      </c>
      <c r="R68" s="2" t="s">
        <v>28</v>
      </c>
      <c r="S68" s="24">
        <f t="shared" si="4"/>
        <v>0.02</v>
      </c>
    </row>
    <row r="69" spans="1:19" x14ac:dyDescent="0.25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VLOOKUP(F69,'Customer Info'!$A:$B,2,0)</f>
        <v>Catherine</v>
      </c>
      <c r="H69" s="6" t="str">
        <f>VLOOKUP(F69,'Customer Info'!$A$1:$C$501,3,0)</f>
        <v>Glotzbach</v>
      </c>
      <c r="I69" s="6" t="str">
        <f>VLOOKUP(F69,Customer,5,0)</f>
        <v>Bochum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240</v>
      </c>
      <c r="R69" s="2" t="s">
        <v>50</v>
      </c>
      <c r="S69" s="24">
        <f t="shared" si="4"/>
        <v>0.02</v>
      </c>
    </row>
    <row r="70" spans="1:19" x14ac:dyDescent="0.25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VLOOKUP(F70,'Customer Info'!$A:$B,2,0)</f>
        <v>James</v>
      </c>
      <c r="H70" s="6" t="str">
        <f>VLOOKUP(F70,'Customer Info'!$A$1:$C$501,3,0)</f>
        <v>Lanier</v>
      </c>
      <c r="I70" s="6" t="str">
        <f>VLOOKUP(F70,Customer,5,0)</f>
        <v>Dortmund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159</v>
      </c>
      <c r="R70" s="2" t="s">
        <v>50</v>
      </c>
      <c r="S70" s="24">
        <f t="shared" si="4"/>
        <v>0.02</v>
      </c>
    </row>
    <row r="71" spans="1:19" x14ac:dyDescent="0.25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VLOOKUP(F71,'Customer Info'!$A:$B,2,0)</f>
        <v>Jenna</v>
      </c>
      <c r="H71" s="6" t="str">
        <f>VLOOKUP(F71,'Customer Info'!$A$1:$C$501,3,0)</f>
        <v>Caffey</v>
      </c>
      <c r="I71" s="6" t="str">
        <f>VLOOKUP(F71,Customer,5,0)</f>
        <v>Kanpur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8</v>
      </c>
      <c r="R71" s="2" t="s">
        <v>26</v>
      </c>
      <c r="S71" s="24">
        <f t="shared" si="4"/>
        <v>0.02</v>
      </c>
    </row>
    <row r="72" spans="1:19" x14ac:dyDescent="0.25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VLOOKUP(F72,'Customer Info'!$A:$B,2,0)</f>
        <v>Alex</v>
      </c>
      <c r="H72" s="6" t="str">
        <f>VLOOKUP(F72,'Customer Info'!$A$1:$C$501,3,0)</f>
        <v>Grayson</v>
      </c>
      <c r="I72" s="6" t="str">
        <f>VLOOKUP(F72,Customer,5,0)</f>
        <v>Anyang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1392</v>
      </c>
      <c r="R72" s="2" t="s">
        <v>28</v>
      </c>
      <c r="S72" s="24">
        <f t="shared" si="4"/>
        <v>7.0000000000000007E-2</v>
      </c>
    </row>
    <row r="73" spans="1:19" x14ac:dyDescent="0.25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VLOOKUP(F73,'Customer Info'!$A:$B,2,0)</f>
        <v>Pamela</v>
      </c>
      <c r="H73" s="6" t="str">
        <f>VLOOKUP(F73,'Customer Info'!$A$1:$C$501,3,0)</f>
        <v>Stobb</v>
      </c>
      <c r="I73" s="6" t="str">
        <f>VLOOKUP(F73,Customer,5,0)</f>
        <v>Berlin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134</v>
      </c>
      <c r="R73" s="2" t="s">
        <v>28</v>
      </c>
      <c r="S73" s="24">
        <f t="shared" si="4"/>
        <v>0.02</v>
      </c>
    </row>
    <row r="74" spans="1:19" x14ac:dyDescent="0.25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VLOOKUP(F74,'Customer Info'!$A:$B,2,0)</f>
        <v>Sheri</v>
      </c>
      <c r="H74" s="6" t="str">
        <f>VLOOKUP(F74,'Customer Info'!$A$1:$C$501,3,0)</f>
        <v>Gordon</v>
      </c>
      <c r="I74" s="6" t="str">
        <f>VLOOKUP(F74,Customer,5,0)</f>
        <v>Bogor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106</v>
      </c>
      <c r="R74" s="2" t="s">
        <v>56</v>
      </c>
      <c r="S74" s="24">
        <f t="shared" si="4"/>
        <v>0.02</v>
      </c>
    </row>
    <row r="75" spans="1:19" x14ac:dyDescent="0.25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VLOOKUP(F75,'Customer Info'!$A:$B,2,0)</f>
        <v>Neil</v>
      </c>
      <c r="H75" s="6" t="str">
        <f>VLOOKUP(F75,'Customer Info'!$A$1:$C$501,3,0)</f>
        <v>Knudson</v>
      </c>
      <c r="I75" s="6" t="str">
        <f>VLOOKUP(F75,Customer,5,0)</f>
        <v>Malang</v>
      </c>
      <c r="J75" s="2">
        <v>2857</v>
      </c>
      <c r="K75" s="2">
        <v>2622</v>
      </c>
      <c r="L75" s="2">
        <v>7</v>
      </c>
      <c r="M75" s="7">
        <f t="shared" ref="M75:M138" si="5">K75*L75</f>
        <v>18354</v>
      </c>
      <c r="N75" s="7">
        <f t="shared" ref="N75:N138" si="6">J75*L75</f>
        <v>19999</v>
      </c>
      <c r="O75" s="2">
        <v>82</v>
      </c>
      <c r="P75" s="8">
        <f t="shared" ref="P75:P138" si="7">N75+O75</f>
        <v>20081</v>
      </c>
      <c r="Q75" s="8">
        <f t="shared" ref="Q75:Q138" si="8">N75-M75</f>
        <v>1645</v>
      </c>
      <c r="R75" s="2" t="s">
        <v>50</v>
      </c>
      <c r="S75" s="24">
        <f t="shared" ref="S75:S138" si="9">VLOOKUP(N75,$T$1:$U$7,2,TRUE)</f>
        <v>0.05</v>
      </c>
    </row>
    <row r="76" spans="1:19" x14ac:dyDescent="0.25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VLOOKUP(F76,'Customer Info'!$A:$B,2,0)</f>
        <v>Meg</v>
      </c>
      <c r="H76" s="6" t="str">
        <f>VLOOKUP(F76,'Customer Info'!$A$1:$C$501,3,0)</f>
        <v>Tillman</v>
      </c>
      <c r="I76" s="6" t="str">
        <f>VLOOKUP(F76,Customer,5,0)</f>
        <v>Bangalore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8">
        <f t="shared" si="7"/>
        <v>4730</v>
      </c>
      <c r="Q76" s="8">
        <f t="shared" si="8"/>
        <v>546</v>
      </c>
      <c r="R76" s="2" t="s">
        <v>28</v>
      </c>
      <c r="S76" s="24">
        <f t="shared" si="9"/>
        <v>0.02</v>
      </c>
    </row>
    <row r="77" spans="1:19" x14ac:dyDescent="0.25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VLOOKUP(F77,'Customer Info'!$A:$B,2,0)</f>
        <v>Laurel</v>
      </c>
      <c r="H77" s="6" t="str">
        <f>VLOOKUP(F77,'Customer Info'!$A$1:$C$501,3,0)</f>
        <v>Beltran</v>
      </c>
      <c r="I77" s="6" t="str">
        <f>VLOOKUP(F77,Customer,5,0)</f>
        <v>Bonn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8">
        <f t="shared" si="7"/>
        <v>1683</v>
      </c>
      <c r="Q77" s="8">
        <f t="shared" si="8"/>
        <v>91</v>
      </c>
      <c r="R77" s="2" t="s">
        <v>50</v>
      </c>
      <c r="S77" s="24">
        <f t="shared" si="9"/>
        <v>0.02</v>
      </c>
    </row>
    <row r="78" spans="1:19" x14ac:dyDescent="0.25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VLOOKUP(F78,'Customer Info'!$A:$B,2,0)</f>
        <v>Toby</v>
      </c>
      <c r="H78" s="6" t="str">
        <f>VLOOKUP(F78,'Customer Info'!$A$1:$C$501,3,0)</f>
        <v>Braunhardt</v>
      </c>
      <c r="I78" s="6" t="str">
        <f>VLOOKUP(F78,Customer,5,0)</f>
        <v>Perth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8">
        <f t="shared" si="7"/>
        <v>986</v>
      </c>
      <c r="Q78" s="8">
        <f t="shared" si="8"/>
        <v>53</v>
      </c>
      <c r="R78" s="2" t="s">
        <v>28</v>
      </c>
      <c r="S78" s="24">
        <f t="shared" si="9"/>
        <v>0.02</v>
      </c>
    </row>
    <row r="79" spans="1:19" x14ac:dyDescent="0.25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VLOOKUP(F79,'Customer Info'!$A:$B,2,0)</f>
        <v>Victoria</v>
      </c>
      <c r="H79" s="6" t="str">
        <f>VLOOKUP(F79,'Customer Info'!$A$1:$C$501,3,0)</f>
        <v>Wilson</v>
      </c>
      <c r="I79" s="6" t="str">
        <f>VLOOKUP(F79,Customer,5,0)</f>
        <v>Berlin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8">
        <f t="shared" si="7"/>
        <v>35608</v>
      </c>
      <c r="Q79" s="8">
        <f t="shared" si="8"/>
        <v>1680</v>
      </c>
      <c r="R79" s="2" t="s">
        <v>28</v>
      </c>
      <c r="S79" s="24">
        <f t="shared" si="9"/>
        <v>7.0000000000000007E-2</v>
      </c>
    </row>
    <row r="80" spans="1:19" x14ac:dyDescent="0.25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VLOOKUP(F80,'Customer Info'!$A:$B,2,0)</f>
        <v>Sam</v>
      </c>
      <c r="H80" s="6" t="str">
        <f>VLOOKUP(F80,'Customer Info'!$A$1:$C$501,3,0)</f>
        <v>Zeldin</v>
      </c>
      <c r="I80" s="6" t="str">
        <f>VLOOKUP(F80,Customer,5,0)</f>
        <v>Yanji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19644</v>
      </c>
      <c r="O80" s="2">
        <v>94</v>
      </c>
      <c r="P80" s="8">
        <f t="shared" si="7"/>
        <v>19738</v>
      </c>
      <c r="Q80" s="8">
        <f t="shared" si="8"/>
        <v>1260</v>
      </c>
      <c r="R80" s="2" t="s">
        <v>28</v>
      </c>
      <c r="S80" s="24">
        <f t="shared" si="9"/>
        <v>0.05</v>
      </c>
    </row>
    <row r="81" spans="1:19" x14ac:dyDescent="0.25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VLOOKUP(F81,'Customer Info'!$A:$B,2,0)</f>
        <v>Tamara</v>
      </c>
      <c r="H81" s="6" t="str">
        <f>VLOOKUP(F81,'Customer Info'!$A$1:$C$501,3,0)</f>
        <v>Willingham</v>
      </c>
      <c r="I81" s="6" t="str">
        <f>VLOOKUP(F81,Customer,5,0)</f>
        <v>Sindelfingen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17605</v>
      </c>
      <c r="O81" s="2">
        <v>46</v>
      </c>
      <c r="P81" s="8">
        <f t="shared" si="7"/>
        <v>17651</v>
      </c>
      <c r="Q81" s="8">
        <f t="shared" si="8"/>
        <v>826</v>
      </c>
      <c r="R81" s="2" t="s">
        <v>56</v>
      </c>
      <c r="S81" s="24">
        <f t="shared" si="9"/>
        <v>0.05</v>
      </c>
    </row>
    <row r="82" spans="1:19" x14ac:dyDescent="0.25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VLOOKUP(F82,'Customer Info'!$A:$B,2,0)</f>
        <v>Thais</v>
      </c>
      <c r="H82" s="6" t="str">
        <f>VLOOKUP(F82,'Customer Info'!$A$1:$C$501,3,0)</f>
        <v>Sissman</v>
      </c>
      <c r="I82" s="6" t="str">
        <f>VLOOKUP(F82,Customer,5,0)</f>
        <v>Essen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3596</v>
      </c>
      <c r="O82" s="2">
        <v>78</v>
      </c>
      <c r="P82" s="8">
        <f t="shared" si="7"/>
        <v>3674</v>
      </c>
      <c r="Q82" s="8">
        <f t="shared" si="8"/>
        <v>264</v>
      </c>
      <c r="R82" s="2" t="s">
        <v>50</v>
      </c>
      <c r="S82" s="24">
        <f t="shared" si="9"/>
        <v>0.02</v>
      </c>
    </row>
    <row r="83" spans="1:19" x14ac:dyDescent="0.25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VLOOKUP(F83,'Customer Info'!$A:$B,2,0)</f>
        <v>Roy</v>
      </c>
      <c r="H83" s="6" t="str">
        <f>VLOOKUP(F83,'Customer Info'!$A$1:$C$501,3,0)</f>
        <v>Phan</v>
      </c>
      <c r="I83" s="6" t="str">
        <f>VLOOKUP(F83,Customer,5,0)</f>
        <v>Melbourne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3130</v>
      </c>
      <c r="O83" s="2">
        <v>29</v>
      </c>
      <c r="P83" s="8">
        <f t="shared" si="7"/>
        <v>3159</v>
      </c>
      <c r="Q83" s="8">
        <f t="shared" si="8"/>
        <v>335</v>
      </c>
      <c r="R83" s="2" t="s">
        <v>28</v>
      </c>
      <c r="S83" s="24">
        <f t="shared" si="9"/>
        <v>0.02</v>
      </c>
    </row>
    <row r="84" spans="1:19" x14ac:dyDescent="0.25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VLOOKUP(F84,'Customer Info'!$A:$B,2,0)</f>
        <v>Erin</v>
      </c>
      <c r="H84" s="6" t="str">
        <f>VLOOKUP(F84,'Customer Info'!$A$1:$C$501,3,0)</f>
        <v>Smith</v>
      </c>
      <c r="I84" s="6" t="str">
        <f>VLOOKUP(F84,Customer,5,0)</f>
        <v>Yuci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6936</v>
      </c>
      <c r="O84" s="2">
        <v>68</v>
      </c>
      <c r="P84" s="8">
        <f t="shared" si="7"/>
        <v>7004</v>
      </c>
      <c r="Q84" s="8">
        <f t="shared" si="8"/>
        <v>128</v>
      </c>
      <c r="R84" s="2" t="s">
        <v>28</v>
      </c>
      <c r="S84" s="24">
        <f t="shared" si="9"/>
        <v>0.05</v>
      </c>
    </row>
    <row r="85" spans="1:19" x14ac:dyDescent="0.25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VLOOKUP(F85,'Customer Info'!$A:$B,2,0)</f>
        <v>Kristina</v>
      </c>
      <c r="H85" s="6" t="str">
        <f>VLOOKUP(F85,'Customer Info'!$A$1:$C$501,3,0)</f>
        <v>Nunn</v>
      </c>
      <c r="I85" s="6" t="str">
        <f>VLOOKUP(F85,Customer,5,0)</f>
        <v>Jakarta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2960</v>
      </c>
      <c r="O85" s="2">
        <v>52</v>
      </c>
      <c r="P85" s="8">
        <f t="shared" si="7"/>
        <v>3012</v>
      </c>
      <c r="Q85" s="8">
        <f t="shared" si="8"/>
        <v>325</v>
      </c>
      <c r="R85" s="2" t="s">
        <v>28</v>
      </c>
      <c r="S85" s="24">
        <f t="shared" si="9"/>
        <v>0.02</v>
      </c>
    </row>
    <row r="86" spans="1:19" x14ac:dyDescent="0.25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VLOOKUP(F86,'Customer Info'!$A:$B,2,0)</f>
        <v>Cassandra</v>
      </c>
      <c r="H86" s="6" t="str">
        <f>VLOOKUP(F86,'Customer Info'!$A$1:$C$501,3,0)</f>
        <v>Brandow</v>
      </c>
      <c r="I86" s="6" t="str">
        <f>VLOOKUP(F86,Customer,5,0)</f>
        <v>Hamburg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2178</v>
      </c>
      <c r="O86" s="2">
        <v>45</v>
      </c>
      <c r="P86" s="8">
        <f t="shared" si="7"/>
        <v>2223</v>
      </c>
      <c r="Q86" s="8">
        <f t="shared" si="8"/>
        <v>240</v>
      </c>
      <c r="R86" s="2" t="s">
        <v>50</v>
      </c>
      <c r="S86" s="24">
        <f t="shared" si="9"/>
        <v>0.02</v>
      </c>
    </row>
    <row r="87" spans="1:19" x14ac:dyDescent="0.25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VLOOKUP(F87,'Customer Info'!$A:$B,2,0)</f>
        <v>Max</v>
      </c>
      <c r="H87" s="6" t="str">
        <f>VLOOKUP(F87,'Customer Info'!$A$1:$C$501,3,0)</f>
        <v>Ludwig</v>
      </c>
      <c r="I87" s="6" t="str">
        <f>VLOOKUP(F87,Customer,5,0)</f>
        <v>Newcastle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743</v>
      </c>
      <c r="O87" s="2">
        <v>94</v>
      </c>
      <c r="P87" s="8">
        <f t="shared" si="7"/>
        <v>837</v>
      </c>
      <c r="Q87" s="8">
        <f t="shared" si="8"/>
        <v>49</v>
      </c>
      <c r="R87" s="2" t="s">
        <v>50</v>
      </c>
      <c r="S87" s="24">
        <f t="shared" si="9"/>
        <v>0.02</v>
      </c>
    </row>
    <row r="88" spans="1:19" x14ac:dyDescent="0.25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VLOOKUP(F88,'Customer Info'!$A:$B,2,0)</f>
        <v>Laurel</v>
      </c>
      <c r="H88" s="6" t="str">
        <f>VLOOKUP(F88,'Customer Info'!$A$1:$C$501,3,0)</f>
        <v>Elliston</v>
      </c>
      <c r="I88" s="6" t="str">
        <f>VLOOKUP(F88,Customer,5,0)</f>
        <v>Herten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4704</v>
      </c>
      <c r="O88" s="2">
        <v>60</v>
      </c>
      <c r="P88" s="8">
        <f t="shared" si="7"/>
        <v>4764</v>
      </c>
      <c r="Q88" s="8">
        <f t="shared" si="8"/>
        <v>343</v>
      </c>
      <c r="R88" s="2" t="s">
        <v>50</v>
      </c>
      <c r="S88" s="24">
        <f t="shared" si="9"/>
        <v>0.02</v>
      </c>
    </row>
    <row r="89" spans="1:19" x14ac:dyDescent="0.25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VLOOKUP(F89,'Customer Info'!$A:$B,2,0)</f>
        <v>Pamela</v>
      </c>
      <c r="H89" s="6" t="str">
        <f>VLOOKUP(F89,'Customer Info'!$A$1:$C$501,3,0)</f>
        <v>Coakley</v>
      </c>
      <c r="I89" s="6" t="str">
        <f>VLOOKUP(F89,Customer,5,0)</f>
        <v>Jakarta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24160</v>
      </c>
      <c r="O89" s="2">
        <v>83</v>
      </c>
      <c r="P89" s="8">
        <f t="shared" si="7"/>
        <v>24243</v>
      </c>
      <c r="Q89" s="8">
        <f t="shared" si="8"/>
        <v>1345</v>
      </c>
      <c r="R89" s="2" t="s">
        <v>28</v>
      </c>
      <c r="S89" s="24">
        <f t="shared" si="9"/>
        <v>0.05</v>
      </c>
    </row>
    <row r="90" spans="1:19" x14ac:dyDescent="0.25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VLOOKUP(F90,'Customer Info'!$A:$B,2,0)</f>
        <v>Sanjit</v>
      </c>
      <c r="H90" s="6" t="str">
        <f>VLOOKUP(F90,'Customer Info'!$A$1:$C$501,3,0)</f>
        <v>Chand</v>
      </c>
      <c r="I90" s="6" t="str">
        <f>VLOOKUP(F90,Customer,5,0)</f>
        <v>Thiruvananthapuram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12674</v>
      </c>
      <c r="O90" s="2">
        <v>47</v>
      </c>
      <c r="P90" s="8">
        <f t="shared" si="7"/>
        <v>12721</v>
      </c>
      <c r="Q90" s="8">
        <f t="shared" si="8"/>
        <v>244</v>
      </c>
      <c r="R90" s="2" t="s">
        <v>56</v>
      </c>
      <c r="S90" s="24">
        <f t="shared" si="9"/>
        <v>0.05</v>
      </c>
    </row>
    <row r="91" spans="1:19" x14ac:dyDescent="0.25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VLOOKUP(F91,'Customer Info'!$A:$B,2,0)</f>
        <v>Patricia</v>
      </c>
      <c r="H91" s="6" t="str">
        <f>VLOOKUP(F91,'Customer Info'!$A$1:$C$501,3,0)</f>
        <v>Hirasaki</v>
      </c>
      <c r="I91" s="6" t="str">
        <f>VLOOKUP(F91,Customer,5,0)</f>
        <v>Pimpri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918</v>
      </c>
      <c r="O91" s="2">
        <v>53</v>
      </c>
      <c r="P91" s="8">
        <f t="shared" si="7"/>
        <v>971</v>
      </c>
      <c r="Q91" s="8">
        <f t="shared" si="8"/>
        <v>59</v>
      </c>
      <c r="R91" s="2" t="s">
        <v>28</v>
      </c>
      <c r="S91" s="24">
        <f t="shared" si="9"/>
        <v>0.02</v>
      </c>
    </row>
    <row r="92" spans="1:19" x14ac:dyDescent="0.25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VLOOKUP(F92,'Customer Info'!$A:$B,2,0)</f>
        <v>Christina</v>
      </c>
      <c r="H92" s="6" t="str">
        <f>VLOOKUP(F92,'Customer Info'!$A$1:$C$501,3,0)</f>
        <v>VanderZanden</v>
      </c>
      <c r="I92" s="6" t="str">
        <f>VLOOKUP(F92,Customer,5,0)</f>
        <v>Gold Coast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3128</v>
      </c>
      <c r="O92" s="2">
        <v>26</v>
      </c>
      <c r="P92" s="8">
        <f t="shared" si="7"/>
        <v>3154</v>
      </c>
      <c r="Q92" s="8">
        <f t="shared" si="8"/>
        <v>288</v>
      </c>
      <c r="R92" s="2" t="s">
        <v>28</v>
      </c>
      <c r="S92" s="24">
        <f t="shared" si="9"/>
        <v>0.02</v>
      </c>
    </row>
    <row r="93" spans="1:19" x14ac:dyDescent="0.25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VLOOKUP(F93,'Customer Info'!$A:$B,2,0)</f>
        <v>Eugene</v>
      </c>
      <c r="H93" s="6" t="str">
        <f>VLOOKUP(F93,'Customer Info'!$A$1:$C$501,3,0)</f>
        <v>Hildebrand</v>
      </c>
      <c r="I93" s="6" t="str">
        <f>VLOOKUP(F93,Customer,5,0)</f>
        <v>Liaocheng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160</v>
      </c>
      <c r="O93" s="2">
        <v>10</v>
      </c>
      <c r="P93" s="8">
        <f t="shared" si="7"/>
        <v>170</v>
      </c>
      <c r="Q93" s="8">
        <f t="shared" si="8"/>
        <v>10</v>
      </c>
      <c r="R93" s="2" t="s">
        <v>26</v>
      </c>
      <c r="S93" s="24">
        <f t="shared" si="9"/>
        <v>0.02</v>
      </c>
    </row>
    <row r="94" spans="1:19" x14ac:dyDescent="0.25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VLOOKUP(F94,'Customer Info'!$A:$B,2,0)</f>
        <v>Charlotte</v>
      </c>
      <c r="H94" s="6" t="str">
        <f>VLOOKUP(F94,'Customer Info'!$A$1:$C$501,3,0)</f>
        <v>Melton</v>
      </c>
      <c r="I94" s="6" t="str">
        <f>VLOOKUP(F94,Customer,5,0)</f>
        <v>Canberra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88134</v>
      </c>
      <c r="O94" s="2">
        <v>88</v>
      </c>
      <c r="P94" s="8">
        <f t="shared" si="7"/>
        <v>88222</v>
      </c>
      <c r="Q94" s="8">
        <f t="shared" si="8"/>
        <v>7398</v>
      </c>
      <c r="R94" s="2" t="s">
        <v>28</v>
      </c>
      <c r="S94" s="24">
        <f t="shared" si="9"/>
        <v>0.09</v>
      </c>
    </row>
    <row r="95" spans="1:19" x14ac:dyDescent="0.25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VLOOKUP(F95,'Customer Info'!$A:$B,2,0)</f>
        <v>Nathan</v>
      </c>
      <c r="H95" s="6" t="str">
        <f>VLOOKUP(F95,'Customer Info'!$A$1:$C$501,3,0)</f>
        <v>Gelder</v>
      </c>
      <c r="I95" s="6" t="str">
        <f>VLOOKUP(F95,Customer,5,0)</f>
        <v>Depok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2333</v>
      </c>
      <c r="O95" s="2">
        <v>68</v>
      </c>
      <c r="P95" s="8">
        <f t="shared" si="7"/>
        <v>2401</v>
      </c>
      <c r="Q95" s="8">
        <f t="shared" si="8"/>
        <v>273</v>
      </c>
      <c r="R95" s="2" t="s">
        <v>50</v>
      </c>
      <c r="S95" s="24">
        <f t="shared" si="9"/>
        <v>0.02</v>
      </c>
    </row>
    <row r="96" spans="1:19" x14ac:dyDescent="0.25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VLOOKUP(F96,'Customer Info'!$A:$B,2,0)</f>
        <v>Cynthia</v>
      </c>
      <c r="H96" s="6" t="str">
        <f>VLOOKUP(F96,'Customer Info'!$A$1:$C$501,3,0)</f>
        <v>Delaney</v>
      </c>
      <c r="I96" s="6" t="str">
        <f>VLOOKUP(F96,Customer,5,0)</f>
        <v>Wodonga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4620</v>
      </c>
      <c r="O96" s="2">
        <v>28</v>
      </c>
      <c r="P96" s="8">
        <f t="shared" si="7"/>
        <v>4648</v>
      </c>
      <c r="Q96" s="8">
        <f t="shared" si="8"/>
        <v>540</v>
      </c>
      <c r="R96" s="2" t="s">
        <v>28</v>
      </c>
      <c r="S96" s="24">
        <f t="shared" si="9"/>
        <v>0.02</v>
      </c>
    </row>
    <row r="97" spans="1:19" x14ac:dyDescent="0.25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VLOOKUP(F97,'Customer Info'!$A:$B,2,0)</f>
        <v>Nancy</v>
      </c>
      <c r="H97" s="6" t="str">
        <f>VLOOKUP(F97,'Customer Info'!$A$1:$C$501,3,0)</f>
        <v>Lomonaco</v>
      </c>
      <c r="I97" s="6" t="str">
        <f>VLOOKUP(F97,Customer,5,0)</f>
        <v>Tengzhou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162</v>
      </c>
      <c r="O97" s="2">
        <v>30</v>
      </c>
      <c r="P97" s="8">
        <f t="shared" si="7"/>
        <v>192</v>
      </c>
      <c r="Q97" s="8">
        <f t="shared" si="8"/>
        <v>14</v>
      </c>
      <c r="R97" s="2" t="s">
        <v>50</v>
      </c>
      <c r="S97" s="24">
        <f t="shared" si="9"/>
        <v>0.02</v>
      </c>
    </row>
    <row r="98" spans="1:19" x14ac:dyDescent="0.25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VLOOKUP(F98,'Customer Info'!$A:$B,2,0)</f>
        <v>Tony</v>
      </c>
      <c r="H98" s="6" t="str">
        <f>VLOOKUP(F98,'Customer Info'!$A$1:$C$501,3,0)</f>
        <v>Sayre</v>
      </c>
      <c r="I98" s="6" t="str">
        <f>VLOOKUP(F98,Customer,5,0)</f>
        <v>Bharatpur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33922</v>
      </c>
      <c r="O98" s="2">
        <v>59</v>
      </c>
      <c r="P98" s="8">
        <f t="shared" si="7"/>
        <v>33981</v>
      </c>
      <c r="Q98" s="8">
        <f t="shared" si="8"/>
        <v>2478</v>
      </c>
      <c r="R98" s="2" t="s">
        <v>28</v>
      </c>
      <c r="S98" s="24">
        <f t="shared" si="9"/>
        <v>7.0000000000000007E-2</v>
      </c>
    </row>
    <row r="99" spans="1:19" x14ac:dyDescent="0.25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VLOOKUP(F99,'Customer Info'!$A:$B,2,0)</f>
        <v>Alejandro</v>
      </c>
      <c r="H99" s="6" t="str">
        <f>VLOOKUP(F99,'Customer Info'!$A$1:$C$501,3,0)</f>
        <v>Grove</v>
      </c>
      <c r="I99" s="6" t="str">
        <f>VLOOKUP(F99,Customer,5,0)</f>
        <v>Whyalla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3870</v>
      </c>
      <c r="O99" s="2">
        <v>93</v>
      </c>
      <c r="P99" s="8">
        <f t="shared" si="7"/>
        <v>3963</v>
      </c>
      <c r="Q99" s="8">
        <f t="shared" si="8"/>
        <v>480</v>
      </c>
      <c r="R99" s="2" t="s">
        <v>50</v>
      </c>
      <c r="S99" s="24">
        <f t="shared" si="9"/>
        <v>0.02</v>
      </c>
    </row>
    <row r="100" spans="1:19" x14ac:dyDescent="0.25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VLOOKUP(F100,'Customer Info'!$A:$B,2,0)</f>
        <v>Alex</v>
      </c>
      <c r="H100" s="6" t="str">
        <f>VLOOKUP(F100,'Customer Info'!$A$1:$C$501,3,0)</f>
        <v>Avila</v>
      </c>
      <c r="I100" s="6" t="str">
        <f>VLOOKUP(F100,Customer,5,0)</f>
        <v>Berlin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29260</v>
      </c>
      <c r="O100" s="2">
        <v>95</v>
      </c>
      <c r="P100" s="8">
        <f t="shared" si="7"/>
        <v>29355</v>
      </c>
      <c r="Q100" s="8">
        <f t="shared" si="8"/>
        <v>1392</v>
      </c>
      <c r="R100" s="2" t="s">
        <v>28</v>
      </c>
      <c r="S100" s="24">
        <f t="shared" si="9"/>
        <v>7.0000000000000007E-2</v>
      </c>
    </row>
    <row r="101" spans="1:19" x14ac:dyDescent="0.25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VLOOKUP(F101,'Customer Info'!$A:$B,2,0)</f>
        <v>Erica</v>
      </c>
      <c r="H101" s="6" t="str">
        <f>VLOOKUP(F101,'Customer Info'!$A$1:$C$501,3,0)</f>
        <v>Smith</v>
      </c>
      <c r="I101" s="6" t="str">
        <f>VLOOKUP(F101,Customer,5,0)</f>
        <v>Halle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5289</v>
      </c>
      <c r="O101" s="2">
        <v>61</v>
      </c>
      <c r="P101" s="8">
        <f t="shared" si="7"/>
        <v>5350</v>
      </c>
      <c r="Q101" s="8">
        <f t="shared" si="8"/>
        <v>483</v>
      </c>
      <c r="R101" s="2" t="s">
        <v>50</v>
      </c>
      <c r="S101" s="24">
        <f t="shared" si="9"/>
        <v>0.05</v>
      </c>
    </row>
    <row r="102" spans="1:19" x14ac:dyDescent="0.25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VLOOKUP(F102,'Customer Info'!$A:$B,2,0)</f>
        <v>Xylona</v>
      </c>
      <c r="H102" s="6" t="str">
        <f>VLOOKUP(F102,'Customer Info'!$A$1:$C$501,3,0)</f>
        <v>Preis</v>
      </c>
      <c r="I102" s="6" t="str">
        <f>VLOOKUP(F102,Customer,5,0)</f>
        <v>Suining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4074</v>
      </c>
      <c r="O102" s="2">
        <v>29</v>
      </c>
      <c r="P102" s="8">
        <f t="shared" si="7"/>
        <v>4103</v>
      </c>
      <c r="Q102" s="8">
        <f t="shared" si="8"/>
        <v>303</v>
      </c>
      <c r="R102" s="2" t="s">
        <v>28</v>
      </c>
      <c r="S102" s="24">
        <f t="shared" si="9"/>
        <v>0.02</v>
      </c>
    </row>
    <row r="103" spans="1:19" x14ac:dyDescent="0.25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VLOOKUP(F103,'Customer Info'!$A:$B,2,0)</f>
        <v>Jack</v>
      </c>
      <c r="H103" s="6" t="str">
        <f>VLOOKUP(F103,'Customer Info'!$A$1:$C$501,3,0)</f>
        <v>Lebron</v>
      </c>
      <c r="I103" s="6" t="str">
        <f>VLOOKUP(F103,Customer,5,0)</f>
        <v>Erftstadt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648</v>
      </c>
      <c r="O103" s="2">
        <v>30</v>
      </c>
      <c r="P103" s="8">
        <f t="shared" si="7"/>
        <v>678</v>
      </c>
      <c r="Q103" s="8">
        <f t="shared" si="8"/>
        <v>56</v>
      </c>
      <c r="R103" s="2" t="s">
        <v>28</v>
      </c>
      <c r="S103" s="24">
        <f t="shared" si="9"/>
        <v>0.02</v>
      </c>
    </row>
    <row r="104" spans="1:19" x14ac:dyDescent="0.25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VLOOKUP(F104,'Customer Info'!$A:$B,2,0)</f>
        <v>Brenda</v>
      </c>
      <c r="H104" s="6" t="str">
        <f>VLOOKUP(F104,'Customer Info'!$A$1:$C$501,3,0)</f>
        <v>Bowman</v>
      </c>
      <c r="I104" s="6" t="str">
        <f>VLOOKUP(F104,Customer,5,0)</f>
        <v>Perth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1626</v>
      </c>
      <c r="O104" s="2">
        <v>35</v>
      </c>
      <c r="P104" s="8">
        <f t="shared" si="7"/>
        <v>1661</v>
      </c>
      <c r="Q104" s="8">
        <f t="shared" si="8"/>
        <v>150</v>
      </c>
      <c r="R104" s="2" t="s">
        <v>28</v>
      </c>
      <c r="S104" s="24">
        <f t="shared" si="9"/>
        <v>0.02</v>
      </c>
    </row>
    <row r="105" spans="1:19" x14ac:dyDescent="0.25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VLOOKUP(F105,'Customer Info'!$A:$B,2,0)</f>
        <v>Jenna</v>
      </c>
      <c r="H105" s="6" t="str">
        <f>VLOOKUP(F105,'Customer Info'!$A$1:$C$501,3,0)</f>
        <v>Caffey</v>
      </c>
      <c r="I105" s="6" t="str">
        <f>VLOOKUP(F105,Customer,5,0)</f>
        <v>Kanpur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5488</v>
      </c>
      <c r="O105" s="2">
        <v>68</v>
      </c>
      <c r="P105" s="8">
        <f t="shared" si="7"/>
        <v>5556</v>
      </c>
      <c r="Q105" s="8">
        <f t="shared" si="8"/>
        <v>256</v>
      </c>
      <c r="R105" s="2" t="s">
        <v>28</v>
      </c>
      <c r="S105" s="24">
        <f t="shared" si="9"/>
        <v>0.05</v>
      </c>
    </row>
    <row r="106" spans="1:19" x14ac:dyDescent="0.25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VLOOKUP(F106,'Customer Info'!$A:$B,2,0)</f>
        <v>Todd</v>
      </c>
      <c r="H106" s="6" t="str">
        <f>VLOOKUP(F106,'Customer Info'!$A$1:$C$501,3,0)</f>
        <v>Sumrall</v>
      </c>
      <c r="I106" s="6" t="str">
        <f>VLOOKUP(F106,Customer,5,0)</f>
        <v>Yangzhou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4758</v>
      </c>
      <c r="O106" s="2">
        <v>93</v>
      </c>
      <c r="P106" s="8">
        <f t="shared" si="7"/>
        <v>4851</v>
      </c>
      <c r="Q106" s="8">
        <f t="shared" si="8"/>
        <v>228</v>
      </c>
      <c r="R106" s="2" t="s">
        <v>50</v>
      </c>
      <c r="S106" s="24">
        <f t="shared" si="9"/>
        <v>0.02</v>
      </c>
    </row>
    <row r="107" spans="1:19" x14ac:dyDescent="0.25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VLOOKUP(F107,'Customer Info'!$A:$B,2,0)</f>
        <v>Sara</v>
      </c>
      <c r="H107" s="6" t="str">
        <f>VLOOKUP(F107,'Customer Info'!$A$1:$C$501,3,0)</f>
        <v>Luxemburg</v>
      </c>
      <c r="I107" s="6" t="str">
        <f>VLOOKUP(F107,Customer,5,0)</f>
        <v>Luoyang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2904</v>
      </c>
      <c r="O107" s="2">
        <v>58</v>
      </c>
      <c r="P107" s="8">
        <f t="shared" si="7"/>
        <v>2962</v>
      </c>
      <c r="Q107" s="8">
        <f t="shared" si="8"/>
        <v>320</v>
      </c>
      <c r="R107" s="2" t="s">
        <v>28</v>
      </c>
      <c r="S107" s="24">
        <f t="shared" si="9"/>
        <v>0.02</v>
      </c>
    </row>
    <row r="108" spans="1:19" x14ac:dyDescent="0.25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VLOOKUP(F108,'Customer Info'!$A:$B,2,0)</f>
        <v>Xylona</v>
      </c>
      <c r="H108" s="6" t="str">
        <f>VLOOKUP(F108,'Customer Info'!$A$1:$C$501,3,0)</f>
        <v>Preis</v>
      </c>
      <c r="I108" s="6" t="str">
        <f>VLOOKUP(F108,Customer,5,0)</f>
        <v>Qidong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426</v>
      </c>
      <c r="O108" s="2">
        <v>30</v>
      </c>
      <c r="P108" s="8">
        <f t="shared" si="7"/>
        <v>456</v>
      </c>
      <c r="Q108" s="8">
        <f t="shared" si="8"/>
        <v>24</v>
      </c>
      <c r="R108" s="2" t="s">
        <v>50</v>
      </c>
      <c r="S108" s="24">
        <f t="shared" si="9"/>
        <v>0.02</v>
      </c>
    </row>
    <row r="109" spans="1:19" x14ac:dyDescent="0.25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VLOOKUP(F109,'Customer Info'!$A:$B,2,0)</f>
        <v>Jas</v>
      </c>
      <c r="H109" s="6" t="str">
        <f>VLOOKUP(F109,'Customer Info'!$A$1:$C$501,3,0)</f>
        <v>O'Carroll</v>
      </c>
      <c r="I109" s="6" t="str">
        <f>VLOOKUP(F109,Customer,5,0)</f>
        <v>Essen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10626</v>
      </c>
      <c r="O109" s="2">
        <v>24</v>
      </c>
      <c r="P109" s="8">
        <f t="shared" si="7"/>
        <v>10650</v>
      </c>
      <c r="Q109" s="8">
        <f t="shared" si="8"/>
        <v>882</v>
      </c>
      <c r="R109" s="2" t="s">
        <v>26</v>
      </c>
      <c r="S109" s="24">
        <f t="shared" si="9"/>
        <v>0.05</v>
      </c>
    </row>
    <row r="110" spans="1:19" x14ac:dyDescent="0.25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VLOOKUP(F110,'Customer Info'!$A:$B,2,0)</f>
        <v>Mick</v>
      </c>
      <c r="H110" s="6" t="str">
        <f>VLOOKUP(F110,'Customer Info'!$A$1:$C$501,3,0)</f>
        <v>Brown</v>
      </c>
      <c r="I110" s="6" t="str">
        <f>VLOOKUP(F110,Customer,5,0)</f>
        <v>Frankfurt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7545</v>
      </c>
      <c r="O110" s="2">
        <v>60</v>
      </c>
      <c r="P110" s="8">
        <f t="shared" si="7"/>
        <v>7605</v>
      </c>
      <c r="Q110" s="8">
        <f t="shared" si="8"/>
        <v>354</v>
      </c>
      <c r="R110" s="2" t="s">
        <v>28</v>
      </c>
      <c r="S110" s="24">
        <f t="shared" si="9"/>
        <v>0.05</v>
      </c>
    </row>
    <row r="111" spans="1:19" x14ac:dyDescent="0.25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VLOOKUP(F111,'Customer Info'!$A:$B,2,0)</f>
        <v>Michelle</v>
      </c>
      <c r="H111" s="6" t="str">
        <f>VLOOKUP(F111,'Customer Info'!$A$1:$C$501,3,0)</f>
        <v>Arnett</v>
      </c>
      <c r="I111" s="6" t="str">
        <f>VLOOKUP(F111,Customer,5,0)</f>
        <v>Yancheng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17756</v>
      </c>
      <c r="O111" s="2">
        <v>72</v>
      </c>
      <c r="P111" s="8">
        <f t="shared" si="7"/>
        <v>17828</v>
      </c>
      <c r="Q111" s="8">
        <f t="shared" si="8"/>
        <v>1928</v>
      </c>
      <c r="R111" s="2" t="s">
        <v>28</v>
      </c>
      <c r="S111" s="24">
        <f t="shared" si="9"/>
        <v>0.05</v>
      </c>
    </row>
    <row r="112" spans="1:19" x14ac:dyDescent="0.25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VLOOKUP(F112,'Customer Info'!$A:$B,2,0)</f>
        <v>Toby</v>
      </c>
      <c r="H112" s="6" t="str">
        <f>VLOOKUP(F112,'Customer Info'!$A$1:$C$501,3,0)</f>
        <v>Braunhardt</v>
      </c>
      <c r="I112" s="6" t="str">
        <f>VLOOKUP(F112,Customer,5,0)</f>
        <v>Jiangyan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25953</v>
      </c>
      <c r="O112" s="2">
        <v>66</v>
      </c>
      <c r="P112" s="8">
        <f t="shared" si="7"/>
        <v>26019</v>
      </c>
      <c r="Q112" s="8">
        <f t="shared" si="8"/>
        <v>1710</v>
      </c>
      <c r="R112" s="2" t="s">
        <v>28</v>
      </c>
      <c r="S112" s="24">
        <f t="shared" si="9"/>
        <v>7.0000000000000007E-2</v>
      </c>
    </row>
    <row r="113" spans="1:19" x14ac:dyDescent="0.25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VLOOKUP(F113,'Customer Info'!$A:$B,2,0)</f>
        <v>Tony</v>
      </c>
      <c r="H113" s="6" t="str">
        <f>VLOOKUP(F113,'Customer Info'!$A$1:$C$501,3,0)</f>
        <v>Sayre</v>
      </c>
      <c r="I113" s="6" t="str">
        <f>VLOOKUP(F113,Customer,5,0)</f>
        <v>Jakarta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1290</v>
      </c>
      <c r="O113" s="2">
        <v>91</v>
      </c>
      <c r="P113" s="8">
        <f t="shared" si="7"/>
        <v>1381</v>
      </c>
      <c r="Q113" s="8">
        <f t="shared" si="8"/>
        <v>160</v>
      </c>
      <c r="R113" s="2" t="s">
        <v>50</v>
      </c>
      <c r="S113" s="24">
        <f t="shared" si="9"/>
        <v>0.02</v>
      </c>
    </row>
    <row r="114" spans="1:19" x14ac:dyDescent="0.25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VLOOKUP(F114,'Customer Info'!$A:$B,2,0)</f>
        <v>Nick</v>
      </c>
      <c r="H114" s="6" t="str">
        <f>VLOOKUP(F114,'Customer Info'!$A$1:$C$501,3,0)</f>
        <v>Radford</v>
      </c>
      <c r="I114" s="6" t="str">
        <f>VLOOKUP(F114,Customer,5,0)</f>
        <v>Lucknow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125</v>
      </c>
      <c r="O114" s="2">
        <v>30</v>
      </c>
      <c r="P114" s="8">
        <f t="shared" si="7"/>
        <v>155</v>
      </c>
      <c r="Q114" s="8">
        <f t="shared" si="8"/>
        <v>12</v>
      </c>
      <c r="R114" s="2" t="s">
        <v>28</v>
      </c>
      <c r="S114" s="24">
        <f t="shared" si="9"/>
        <v>0.02</v>
      </c>
    </row>
    <row r="115" spans="1:19" x14ac:dyDescent="0.25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VLOOKUP(F115,'Customer Info'!$A:$B,2,0)</f>
        <v>Anthony</v>
      </c>
      <c r="H115" s="6" t="str">
        <f>VLOOKUP(F115,'Customer Info'!$A$1:$C$501,3,0)</f>
        <v>Rawles</v>
      </c>
      <c r="I115" s="6" t="str">
        <f>VLOOKUP(F115,Customer,5,0)</f>
        <v>Samarinda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278</v>
      </c>
      <c r="O115" s="2">
        <v>30</v>
      </c>
      <c r="P115" s="8">
        <f t="shared" si="7"/>
        <v>308</v>
      </c>
      <c r="Q115" s="8">
        <f t="shared" si="8"/>
        <v>18</v>
      </c>
      <c r="R115" s="2" t="s">
        <v>28</v>
      </c>
      <c r="S115" s="24">
        <f t="shared" si="9"/>
        <v>0.02</v>
      </c>
    </row>
    <row r="116" spans="1:19" x14ac:dyDescent="0.25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VLOOKUP(F116,'Customer Info'!$A:$B,2,0)</f>
        <v>Melanie</v>
      </c>
      <c r="H116" s="6" t="str">
        <f>VLOOKUP(F116,'Customer Info'!$A$1:$C$501,3,0)</f>
        <v>Seite</v>
      </c>
      <c r="I116" s="6" t="str">
        <f>VLOOKUP(F116,Customer,5,0)</f>
        <v>Xining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9768</v>
      </c>
      <c r="O116" s="2">
        <v>90</v>
      </c>
      <c r="P116" s="8">
        <f t="shared" si="7"/>
        <v>9858</v>
      </c>
      <c r="Q116" s="8">
        <f t="shared" si="8"/>
        <v>891</v>
      </c>
      <c r="R116" s="2" t="s">
        <v>50</v>
      </c>
      <c r="S116" s="24">
        <f t="shared" si="9"/>
        <v>0.05</v>
      </c>
    </row>
    <row r="117" spans="1:19" x14ac:dyDescent="0.25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VLOOKUP(F117,'Customer Info'!$A:$B,2,0)</f>
        <v>Cathy</v>
      </c>
      <c r="H117" s="6" t="str">
        <f>VLOOKUP(F117,'Customer Info'!$A$1:$C$501,3,0)</f>
        <v>Hwang</v>
      </c>
      <c r="I117" s="6" t="str">
        <f>VLOOKUP(F117,Customer,5,0)</f>
        <v>Trier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743</v>
      </c>
      <c r="O117" s="2">
        <v>99</v>
      </c>
      <c r="P117" s="8">
        <f t="shared" si="7"/>
        <v>842</v>
      </c>
      <c r="Q117" s="8">
        <f t="shared" si="8"/>
        <v>49</v>
      </c>
      <c r="R117" s="2" t="s">
        <v>28</v>
      </c>
      <c r="S117" s="24">
        <f t="shared" si="9"/>
        <v>0.02</v>
      </c>
    </row>
    <row r="118" spans="1:19" x14ac:dyDescent="0.25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VLOOKUP(F118,'Customer Info'!$A:$B,2,0)</f>
        <v>Cyra</v>
      </c>
      <c r="H118" s="6" t="str">
        <f>VLOOKUP(F118,'Customer Info'!$A$1:$C$501,3,0)</f>
        <v>Reiten</v>
      </c>
      <c r="I118" s="6" t="str">
        <f>VLOOKUP(F118,Customer,5,0)</f>
        <v>Samarinda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3558</v>
      </c>
      <c r="O118" s="2">
        <v>48</v>
      </c>
      <c r="P118" s="8">
        <f t="shared" si="7"/>
        <v>3606</v>
      </c>
      <c r="Q118" s="8">
        <f t="shared" si="8"/>
        <v>135</v>
      </c>
      <c r="R118" s="2" t="s">
        <v>28</v>
      </c>
      <c r="S118" s="24">
        <f t="shared" si="9"/>
        <v>0.02</v>
      </c>
    </row>
    <row r="119" spans="1:19" x14ac:dyDescent="0.25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VLOOKUP(F119,'Customer Info'!$A:$B,2,0)</f>
        <v>Darren</v>
      </c>
      <c r="H119" s="6" t="str">
        <f>VLOOKUP(F119,'Customer Info'!$A$1:$C$501,3,0)</f>
        <v>Powers</v>
      </c>
      <c r="I119" s="6" t="str">
        <f>VLOOKUP(F119,Customer,5,0)</f>
        <v>Depok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23720</v>
      </c>
      <c r="O119" s="2">
        <v>33</v>
      </c>
      <c r="P119" s="8">
        <f t="shared" si="7"/>
        <v>23753</v>
      </c>
      <c r="Q119" s="8">
        <f t="shared" si="8"/>
        <v>2168</v>
      </c>
      <c r="R119" s="2" t="s">
        <v>28</v>
      </c>
      <c r="S119" s="24">
        <f t="shared" si="9"/>
        <v>0.05</v>
      </c>
    </row>
    <row r="120" spans="1:19" x14ac:dyDescent="0.25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VLOOKUP(F120,'Customer Info'!$A:$B,2,0)</f>
        <v>Yana</v>
      </c>
      <c r="H120" s="6" t="str">
        <f>VLOOKUP(F120,'Customer Info'!$A$1:$C$501,3,0)</f>
        <v>Sorensen</v>
      </c>
      <c r="I120" s="6" t="str">
        <f>VLOOKUP(F120,Customer,5,0)</f>
        <v>Bottrop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60</v>
      </c>
      <c r="O120" s="2">
        <v>10</v>
      </c>
      <c r="P120" s="8">
        <f t="shared" si="7"/>
        <v>70</v>
      </c>
      <c r="Q120" s="8">
        <f t="shared" si="8"/>
        <v>2</v>
      </c>
      <c r="R120" s="2" t="s">
        <v>50</v>
      </c>
      <c r="S120" s="24">
        <f t="shared" si="9"/>
        <v>0.02</v>
      </c>
    </row>
    <row r="121" spans="1:19" x14ac:dyDescent="0.25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VLOOKUP(F121,'Customer Info'!$A:$B,2,0)</f>
        <v>Mick</v>
      </c>
      <c r="H121" s="6" t="str">
        <f>VLOOKUP(F121,'Customer Info'!$A$1:$C$501,3,0)</f>
        <v>Crebagga</v>
      </c>
      <c r="I121" s="6" t="str">
        <f>VLOOKUP(F121,Customer,5,0)</f>
        <v>Banjarmasin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567</v>
      </c>
      <c r="O121" s="2">
        <v>10</v>
      </c>
      <c r="P121" s="8">
        <f t="shared" si="7"/>
        <v>577</v>
      </c>
      <c r="Q121" s="8">
        <f t="shared" si="8"/>
        <v>45</v>
      </c>
      <c r="R121" s="2" t="s">
        <v>28</v>
      </c>
      <c r="S121" s="24">
        <f t="shared" si="9"/>
        <v>0.02</v>
      </c>
    </row>
    <row r="122" spans="1:19" x14ac:dyDescent="0.25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VLOOKUP(F122,'Customer Info'!$A:$B,2,0)</f>
        <v>Jill</v>
      </c>
      <c r="H122" s="6" t="str">
        <f>VLOOKUP(F122,'Customer Info'!$A$1:$C$501,3,0)</f>
        <v>Stevenson</v>
      </c>
      <c r="I122" s="6" t="str">
        <f>VLOOKUP(F122,Customer,5,0)</f>
        <v>Bengbu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1382</v>
      </c>
      <c r="O122" s="2">
        <v>57</v>
      </c>
      <c r="P122" s="8">
        <f t="shared" si="7"/>
        <v>1439</v>
      </c>
      <c r="Q122" s="8">
        <f t="shared" si="8"/>
        <v>90</v>
      </c>
      <c r="R122" s="2" t="s">
        <v>28</v>
      </c>
      <c r="S122" s="24">
        <f t="shared" si="9"/>
        <v>0.02</v>
      </c>
    </row>
    <row r="123" spans="1:19" x14ac:dyDescent="0.25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VLOOKUP(F123,'Customer Info'!$A:$B,2,0)</f>
        <v>Thea</v>
      </c>
      <c r="H123" s="6" t="str">
        <f>VLOOKUP(F123,'Customer Info'!$A$1:$C$501,3,0)</f>
        <v>Hudgings</v>
      </c>
      <c r="I123" s="6" t="str">
        <f>VLOOKUP(F123,Customer,5,0)</f>
        <v>Anshan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1587</v>
      </c>
      <c r="O123" s="2">
        <v>81</v>
      </c>
      <c r="P123" s="8">
        <f t="shared" si="7"/>
        <v>1668</v>
      </c>
      <c r="Q123" s="8">
        <f t="shared" si="8"/>
        <v>159</v>
      </c>
      <c r="R123" s="2" t="s">
        <v>26</v>
      </c>
      <c r="S123" s="24">
        <f t="shared" si="9"/>
        <v>0.02</v>
      </c>
    </row>
    <row r="124" spans="1:19" x14ac:dyDescent="0.25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VLOOKUP(F124,'Customer Info'!$A:$B,2,0)</f>
        <v>Maureen</v>
      </c>
      <c r="H124" s="6" t="str">
        <f>VLOOKUP(F124,'Customer Info'!$A$1:$C$501,3,0)</f>
        <v>Fritzler</v>
      </c>
      <c r="I124" s="6" t="str">
        <f>VLOOKUP(F124,Customer,5,0)</f>
        <v>BadenBaden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3632</v>
      </c>
      <c r="O124" s="2">
        <v>47</v>
      </c>
      <c r="P124" s="8">
        <f t="shared" si="7"/>
        <v>3679</v>
      </c>
      <c r="Q124" s="8">
        <f t="shared" si="8"/>
        <v>234</v>
      </c>
      <c r="R124" s="2" t="s">
        <v>26</v>
      </c>
      <c r="S124" s="24">
        <f t="shared" si="9"/>
        <v>0.02</v>
      </c>
    </row>
    <row r="125" spans="1:19" x14ac:dyDescent="0.25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VLOOKUP(F125,'Customer Info'!$A:$B,2,0)</f>
        <v>Erica</v>
      </c>
      <c r="H125" s="6" t="str">
        <f>VLOOKUP(F125,'Customer Info'!$A$1:$C$501,3,0)</f>
        <v>Smith</v>
      </c>
      <c r="I125" s="6" t="str">
        <f>VLOOKUP(F125,Customer,5,0)</f>
        <v>Halle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3306</v>
      </c>
      <c r="O125" s="2">
        <v>49</v>
      </c>
      <c r="P125" s="8">
        <f t="shared" si="7"/>
        <v>3355</v>
      </c>
      <c r="Q125" s="8">
        <f t="shared" si="8"/>
        <v>186</v>
      </c>
      <c r="R125" s="2" t="s">
        <v>28</v>
      </c>
      <c r="S125" s="24">
        <f t="shared" si="9"/>
        <v>0.02</v>
      </c>
    </row>
    <row r="126" spans="1:19" x14ac:dyDescent="0.25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VLOOKUP(F126,'Customer Info'!$A:$B,2,0)</f>
        <v>Beth</v>
      </c>
      <c r="H126" s="6" t="str">
        <f>VLOOKUP(F126,'Customer Info'!$A$1:$C$501,3,0)</f>
        <v>Thompson</v>
      </c>
      <c r="I126" s="6" t="str">
        <f>VLOOKUP(F126,Customer,5,0)</f>
        <v>Lohne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30436</v>
      </c>
      <c r="O126" s="2">
        <v>76</v>
      </c>
      <c r="P126" s="8">
        <f t="shared" si="7"/>
        <v>30512</v>
      </c>
      <c r="Q126" s="8">
        <f t="shared" si="8"/>
        <v>1444</v>
      </c>
      <c r="R126" s="2" t="s">
        <v>28</v>
      </c>
      <c r="S126" s="24">
        <f t="shared" si="9"/>
        <v>7.0000000000000007E-2</v>
      </c>
    </row>
    <row r="127" spans="1:19" x14ac:dyDescent="0.25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VLOOKUP(F127,'Customer Info'!$A:$B,2,0)</f>
        <v>Ann</v>
      </c>
      <c r="H127" s="6" t="str">
        <f>VLOOKUP(F127,'Customer Info'!$A$1:$C$501,3,0)</f>
        <v>Chong</v>
      </c>
      <c r="I127" s="6" t="str">
        <f>VLOOKUP(F127,Customer,5,0)</f>
        <v>Sydney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2810</v>
      </c>
      <c r="O127" s="2">
        <v>36</v>
      </c>
      <c r="P127" s="8">
        <f t="shared" si="7"/>
        <v>2846</v>
      </c>
      <c r="Q127" s="8">
        <f t="shared" si="8"/>
        <v>236</v>
      </c>
      <c r="R127" s="2" t="s">
        <v>28</v>
      </c>
      <c r="S127" s="24">
        <f t="shared" si="9"/>
        <v>0.02</v>
      </c>
    </row>
    <row r="128" spans="1:19" x14ac:dyDescent="0.25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VLOOKUP(F128,'Customer Info'!$A:$B,2,0)</f>
        <v>Sarah</v>
      </c>
      <c r="H128" s="6" t="str">
        <f>VLOOKUP(F128,'Customer Info'!$A$1:$C$501,3,0)</f>
        <v>Foster</v>
      </c>
      <c r="I128" s="6" t="str">
        <f>VLOOKUP(F128,Customer,5,0)</f>
        <v>Xianning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90408</v>
      </c>
      <c r="O128" s="2">
        <v>24</v>
      </c>
      <c r="P128" s="8">
        <f t="shared" si="7"/>
        <v>90432</v>
      </c>
      <c r="Q128" s="8">
        <f t="shared" si="8"/>
        <v>5136</v>
      </c>
      <c r="R128" s="2" t="s">
        <v>26</v>
      </c>
      <c r="S128" s="24">
        <f t="shared" si="9"/>
        <v>0.09</v>
      </c>
    </row>
    <row r="129" spans="1:19" x14ac:dyDescent="0.25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VLOOKUP(F129,'Customer Info'!$A:$B,2,0)</f>
        <v>Alejandro</v>
      </c>
      <c r="H129" s="6" t="str">
        <f>VLOOKUP(F129,'Customer Info'!$A$1:$C$501,3,0)</f>
        <v>Grove</v>
      </c>
      <c r="I129" s="6" t="str">
        <f>VLOOKUP(F129,Customer,5,0)</f>
        <v>Whyalla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1790</v>
      </c>
      <c r="O129" s="2">
        <v>42</v>
      </c>
      <c r="P129" s="8">
        <f t="shared" si="7"/>
        <v>1832</v>
      </c>
      <c r="Q129" s="8">
        <f t="shared" si="8"/>
        <v>84</v>
      </c>
      <c r="R129" s="2" t="s">
        <v>50</v>
      </c>
      <c r="S129" s="24">
        <f t="shared" si="9"/>
        <v>0.02</v>
      </c>
    </row>
    <row r="130" spans="1:19" x14ac:dyDescent="0.25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VLOOKUP(F130,'Customer Info'!$A:$B,2,0)</f>
        <v>Shahid</v>
      </c>
      <c r="H130" s="6" t="str">
        <f>VLOOKUP(F130,'Customer Info'!$A$1:$C$501,3,0)</f>
        <v>Collister</v>
      </c>
      <c r="I130" s="6" t="str">
        <f>VLOOKUP(F130,Customer,5,0)</f>
        <v>Leipzig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674</v>
      </c>
      <c r="O130" s="2">
        <v>22</v>
      </c>
      <c r="P130" s="8">
        <f t="shared" si="7"/>
        <v>696</v>
      </c>
      <c r="Q130" s="8">
        <f t="shared" si="8"/>
        <v>45</v>
      </c>
      <c r="R130" s="2" t="s">
        <v>28</v>
      </c>
      <c r="S130" s="24">
        <f t="shared" si="9"/>
        <v>0.02</v>
      </c>
    </row>
    <row r="131" spans="1:19" x14ac:dyDescent="0.25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VLOOKUP(F131,'Customer Info'!$A:$B,2,0)</f>
        <v>Jill</v>
      </c>
      <c r="H131" s="6" t="str">
        <f>VLOOKUP(F131,'Customer Info'!$A$1:$C$501,3,0)</f>
        <v>Stevenson</v>
      </c>
      <c r="I131" s="6" t="str">
        <f>VLOOKUP(F131,Customer,5,0)</f>
        <v>Bengbu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513</v>
      </c>
      <c r="O131" s="2">
        <v>30</v>
      </c>
      <c r="P131" s="8">
        <f t="shared" si="7"/>
        <v>543</v>
      </c>
      <c r="Q131" s="8">
        <f t="shared" si="8"/>
        <v>54</v>
      </c>
      <c r="R131" s="2" t="s">
        <v>50</v>
      </c>
      <c r="S131" s="24">
        <f t="shared" si="9"/>
        <v>0.02</v>
      </c>
    </row>
    <row r="132" spans="1:19" x14ac:dyDescent="0.25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VLOOKUP(F132,'Customer Info'!$A:$B,2,0)</f>
        <v>Nick</v>
      </c>
      <c r="H132" s="6" t="str">
        <f>VLOOKUP(F132,'Customer Info'!$A$1:$C$501,3,0)</f>
        <v>Zandusky</v>
      </c>
      <c r="I132" s="6" t="str">
        <f>VLOOKUP(F132,Customer,5,0)</f>
        <v>Surabaya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2700</v>
      </c>
      <c r="O132" s="2">
        <v>71</v>
      </c>
      <c r="P132" s="8">
        <f t="shared" si="7"/>
        <v>2771</v>
      </c>
      <c r="Q132" s="8">
        <f t="shared" si="8"/>
        <v>198</v>
      </c>
      <c r="R132" s="2" t="s">
        <v>56</v>
      </c>
      <c r="S132" s="24">
        <f t="shared" si="9"/>
        <v>0.02</v>
      </c>
    </row>
    <row r="133" spans="1:19" x14ac:dyDescent="0.25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VLOOKUP(F133,'Customer Info'!$A:$B,2,0)</f>
        <v>Robert</v>
      </c>
      <c r="H133" s="6" t="str">
        <f>VLOOKUP(F133,'Customer Info'!$A$1:$C$501,3,0)</f>
        <v>Waldorf</v>
      </c>
      <c r="I133" s="6" t="str">
        <f>VLOOKUP(F133,Customer,5,0)</f>
        <v>Emden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6540</v>
      </c>
      <c r="O133" s="2">
        <v>33</v>
      </c>
      <c r="P133" s="8">
        <f t="shared" si="7"/>
        <v>6573</v>
      </c>
      <c r="Q133" s="8">
        <f t="shared" si="8"/>
        <v>248</v>
      </c>
      <c r="R133" s="2" t="s">
        <v>28</v>
      </c>
      <c r="S133" s="24">
        <f t="shared" si="9"/>
        <v>0.05</v>
      </c>
    </row>
    <row r="134" spans="1:19" x14ac:dyDescent="0.25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VLOOKUP(F134,'Customer Info'!$A:$B,2,0)</f>
        <v>Paul</v>
      </c>
      <c r="H134" s="6" t="str">
        <f>VLOOKUP(F134,'Customer Info'!$A$1:$C$501,3,0)</f>
        <v>Gonzalez</v>
      </c>
      <c r="I134" s="6" t="str">
        <f>VLOOKUP(F134,Customer,5,0)</f>
        <v>Durgapur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7528</v>
      </c>
      <c r="O134" s="2">
        <v>44</v>
      </c>
      <c r="P134" s="8">
        <f t="shared" si="7"/>
        <v>7572</v>
      </c>
      <c r="Q134" s="8">
        <f t="shared" si="8"/>
        <v>360</v>
      </c>
      <c r="R134" s="2" t="s">
        <v>50</v>
      </c>
      <c r="S134" s="24">
        <f t="shared" si="9"/>
        <v>0.05</v>
      </c>
    </row>
    <row r="135" spans="1:19" x14ac:dyDescent="0.25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VLOOKUP(F135,'Customer Info'!$A:$B,2,0)</f>
        <v>Ryan</v>
      </c>
      <c r="H135" s="6" t="str">
        <f>VLOOKUP(F135,'Customer Info'!$A$1:$C$501,3,0)</f>
        <v>Crowe</v>
      </c>
      <c r="I135" s="6" t="str">
        <f>VLOOKUP(F135,Customer,5,0)</f>
        <v>Kanpur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1578</v>
      </c>
      <c r="O135" s="2">
        <v>36</v>
      </c>
      <c r="P135" s="8">
        <f t="shared" si="7"/>
        <v>1614</v>
      </c>
      <c r="Q135" s="8">
        <f t="shared" si="8"/>
        <v>117</v>
      </c>
      <c r="R135" s="2" t="s">
        <v>28</v>
      </c>
      <c r="S135" s="24">
        <f t="shared" si="9"/>
        <v>0.02</v>
      </c>
    </row>
    <row r="136" spans="1:19" x14ac:dyDescent="0.25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VLOOKUP(F136,'Customer Info'!$A:$B,2,0)</f>
        <v>Darren</v>
      </c>
      <c r="H136" s="6" t="str">
        <f>VLOOKUP(F136,'Customer Info'!$A$1:$C$501,3,0)</f>
        <v>Powers</v>
      </c>
      <c r="I136" s="6" t="str">
        <f>VLOOKUP(F136,Customer,5,0)</f>
        <v>Depok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6384</v>
      </c>
      <c r="O136" s="2">
        <v>73</v>
      </c>
      <c r="P136" s="8">
        <f t="shared" si="7"/>
        <v>6457</v>
      </c>
      <c r="Q136" s="8">
        <f t="shared" si="8"/>
        <v>362</v>
      </c>
      <c r="R136" s="2" t="s">
        <v>28</v>
      </c>
      <c r="S136" s="24">
        <f t="shared" si="9"/>
        <v>0.05</v>
      </c>
    </row>
    <row r="137" spans="1:19" x14ac:dyDescent="0.25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VLOOKUP(F137,'Customer Info'!$A:$B,2,0)</f>
        <v>Justin</v>
      </c>
      <c r="H137" s="6" t="str">
        <f>VLOOKUP(F137,'Customer Info'!$A$1:$C$501,3,0)</f>
        <v>Hirsh</v>
      </c>
      <c r="I137" s="6" t="str">
        <f>VLOOKUP(F137,Customer,5,0)</f>
        <v>Surakarta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2225</v>
      </c>
      <c r="O137" s="2">
        <v>72</v>
      </c>
      <c r="P137" s="8">
        <f t="shared" si="7"/>
        <v>2297</v>
      </c>
      <c r="Q137" s="8">
        <f t="shared" si="8"/>
        <v>150</v>
      </c>
      <c r="R137" s="2" t="s">
        <v>28</v>
      </c>
      <c r="S137" s="24">
        <f t="shared" si="9"/>
        <v>0.02</v>
      </c>
    </row>
    <row r="138" spans="1:19" x14ac:dyDescent="0.25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VLOOKUP(F138,'Customer Info'!$A:$B,2,0)</f>
        <v>Julia</v>
      </c>
      <c r="H138" s="6" t="str">
        <f>VLOOKUP(F138,'Customer Info'!$A$1:$C$501,3,0)</f>
        <v>Barnett</v>
      </c>
      <c r="I138" s="6" t="str">
        <f>VLOOKUP(F138,Customer,5,0)</f>
        <v>Zhuhai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3996</v>
      </c>
      <c r="O138" s="2">
        <v>23</v>
      </c>
      <c r="P138" s="8">
        <f t="shared" si="7"/>
        <v>4019</v>
      </c>
      <c r="Q138" s="8">
        <f t="shared" si="8"/>
        <v>150</v>
      </c>
      <c r="R138" s="2" t="s">
        <v>50</v>
      </c>
      <c r="S138" s="24">
        <f t="shared" si="9"/>
        <v>0.02</v>
      </c>
    </row>
    <row r="139" spans="1:19" x14ac:dyDescent="0.25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VLOOKUP(F139,'Customer Info'!$A:$B,2,0)</f>
        <v>Brendan</v>
      </c>
      <c r="H139" s="6" t="str">
        <f>VLOOKUP(F139,'Customer Info'!$A$1:$C$501,3,0)</f>
        <v>Dodson</v>
      </c>
      <c r="I139" s="6" t="str">
        <f>VLOOKUP(F139,Customer,5,0)</f>
        <v>Adelaide</v>
      </c>
      <c r="J139" s="2">
        <v>877</v>
      </c>
      <c r="K139" s="2">
        <v>788</v>
      </c>
      <c r="L139" s="2">
        <v>3</v>
      </c>
      <c r="M139" s="7">
        <f t="shared" ref="M139:M202" si="10">K139*L139</f>
        <v>2364</v>
      </c>
      <c r="N139" s="7">
        <f t="shared" ref="N139:N202" si="11">J139*L139</f>
        <v>2631</v>
      </c>
      <c r="O139" s="2">
        <v>81</v>
      </c>
      <c r="P139" s="8">
        <f t="shared" ref="P139:P202" si="12">N139+O139</f>
        <v>2712</v>
      </c>
      <c r="Q139" s="8">
        <f t="shared" ref="Q139:Q202" si="13">N139-M139</f>
        <v>267</v>
      </c>
      <c r="R139" s="2" t="s">
        <v>28</v>
      </c>
      <c r="S139" s="24">
        <f t="shared" ref="S139:S202" si="14">VLOOKUP(N139,$T$1:$U$7,2,TRUE)</f>
        <v>0.02</v>
      </c>
    </row>
    <row r="140" spans="1:19" x14ac:dyDescent="0.25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VLOOKUP(F140,'Customer Info'!$A:$B,2,0)</f>
        <v>Randy</v>
      </c>
      <c r="H140" s="6" t="str">
        <f>VLOOKUP(F140,'Customer Info'!$A$1:$C$501,3,0)</f>
        <v>Ferguson</v>
      </c>
      <c r="I140" s="6" t="str">
        <f>VLOOKUP(F140,Customer,5,0)</f>
        <v>Adelaide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8">
        <f t="shared" si="12"/>
        <v>16087</v>
      </c>
      <c r="Q140" s="8">
        <f t="shared" si="13"/>
        <v>308</v>
      </c>
      <c r="R140" s="2" t="s">
        <v>50</v>
      </c>
      <c r="S140" s="24">
        <f t="shared" si="14"/>
        <v>0.05</v>
      </c>
    </row>
    <row r="141" spans="1:19" x14ac:dyDescent="0.25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VLOOKUP(F141,'Customer Info'!$A:$B,2,0)</f>
        <v>Alex</v>
      </c>
      <c r="H141" s="6" t="str">
        <f>VLOOKUP(F141,'Customer Info'!$A$1:$C$501,3,0)</f>
        <v>Avila</v>
      </c>
      <c r="I141" s="6" t="str">
        <f>VLOOKUP(F141,Customer,5,0)</f>
        <v>Newcastle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8">
        <f t="shared" si="12"/>
        <v>6926</v>
      </c>
      <c r="Q141" s="8">
        <f t="shared" si="13"/>
        <v>692</v>
      </c>
      <c r="R141" s="2" t="s">
        <v>28</v>
      </c>
      <c r="S141" s="24">
        <f t="shared" si="14"/>
        <v>0.05</v>
      </c>
    </row>
    <row r="142" spans="1:19" x14ac:dyDescent="0.25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VLOOKUP(F142,'Customer Info'!$A:$B,2,0)</f>
        <v>Duane</v>
      </c>
      <c r="H142" s="6" t="str">
        <f>VLOOKUP(F142,'Customer Info'!$A$1:$C$501,3,0)</f>
        <v>Huffman</v>
      </c>
      <c r="I142" s="6" t="str">
        <f>VLOOKUP(F142,Customer,5,0)</f>
        <v>Perth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8">
        <f t="shared" si="12"/>
        <v>4020</v>
      </c>
      <c r="Q142" s="8">
        <f t="shared" si="13"/>
        <v>150</v>
      </c>
      <c r="R142" s="2" t="s">
        <v>50</v>
      </c>
      <c r="S142" s="24">
        <f t="shared" si="14"/>
        <v>0.02</v>
      </c>
    </row>
    <row r="143" spans="1:19" x14ac:dyDescent="0.25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VLOOKUP(F143,'Customer Info'!$A:$B,2,0)</f>
        <v>Joy</v>
      </c>
      <c r="H143" s="6" t="str">
        <f>VLOOKUP(F143,'Customer Info'!$A$1:$C$501,3,0)</f>
        <v>Daniels</v>
      </c>
      <c r="I143" s="6" t="str">
        <f>VLOOKUP(F143,Customer,5,0)</f>
        <v>Cairns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8">
        <f t="shared" si="12"/>
        <v>25137</v>
      </c>
      <c r="Q143" s="8">
        <f t="shared" si="13"/>
        <v>954</v>
      </c>
      <c r="R143" s="2" t="s">
        <v>28</v>
      </c>
      <c r="S143" s="24">
        <f t="shared" si="14"/>
        <v>7.0000000000000007E-2</v>
      </c>
    </row>
    <row r="144" spans="1:19" x14ac:dyDescent="0.25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VLOOKUP(F144,'Customer Info'!$A:$B,2,0)</f>
        <v>Stuart</v>
      </c>
      <c r="H144" s="6" t="str">
        <f>VLOOKUP(F144,'Customer Info'!$A$1:$C$501,3,0)</f>
        <v>Calhoun</v>
      </c>
      <c r="I144" s="6" t="str">
        <f>VLOOKUP(F144,Customer,5,0)</f>
        <v>Pforzheim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32104</v>
      </c>
      <c r="O144" s="2">
        <v>87</v>
      </c>
      <c r="P144" s="8">
        <f t="shared" si="12"/>
        <v>32191</v>
      </c>
      <c r="Q144" s="8">
        <f t="shared" si="13"/>
        <v>1816</v>
      </c>
      <c r="R144" s="2" t="s">
        <v>26</v>
      </c>
      <c r="S144" s="24">
        <f t="shared" si="14"/>
        <v>7.0000000000000007E-2</v>
      </c>
    </row>
    <row r="145" spans="1:19" x14ac:dyDescent="0.25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VLOOKUP(F145,'Customer Info'!$A:$B,2,0)</f>
        <v>Andrew</v>
      </c>
      <c r="H145" s="6" t="str">
        <f>VLOOKUP(F145,'Customer Info'!$A$1:$C$501,3,0)</f>
        <v>Gjertsen</v>
      </c>
      <c r="I145" s="6" t="str">
        <f>VLOOKUP(F145,Customer,5,0)</f>
        <v>Hamburg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7820</v>
      </c>
      <c r="O145" s="2">
        <v>41</v>
      </c>
      <c r="P145" s="8">
        <f t="shared" si="12"/>
        <v>7861</v>
      </c>
      <c r="Q145" s="8">
        <f t="shared" si="13"/>
        <v>720</v>
      </c>
      <c r="R145" s="2" t="s">
        <v>28</v>
      </c>
      <c r="S145" s="24">
        <f t="shared" si="14"/>
        <v>0.05</v>
      </c>
    </row>
    <row r="146" spans="1:19" x14ac:dyDescent="0.25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VLOOKUP(F146,'Customer Info'!$A:$B,2,0)</f>
        <v>Jack</v>
      </c>
      <c r="H146" s="6" t="str">
        <f>VLOOKUP(F146,'Customer Info'!$A$1:$C$501,3,0)</f>
        <v>Lebron</v>
      </c>
      <c r="I146" s="6" t="str">
        <f>VLOOKUP(F146,Customer,5,0)</f>
        <v>Erftstadt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2555</v>
      </c>
      <c r="O146" s="2">
        <v>52</v>
      </c>
      <c r="P146" s="8">
        <f t="shared" si="12"/>
        <v>2607</v>
      </c>
      <c r="Q146" s="8">
        <f t="shared" si="13"/>
        <v>215</v>
      </c>
      <c r="R146" s="2" t="s">
        <v>28</v>
      </c>
      <c r="S146" s="24">
        <f t="shared" si="14"/>
        <v>0.02</v>
      </c>
    </row>
    <row r="147" spans="1:19" x14ac:dyDescent="0.25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VLOOKUP(F147,'Customer Info'!$A:$B,2,0)</f>
        <v>Corinna</v>
      </c>
      <c r="H147" s="6" t="str">
        <f>VLOOKUP(F147,'Customer Info'!$A$1:$C$501,3,0)</f>
        <v>Mitchell</v>
      </c>
      <c r="I147" s="6" t="str">
        <f>VLOOKUP(F147,Customer,5,0)</f>
        <v>Augsburg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6126</v>
      </c>
      <c r="O147" s="2">
        <v>66</v>
      </c>
      <c r="P147" s="8">
        <f t="shared" si="12"/>
        <v>6192</v>
      </c>
      <c r="Q147" s="8">
        <f t="shared" si="13"/>
        <v>231</v>
      </c>
      <c r="R147" s="2" t="s">
        <v>50</v>
      </c>
      <c r="S147" s="24">
        <f t="shared" si="14"/>
        <v>0.05</v>
      </c>
    </row>
    <row r="148" spans="1:19" x14ac:dyDescent="0.25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VLOOKUP(F148,'Customer Info'!$A:$B,2,0)</f>
        <v>Victor</v>
      </c>
      <c r="H148" s="6" t="str">
        <f>VLOOKUP(F148,'Customer Info'!$A$1:$C$501,3,0)</f>
        <v>Preis</v>
      </c>
      <c r="I148" s="6" t="str">
        <f>VLOOKUP(F148,Customer,5,0)</f>
        <v>Melbourne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26214</v>
      </c>
      <c r="O148" s="2">
        <v>97</v>
      </c>
      <c r="P148" s="8">
        <f t="shared" si="12"/>
        <v>26311</v>
      </c>
      <c r="Q148" s="8">
        <f t="shared" si="13"/>
        <v>1728</v>
      </c>
      <c r="R148" s="2" t="s">
        <v>26</v>
      </c>
      <c r="S148" s="24">
        <f t="shared" si="14"/>
        <v>7.0000000000000007E-2</v>
      </c>
    </row>
    <row r="149" spans="1:19" x14ac:dyDescent="0.25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VLOOKUP(F149,'Customer Info'!$A:$B,2,0)</f>
        <v>Cindy</v>
      </c>
      <c r="H149" s="6" t="str">
        <f>VLOOKUP(F149,'Customer Info'!$A$1:$C$501,3,0)</f>
        <v>Schnelling</v>
      </c>
      <c r="I149" s="6" t="str">
        <f>VLOOKUP(F149,Customer,5,0)</f>
        <v>Balikpapan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6337</v>
      </c>
      <c r="O149" s="2">
        <v>75</v>
      </c>
      <c r="P149" s="8">
        <f t="shared" si="12"/>
        <v>6412</v>
      </c>
      <c r="Q149" s="8">
        <f t="shared" si="13"/>
        <v>122</v>
      </c>
      <c r="R149" s="2" t="s">
        <v>28</v>
      </c>
      <c r="S149" s="24">
        <f t="shared" si="14"/>
        <v>0.05</v>
      </c>
    </row>
    <row r="150" spans="1:19" x14ac:dyDescent="0.25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VLOOKUP(F150,'Customer Info'!$A:$B,2,0)</f>
        <v>Cyra</v>
      </c>
      <c r="H150" s="6" t="str">
        <f>VLOOKUP(F150,'Customer Info'!$A$1:$C$501,3,0)</f>
        <v>Reiten</v>
      </c>
      <c r="I150" s="6" t="str">
        <f>VLOOKUP(F150,Customer,5,0)</f>
        <v>Srinagar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11235</v>
      </c>
      <c r="O150" s="2">
        <v>47</v>
      </c>
      <c r="P150" s="8">
        <f t="shared" si="12"/>
        <v>11282</v>
      </c>
      <c r="Q150" s="8">
        <f t="shared" si="13"/>
        <v>525</v>
      </c>
      <c r="R150" s="2" t="s">
        <v>28</v>
      </c>
      <c r="S150" s="24">
        <f t="shared" si="14"/>
        <v>0.05</v>
      </c>
    </row>
    <row r="151" spans="1:19" x14ac:dyDescent="0.25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VLOOKUP(F151,'Customer Info'!$A:$B,2,0)</f>
        <v>Sally</v>
      </c>
      <c r="H151" s="6" t="str">
        <f>VLOOKUP(F151,'Customer Info'!$A$1:$C$501,3,0)</f>
        <v>Knutson</v>
      </c>
      <c r="I151" s="6" t="str">
        <f>VLOOKUP(F151,Customer,5,0)</f>
        <v>CastropRauxel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13530</v>
      </c>
      <c r="O151" s="2">
        <v>39</v>
      </c>
      <c r="P151" s="8">
        <f t="shared" si="12"/>
        <v>13569</v>
      </c>
      <c r="Q151" s="8">
        <f t="shared" si="13"/>
        <v>765</v>
      </c>
      <c r="R151" s="2" t="s">
        <v>50</v>
      </c>
      <c r="S151" s="24">
        <f t="shared" si="14"/>
        <v>0.05</v>
      </c>
    </row>
    <row r="152" spans="1:19" x14ac:dyDescent="0.25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VLOOKUP(F152,'Customer Info'!$A:$B,2,0)</f>
        <v>Sylvia</v>
      </c>
      <c r="H152" s="6" t="str">
        <f>VLOOKUP(F152,'Customer Info'!$A$1:$C$501,3,0)</f>
        <v>Foulston</v>
      </c>
      <c r="I152" s="6" t="str">
        <f>VLOOKUP(F152,Customer,5,0)</f>
        <v>Ludwigsburg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3017</v>
      </c>
      <c r="O152" s="2">
        <v>93</v>
      </c>
      <c r="P152" s="8">
        <f t="shared" si="12"/>
        <v>3110</v>
      </c>
      <c r="Q152" s="8">
        <f t="shared" si="13"/>
        <v>192</v>
      </c>
      <c r="R152" s="2" t="s">
        <v>28</v>
      </c>
      <c r="S152" s="24">
        <f t="shared" si="14"/>
        <v>0.02</v>
      </c>
    </row>
    <row r="153" spans="1:19" x14ac:dyDescent="0.25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VLOOKUP(F153,'Customer Info'!$A:$B,2,0)</f>
        <v>Lynn</v>
      </c>
      <c r="H153" s="6" t="str">
        <f>VLOOKUP(F153,'Customer Info'!$A$1:$C$501,3,0)</f>
        <v>Smith</v>
      </c>
      <c r="I153" s="6" t="str">
        <f>VLOOKUP(F153,Customer,5,0)</f>
        <v>Guiping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5658</v>
      </c>
      <c r="O153" s="2">
        <v>26</v>
      </c>
      <c r="P153" s="8">
        <f t="shared" si="12"/>
        <v>5684</v>
      </c>
      <c r="Q153" s="8">
        <f t="shared" si="13"/>
        <v>466</v>
      </c>
      <c r="R153" s="2" t="s">
        <v>28</v>
      </c>
      <c r="S153" s="24">
        <f t="shared" si="14"/>
        <v>0.05</v>
      </c>
    </row>
    <row r="154" spans="1:19" x14ac:dyDescent="0.25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VLOOKUP(F154,'Customer Info'!$A:$B,2,0)</f>
        <v>Candace</v>
      </c>
      <c r="H154" s="6" t="str">
        <f>VLOOKUP(F154,'Customer Info'!$A$1:$C$501,3,0)</f>
        <v>McMahon</v>
      </c>
      <c r="I154" s="6" t="str">
        <f>VLOOKUP(F154,Customer,5,0)</f>
        <v>Canberra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1772</v>
      </c>
      <c r="O154" s="2">
        <v>72</v>
      </c>
      <c r="P154" s="8">
        <f t="shared" si="12"/>
        <v>1844</v>
      </c>
      <c r="Q154" s="8">
        <f t="shared" si="13"/>
        <v>180</v>
      </c>
      <c r="R154" s="2" t="s">
        <v>28</v>
      </c>
      <c r="S154" s="24">
        <f t="shared" si="14"/>
        <v>0.02</v>
      </c>
    </row>
    <row r="155" spans="1:19" x14ac:dyDescent="0.25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VLOOKUP(F155,'Customer Info'!$A:$B,2,0)</f>
        <v>Roger</v>
      </c>
      <c r="H155" s="6" t="str">
        <f>VLOOKUP(F155,'Customer Info'!$A$1:$C$501,3,0)</f>
        <v>Barcio</v>
      </c>
      <c r="I155" s="6" t="str">
        <f>VLOOKUP(F155,Customer,5,0)</f>
        <v>Celle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8996</v>
      </c>
      <c r="O155" s="2">
        <v>32</v>
      </c>
      <c r="P155" s="8">
        <f t="shared" si="12"/>
        <v>9028</v>
      </c>
      <c r="Q155" s="8">
        <f t="shared" si="13"/>
        <v>588</v>
      </c>
      <c r="R155" s="2" t="s">
        <v>28</v>
      </c>
      <c r="S155" s="24">
        <f t="shared" si="14"/>
        <v>0.05</v>
      </c>
    </row>
    <row r="156" spans="1:19" x14ac:dyDescent="0.25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VLOOKUP(F156,'Customer Info'!$A:$B,2,0)</f>
        <v>Erica</v>
      </c>
      <c r="H156" s="6" t="str">
        <f>VLOOKUP(F156,'Customer Info'!$A$1:$C$501,3,0)</f>
        <v>Hernandez</v>
      </c>
      <c r="I156" s="6" t="str">
        <f>VLOOKUP(F156,Customer,5,0)</f>
        <v>Gold Coast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13284</v>
      </c>
      <c r="O156" s="2">
        <v>99</v>
      </c>
      <c r="P156" s="8">
        <f t="shared" si="12"/>
        <v>13383</v>
      </c>
      <c r="Q156" s="8">
        <f t="shared" si="13"/>
        <v>1328</v>
      </c>
      <c r="R156" s="2" t="s">
        <v>50</v>
      </c>
      <c r="S156" s="24">
        <f t="shared" si="14"/>
        <v>0.05</v>
      </c>
    </row>
    <row r="157" spans="1:19" x14ac:dyDescent="0.25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VLOOKUP(F157,'Customer Info'!$A:$B,2,0)</f>
        <v>Logan</v>
      </c>
      <c r="H157" s="6" t="str">
        <f>VLOOKUP(F157,'Customer Info'!$A$1:$C$501,3,0)</f>
        <v>Currie</v>
      </c>
      <c r="I157" s="6" t="str">
        <f>VLOOKUP(F157,Customer,5,0)</f>
        <v>Amravati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43272</v>
      </c>
      <c r="O157" s="2">
        <v>42</v>
      </c>
      <c r="P157" s="8">
        <f t="shared" si="12"/>
        <v>43314</v>
      </c>
      <c r="Q157" s="8">
        <f t="shared" si="13"/>
        <v>2850</v>
      </c>
      <c r="R157" s="2" t="s">
        <v>28</v>
      </c>
      <c r="S157" s="24">
        <f t="shared" si="14"/>
        <v>7.0000000000000007E-2</v>
      </c>
    </row>
    <row r="158" spans="1:19" x14ac:dyDescent="0.25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VLOOKUP(F158,'Customer Info'!$A:$B,2,0)</f>
        <v>Jennifer</v>
      </c>
      <c r="H158" s="6" t="str">
        <f>VLOOKUP(F158,'Customer Info'!$A$1:$C$501,3,0)</f>
        <v>Jackson</v>
      </c>
      <c r="I158" s="6" t="str">
        <f>VLOOKUP(F158,Customer,5,0)</f>
        <v>Queanbeyan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6732</v>
      </c>
      <c r="O158" s="2">
        <v>23</v>
      </c>
      <c r="P158" s="8">
        <f t="shared" si="12"/>
        <v>6755</v>
      </c>
      <c r="Q158" s="8">
        <f t="shared" si="13"/>
        <v>303</v>
      </c>
      <c r="R158" s="2" t="s">
        <v>50</v>
      </c>
      <c r="S158" s="24">
        <f t="shared" si="14"/>
        <v>0.05</v>
      </c>
    </row>
    <row r="159" spans="1:19" x14ac:dyDescent="0.25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VLOOKUP(F159,'Customer Info'!$A:$B,2,0)</f>
        <v>Bill</v>
      </c>
      <c r="H159" s="6" t="str">
        <f>VLOOKUP(F159,'Customer Info'!$A$1:$C$501,3,0)</f>
        <v>Shonely</v>
      </c>
      <c r="I159" s="6" t="str">
        <f>VLOOKUP(F159,Customer,5,0)</f>
        <v>Jinjiang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204</v>
      </c>
      <c r="O159" s="2">
        <v>10</v>
      </c>
      <c r="P159" s="8">
        <f t="shared" si="12"/>
        <v>214</v>
      </c>
      <c r="Q159" s="8">
        <f t="shared" si="13"/>
        <v>15</v>
      </c>
      <c r="R159" s="2" t="s">
        <v>28</v>
      </c>
      <c r="S159" s="24">
        <f t="shared" si="14"/>
        <v>0.02</v>
      </c>
    </row>
    <row r="160" spans="1:19" x14ac:dyDescent="0.25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VLOOKUP(F160,'Customer Info'!$A:$B,2,0)</f>
        <v>Tamara</v>
      </c>
      <c r="H160" s="6" t="str">
        <f>VLOOKUP(F160,'Customer Info'!$A$1:$C$501,3,0)</f>
        <v>Willingham</v>
      </c>
      <c r="I160" s="6" t="str">
        <f>VLOOKUP(F160,Customer,5,0)</f>
        <v>Sindelfingen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11898</v>
      </c>
      <c r="O160" s="2">
        <v>53</v>
      </c>
      <c r="P160" s="8">
        <f t="shared" si="12"/>
        <v>11951</v>
      </c>
      <c r="Q160" s="8">
        <f t="shared" si="13"/>
        <v>450</v>
      </c>
      <c r="R160" s="2" t="s">
        <v>50</v>
      </c>
      <c r="S160" s="24">
        <f t="shared" si="14"/>
        <v>0.05</v>
      </c>
    </row>
    <row r="161" spans="1:19" x14ac:dyDescent="0.25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VLOOKUP(F161,'Customer Info'!$A:$B,2,0)</f>
        <v>Cathy</v>
      </c>
      <c r="H161" s="6" t="str">
        <f>VLOOKUP(F161,'Customer Info'!$A$1:$C$501,3,0)</f>
        <v>Hwang</v>
      </c>
      <c r="I161" s="6" t="str">
        <f>VLOOKUP(F161,Customer,5,0)</f>
        <v>Ballarat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1518</v>
      </c>
      <c r="O161" s="2">
        <v>74</v>
      </c>
      <c r="P161" s="8">
        <f t="shared" si="12"/>
        <v>1592</v>
      </c>
      <c r="Q161" s="8">
        <f t="shared" si="13"/>
        <v>126</v>
      </c>
      <c r="R161" s="2" t="s">
        <v>28</v>
      </c>
      <c r="S161" s="24">
        <f t="shared" si="14"/>
        <v>0.02</v>
      </c>
    </row>
    <row r="162" spans="1:19" x14ac:dyDescent="0.25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VLOOKUP(F162,'Customer Info'!$A:$B,2,0)</f>
        <v>Carl</v>
      </c>
      <c r="H162" s="6" t="str">
        <f>VLOOKUP(F162,'Customer Info'!$A$1:$C$501,3,0)</f>
        <v>Weiss</v>
      </c>
      <c r="I162" s="6" t="str">
        <f>VLOOKUP(F162,Customer,5,0)</f>
        <v>Delhi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1878</v>
      </c>
      <c r="O162" s="2">
        <v>62</v>
      </c>
      <c r="P162" s="8">
        <f t="shared" si="12"/>
        <v>1940</v>
      </c>
      <c r="Q162" s="8">
        <f t="shared" si="13"/>
        <v>201</v>
      </c>
      <c r="R162" s="2" t="s">
        <v>50</v>
      </c>
      <c r="S162" s="24">
        <f t="shared" si="14"/>
        <v>0.02</v>
      </c>
    </row>
    <row r="163" spans="1:19" x14ac:dyDescent="0.25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VLOOKUP(F163,'Customer Info'!$A:$B,2,0)</f>
        <v>Bill</v>
      </c>
      <c r="H163" s="6" t="str">
        <f>VLOOKUP(F163,'Customer Info'!$A$1:$C$501,3,0)</f>
        <v>Eplett</v>
      </c>
      <c r="I163" s="6" t="str">
        <f>VLOOKUP(F163,Customer,5,0)</f>
        <v>Newcastle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308</v>
      </c>
      <c r="O163" s="2">
        <v>10</v>
      </c>
      <c r="P163" s="8">
        <f t="shared" si="12"/>
        <v>318</v>
      </c>
      <c r="Q163" s="8">
        <f t="shared" si="13"/>
        <v>16</v>
      </c>
      <c r="R163" s="2" t="s">
        <v>28</v>
      </c>
      <c r="S163" s="24">
        <f t="shared" si="14"/>
        <v>0.02</v>
      </c>
    </row>
    <row r="164" spans="1:19" x14ac:dyDescent="0.25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VLOOKUP(F164,'Customer Info'!$A:$B,2,0)</f>
        <v>Tony</v>
      </c>
      <c r="H164" s="6" t="str">
        <f>VLOOKUP(F164,'Customer Info'!$A$1:$C$501,3,0)</f>
        <v>Sayre</v>
      </c>
      <c r="I164" s="6" t="str">
        <f>VLOOKUP(F164,Customer,5,0)</f>
        <v>Jakarta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142</v>
      </c>
      <c r="O164" s="2">
        <v>30</v>
      </c>
      <c r="P164" s="8">
        <f t="shared" si="12"/>
        <v>172</v>
      </c>
      <c r="Q164" s="8">
        <f t="shared" si="13"/>
        <v>8</v>
      </c>
      <c r="R164" s="2" t="s">
        <v>28</v>
      </c>
      <c r="S164" s="24">
        <f t="shared" si="14"/>
        <v>0.02</v>
      </c>
    </row>
    <row r="165" spans="1:19" x14ac:dyDescent="0.25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VLOOKUP(F165,'Customer Info'!$A:$B,2,0)</f>
        <v>Sarah</v>
      </c>
      <c r="H165" s="6" t="str">
        <f>VLOOKUP(F165,'Customer Info'!$A$1:$C$501,3,0)</f>
        <v>Bern</v>
      </c>
      <c r="I165" s="6" t="str">
        <f>VLOOKUP(F165,Customer,5,0)</f>
        <v>Wollongong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19616</v>
      </c>
      <c r="O165" s="2">
        <v>28</v>
      </c>
      <c r="P165" s="8">
        <f t="shared" si="12"/>
        <v>19644</v>
      </c>
      <c r="Q165" s="8">
        <f t="shared" si="13"/>
        <v>1620</v>
      </c>
      <c r="R165" s="2" t="s">
        <v>28</v>
      </c>
      <c r="S165" s="24">
        <f t="shared" si="14"/>
        <v>0.05</v>
      </c>
    </row>
    <row r="166" spans="1:19" x14ac:dyDescent="0.25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VLOOKUP(F166,'Customer Info'!$A:$B,2,0)</f>
        <v>Dennis</v>
      </c>
      <c r="H166" s="6" t="str">
        <f>VLOOKUP(F166,'Customer Info'!$A$1:$C$501,3,0)</f>
        <v>Pardue</v>
      </c>
      <c r="I166" s="6" t="str">
        <f>VLOOKUP(F166,Customer,5,0)</f>
        <v>Pekalongan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52738</v>
      </c>
      <c r="O166" s="2">
        <v>54</v>
      </c>
      <c r="P166" s="8">
        <f t="shared" si="12"/>
        <v>52792</v>
      </c>
      <c r="Q166" s="8">
        <f t="shared" si="13"/>
        <v>2996</v>
      </c>
      <c r="R166" s="2" t="s">
        <v>28</v>
      </c>
      <c r="S166" s="24">
        <f t="shared" si="14"/>
        <v>0.09</v>
      </c>
    </row>
    <row r="167" spans="1:19" x14ac:dyDescent="0.25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VLOOKUP(F167,'Customer Info'!$A:$B,2,0)</f>
        <v>Rachel</v>
      </c>
      <c r="H167" s="6" t="str">
        <f>VLOOKUP(F167,'Customer Info'!$A$1:$C$501,3,0)</f>
        <v>Payne</v>
      </c>
      <c r="I167" s="6" t="str">
        <f>VLOOKUP(F167,Customer,5,0)</f>
        <v>Raipur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15762</v>
      </c>
      <c r="O167" s="2">
        <v>41</v>
      </c>
      <c r="P167" s="8">
        <f t="shared" si="12"/>
        <v>15803</v>
      </c>
      <c r="Q167" s="8">
        <f t="shared" si="13"/>
        <v>594</v>
      </c>
      <c r="R167" s="2" t="s">
        <v>26</v>
      </c>
      <c r="S167" s="24">
        <f t="shared" si="14"/>
        <v>0.05</v>
      </c>
    </row>
    <row r="168" spans="1:19" x14ac:dyDescent="0.25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VLOOKUP(F168,'Customer Info'!$A:$B,2,0)</f>
        <v>Lisa</v>
      </c>
      <c r="H168" s="6" t="str">
        <f>VLOOKUP(F168,'Customer Info'!$A$1:$C$501,3,0)</f>
        <v>DeCherney</v>
      </c>
      <c r="I168" s="6" t="str">
        <f>VLOOKUP(F168,Customer,5,0)</f>
        <v>Sydney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24723</v>
      </c>
      <c r="O168" s="2">
        <v>76</v>
      </c>
      <c r="P168" s="8">
        <f t="shared" si="12"/>
        <v>24799</v>
      </c>
      <c r="Q168" s="8">
        <f t="shared" si="13"/>
        <v>1818</v>
      </c>
      <c r="R168" s="2" t="s">
        <v>28</v>
      </c>
      <c r="S168" s="24">
        <f t="shared" si="14"/>
        <v>0.05</v>
      </c>
    </row>
    <row r="169" spans="1:19" x14ac:dyDescent="0.25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VLOOKUP(F169,'Customer Info'!$A:$B,2,0)</f>
        <v>Guy</v>
      </c>
      <c r="H169" s="6" t="str">
        <f>VLOOKUP(F169,'Customer Info'!$A$1:$C$501,3,0)</f>
        <v>Phonely</v>
      </c>
      <c r="I169" s="6" t="str">
        <f>VLOOKUP(F169,Customer,5,0)</f>
        <v>Jodhpur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3656</v>
      </c>
      <c r="O169" s="2">
        <v>36</v>
      </c>
      <c r="P169" s="8">
        <f t="shared" si="12"/>
        <v>3692</v>
      </c>
      <c r="Q169" s="8">
        <f t="shared" si="13"/>
        <v>336</v>
      </c>
      <c r="R169" s="2" t="s">
        <v>28</v>
      </c>
      <c r="S169" s="24">
        <f t="shared" si="14"/>
        <v>0.02</v>
      </c>
    </row>
    <row r="170" spans="1:19" x14ac:dyDescent="0.25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VLOOKUP(F170,'Customer Info'!$A:$B,2,0)</f>
        <v>Benjamin</v>
      </c>
      <c r="H170" s="6" t="str">
        <f>VLOOKUP(F170,'Customer Info'!$A$1:$C$501,3,0)</f>
        <v>Patterson</v>
      </c>
      <c r="I170" s="6" t="str">
        <f>VLOOKUP(F170,Customer,5,0)</f>
        <v>Tamworth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825</v>
      </c>
      <c r="O170" s="2">
        <v>36</v>
      </c>
      <c r="P170" s="8">
        <f t="shared" si="12"/>
        <v>861</v>
      </c>
      <c r="Q170" s="8">
        <f t="shared" si="13"/>
        <v>32</v>
      </c>
      <c r="R170" s="2" t="s">
        <v>50</v>
      </c>
      <c r="S170" s="24">
        <f t="shared" si="14"/>
        <v>0.02</v>
      </c>
    </row>
    <row r="171" spans="1:19" x14ac:dyDescent="0.25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VLOOKUP(F171,'Customer Info'!$A:$B,2,0)</f>
        <v>Duane</v>
      </c>
      <c r="H171" s="6" t="str">
        <f>VLOOKUP(F171,'Customer Info'!$A$1:$C$501,3,0)</f>
        <v>Huffman</v>
      </c>
      <c r="I171" s="6" t="str">
        <f>VLOOKUP(F171,Customer,5,0)</f>
        <v>Perth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17504</v>
      </c>
      <c r="O171" s="2">
        <v>69</v>
      </c>
      <c r="P171" s="8">
        <f t="shared" si="12"/>
        <v>17573</v>
      </c>
      <c r="Q171" s="8">
        <f t="shared" si="13"/>
        <v>1750</v>
      </c>
      <c r="R171" s="2" t="s">
        <v>28</v>
      </c>
      <c r="S171" s="24">
        <f t="shared" si="14"/>
        <v>0.05</v>
      </c>
    </row>
    <row r="172" spans="1:19" x14ac:dyDescent="0.25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VLOOKUP(F172,'Customer Info'!$A:$B,2,0)</f>
        <v>Kristina</v>
      </c>
      <c r="H172" s="6" t="str">
        <f>VLOOKUP(F172,'Customer Info'!$A$1:$C$501,3,0)</f>
        <v>Nunn</v>
      </c>
      <c r="I172" s="6" t="str">
        <f>VLOOKUP(F172,Customer,5,0)</f>
        <v>Jakarta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1081</v>
      </c>
      <c r="O172" s="2">
        <v>67</v>
      </c>
      <c r="P172" s="8">
        <f t="shared" si="12"/>
        <v>1148</v>
      </c>
      <c r="Q172" s="8">
        <f t="shared" si="13"/>
        <v>98</v>
      </c>
      <c r="R172" s="2" t="s">
        <v>50</v>
      </c>
      <c r="S172" s="24">
        <f t="shared" si="14"/>
        <v>0.02</v>
      </c>
    </row>
    <row r="173" spans="1:19" x14ac:dyDescent="0.25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VLOOKUP(F173,'Customer Info'!$A:$B,2,0)</f>
        <v>Cari</v>
      </c>
      <c r="H173" s="6" t="str">
        <f>VLOOKUP(F173,'Customer Info'!$A$1:$C$501,3,0)</f>
        <v>MacIntyre</v>
      </c>
      <c r="I173" s="6" t="str">
        <f>VLOOKUP(F173,Customer,5,0)</f>
        <v>Suzhou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10160</v>
      </c>
      <c r="O173" s="2">
        <v>92</v>
      </c>
      <c r="P173" s="8">
        <f t="shared" si="12"/>
        <v>10252</v>
      </c>
      <c r="Q173" s="8">
        <f t="shared" si="13"/>
        <v>572</v>
      </c>
      <c r="R173" s="2" t="s">
        <v>28</v>
      </c>
      <c r="S173" s="24">
        <f t="shared" si="14"/>
        <v>0.05</v>
      </c>
    </row>
    <row r="174" spans="1:19" x14ac:dyDescent="0.25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VLOOKUP(F174,'Customer Info'!$A:$B,2,0)</f>
        <v>Lisa</v>
      </c>
      <c r="H174" s="6" t="str">
        <f>VLOOKUP(F174,'Customer Info'!$A$1:$C$501,3,0)</f>
        <v>DeCherney</v>
      </c>
      <c r="I174" s="6" t="str">
        <f>VLOOKUP(F174,Customer,5,0)</f>
        <v>Ningbo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75898</v>
      </c>
      <c r="O174" s="2">
        <v>92</v>
      </c>
      <c r="P174" s="8">
        <f t="shared" si="12"/>
        <v>75990</v>
      </c>
      <c r="Q174" s="8">
        <f t="shared" si="13"/>
        <v>6266</v>
      </c>
      <c r="R174" s="2" t="s">
        <v>28</v>
      </c>
      <c r="S174" s="24">
        <f t="shared" si="14"/>
        <v>0.09</v>
      </c>
    </row>
    <row r="175" spans="1:19" x14ac:dyDescent="0.25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VLOOKUP(F175,'Customer Info'!$A:$B,2,0)</f>
        <v>Jim</v>
      </c>
      <c r="H175" s="6" t="str">
        <f>VLOOKUP(F175,'Customer Info'!$A$1:$C$501,3,0)</f>
        <v>Epp</v>
      </c>
      <c r="I175" s="6" t="str">
        <f>VLOOKUP(F175,Customer,5,0)</f>
        <v>Jingmen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776</v>
      </c>
      <c r="O175" s="2">
        <v>30</v>
      </c>
      <c r="P175" s="8">
        <f t="shared" si="12"/>
        <v>806</v>
      </c>
      <c r="Q175" s="8">
        <f t="shared" si="13"/>
        <v>72</v>
      </c>
      <c r="R175" s="2" t="s">
        <v>50</v>
      </c>
      <c r="S175" s="24">
        <f t="shared" si="14"/>
        <v>0.02</v>
      </c>
    </row>
    <row r="176" spans="1:19" x14ac:dyDescent="0.25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VLOOKUP(F176,'Customer Info'!$A:$B,2,0)</f>
        <v>Dean</v>
      </c>
      <c r="H176" s="6" t="str">
        <f>VLOOKUP(F176,'Customer Info'!$A$1:$C$501,3,0)</f>
        <v>Katz</v>
      </c>
      <c r="I176" s="6" t="str">
        <f>VLOOKUP(F176,Customer,5,0)</f>
        <v>Changzhou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2271</v>
      </c>
      <c r="O176" s="2">
        <v>50</v>
      </c>
      <c r="P176" s="8">
        <f t="shared" si="12"/>
        <v>2321</v>
      </c>
      <c r="Q176" s="8">
        <f t="shared" si="13"/>
        <v>127</v>
      </c>
      <c r="R176" s="2" t="s">
        <v>28</v>
      </c>
      <c r="S176" s="24">
        <f t="shared" si="14"/>
        <v>0.02</v>
      </c>
    </row>
    <row r="177" spans="1:19" x14ac:dyDescent="0.25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VLOOKUP(F177,'Customer Info'!$A:$B,2,0)</f>
        <v>Denny</v>
      </c>
      <c r="H177" s="6" t="str">
        <f>VLOOKUP(F177,'Customer Info'!$A$1:$C$501,3,0)</f>
        <v>Ordway</v>
      </c>
      <c r="I177" s="6" t="str">
        <f>VLOOKUP(F177,Customer,5,0)</f>
        <v>Berlin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570</v>
      </c>
      <c r="O177" s="2">
        <v>25</v>
      </c>
      <c r="P177" s="8">
        <f t="shared" si="12"/>
        <v>595</v>
      </c>
      <c r="Q177" s="8">
        <f t="shared" si="13"/>
        <v>52</v>
      </c>
      <c r="R177" s="2" t="s">
        <v>50</v>
      </c>
      <c r="S177" s="24">
        <f t="shared" si="14"/>
        <v>0.02</v>
      </c>
    </row>
    <row r="178" spans="1:19" x14ac:dyDescent="0.25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VLOOKUP(F178,'Customer Info'!$A:$B,2,0)</f>
        <v>Eugene</v>
      </c>
      <c r="H178" s="6" t="str">
        <f>VLOOKUP(F178,'Customer Info'!$A$1:$C$501,3,0)</f>
        <v>Moren</v>
      </c>
      <c r="I178" s="6" t="str">
        <f>VLOOKUP(F178,Customer,5,0)</f>
        <v>Patiala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3339</v>
      </c>
      <c r="O178" s="2">
        <v>92</v>
      </c>
      <c r="P178" s="8">
        <f t="shared" si="12"/>
        <v>3431</v>
      </c>
      <c r="Q178" s="8">
        <f t="shared" si="13"/>
        <v>219</v>
      </c>
      <c r="R178" s="2" t="s">
        <v>26</v>
      </c>
      <c r="S178" s="24">
        <f t="shared" si="14"/>
        <v>0.02</v>
      </c>
    </row>
    <row r="179" spans="1:19" x14ac:dyDescent="0.25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VLOOKUP(F179,'Customer Info'!$A:$B,2,0)</f>
        <v>Alex</v>
      </c>
      <c r="H179" s="6" t="str">
        <f>VLOOKUP(F179,'Customer Info'!$A$1:$C$501,3,0)</f>
        <v>Avila</v>
      </c>
      <c r="I179" s="6" t="str">
        <f>VLOOKUP(F179,Customer,5,0)</f>
        <v>Agra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5577</v>
      </c>
      <c r="O179" s="2">
        <v>66</v>
      </c>
      <c r="P179" s="8">
        <f t="shared" si="12"/>
        <v>5643</v>
      </c>
      <c r="Q179" s="8">
        <f t="shared" si="13"/>
        <v>312</v>
      </c>
      <c r="R179" s="2" t="s">
        <v>28</v>
      </c>
      <c r="S179" s="24">
        <f t="shared" si="14"/>
        <v>0.05</v>
      </c>
    </row>
    <row r="180" spans="1:19" x14ac:dyDescent="0.25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VLOOKUP(F180,'Customer Info'!$A:$B,2,0)</f>
        <v>Roger</v>
      </c>
      <c r="H180" s="6" t="str">
        <f>VLOOKUP(F180,'Customer Info'!$A$1:$C$501,3,0)</f>
        <v>Barcio</v>
      </c>
      <c r="I180" s="6" t="str">
        <f>VLOOKUP(F180,Customer,5,0)</f>
        <v>Bremen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708</v>
      </c>
      <c r="O180" s="2">
        <v>30</v>
      </c>
      <c r="P180" s="8">
        <f t="shared" si="12"/>
        <v>738</v>
      </c>
      <c r="Q180" s="8">
        <f t="shared" si="13"/>
        <v>32</v>
      </c>
      <c r="R180" s="2" t="s">
        <v>28</v>
      </c>
      <c r="S180" s="24">
        <f t="shared" si="14"/>
        <v>0.02</v>
      </c>
    </row>
    <row r="181" spans="1:19" x14ac:dyDescent="0.25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VLOOKUP(F181,'Customer Info'!$A:$B,2,0)</f>
        <v>Barry</v>
      </c>
      <c r="H181" s="6" t="str">
        <f>VLOOKUP(F181,'Customer Info'!$A$1:$C$501,3,0)</f>
        <v>Franzšsisch</v>
      </c>
      <c r="I181" s="6" t="str">
        <f>VLOOKUP(F181,Customer,5,0)</f>
        <v>Bendigo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20304</v>
      </c>
      <c r="O181" s="2">
        <v>20</v>
      </c>
      <c r="P181" s="8">
        <f t="shared" si="12"/>
        <v>20324</v>
      </c>
      <c r="Q181" s="8">
        <f t="shared" si="13"/>
        <v>768</v>
      </c>
      <c r="R181" s="2" t="s">
        <v>50</v>
      </c>
      <c r="S181" s="24">
        <f t="shared" si="14"/>
        <v>0.05</v>
      </c>
    </row>
    <row r="182" spans="1:19" x14ac:dyDescent="0.25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VLOOKUP(F182,'Customer Info'!$A:$B,2,0)</f>
        <v>Kean</v>
      </c>
      <c r="H182" s="6" t="str">
        <f>VLOOKUP(F182,'Customer Info'!$A$1:$C$501,3,0)</f>
        <v>Takahito</v>
      </c>
      <c r="I182" s="6" t="str">
        <f>VLOOKUP(F182,Customer,5,0)</f>
        <v>Jakarta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695</v>
      </c>
      <c r="O182" s="2">
        <v>30</v>
      </c>
      <c r="P182" s="8">
        <f t="shared" si="12"/>
        <v>725</v>
      </c>
      <c r="Q182" s="8">
        <f t="shared" si="13"/>
        <v>45</v>
      </c>
      <c r="R182" s="2" t="s">
        <v>50</v>
      </c>
      <c r="S182" s="24">
        <f t="shared" si="14"/>
        <v>0.02</v>
      </c>
    </row>
    <row r="183" spans="1:19" x14ac:dyDescent="0.25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VLOOKUP(F183,'Customer Info'!$A:$B,2,0)</f>
        <v>Michelle</v>
      </c>
      <c r="H183" s="6" t="str">
        <f>VLOOKUP(F183,'Customer Info'!$A$1:$C$501,3,0)</f>
        <v>Arnett</v>
      </c>
      <c r="I183" s="6" t="str">
        <f>VLOOKUP(F183,Customer,5,0)</f>
        <v>Yancheng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1605</v>
      </c>
      <c r="O183" s="2">
        <v>91</v>
      </c>
      <c r="P183" s="8">
        <f t="shared" si="12"/>
        <v>1696</v>
      </c>
      <c r="Q183" s="8">
        <f t="shared" si="13"/>
        <v>118</v>
      </c>
      <c r="R183" s="2" t="s">
        <v>28</v>
      </c>
      <c r="S183" s="24">
        <f t="shared" si="14"/>
        <v>0.02</v>
      </c>
    </row>
    <row r="184" spans="1:19" x14ac:dyDescent="0.25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VLOOKUP(F184,'Customer Info'!$A:$B,2,0)</f>
        <v>Charles</v>
      </c>
      <c r="H184" s="6" t="str">
        <f>VLOOKUP(F184,'Customer Info'!$A$1:$C$501,3,0)</f>
        <v>Sheldon</v>
      </c>
      <c r="I184" s="6" t="str">
        <f>VLOOKUP(F184,Customer,5,0)</f>
        <v>Jakarta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5703</v>
      </c>
      <c r="O184" s="2">
        <v>68</v>
      </c>
      <c r="P184" s="8">
        <f t="shared" si="12"/>
        <v>5771</v>
      </c>
      <c r="Q184" s="8">
        <f t="shared" si="13"/>
        <v>273</v>
      </c>
      <c r="R184" s="2" t="s">
        <v>50</v>
      </c>
      <c r="S184" s="24">
        <f t="shared" si="14"/>
        <v>0.05</v>
      </c>
    </row>
    <row r="185" spans="1:19" x14ac:dyDescent="0.25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VLOOKUP(F185,'Customer Info'!$A:$B,2,0)</f>
        <v>Harold</v>
      </c>
      <c r="H185" s="6" t="str">
        <f>VLOOKUP(F185,'Customer Info'!$A$1:$C$501,3,0)</f>
        <v>Dahlen</v>
      </c>
      <c r="I185" s="6" t="str">
        <f>VLOOKUP(F185,Customer,5,0)</f>
        <v>Melbourne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2934</v>
      </c>
      <c r="O185" s="2">
        <v>75</v>
      </c>
      <c r="P185" s="8">
        <f t="shared" si="12"/>
        <v>3009</v>
      </c>
      <c r="Q185" s="8">
        <f t="shared" si="13"/>
        <v>168</v>
      </c>
      <c r="R185" s="2" t="s">
        <v>28</v>
      </c>
      <c r="S185" s="24">
        <f t="shared" si="14"/>
        <v>0.02</v>
      </c>
    </row>
    <row r="186" spans="1:19" x14ac:dyDescent="0.25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VLOOKUP(F186,'Customer Info'!$A:$B,2,0)</f>
        <v>Debra</v>
      </c>
      <c r="H186" s="6" t="str">
        <f>VLOOKUP(F186,'Customer Info'!$A$1:$C$501,3,0)</f>
        <v>Catini</v>
      </c>
      <c r="I186" s="6" t="str">
        <f>VLOOKUP(F186,Customer,5,0)</f>
        <v>Zhengzhou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13536</v>
      </c>
      <c r="O186" s="2">
        <v>69</v>
      </c>
      <c r="P186" s="8">
        <f t="shared" si="12"/>
        <v>13605</v>
      </c>
      <c r="Q186" s="8">
        <f t="shared" si="13"/>
        <v>512</v>
      </c>
      <c r="R186" s="2" t="s">
        <v>26</v>
      </c>
      <c r="S186" s="24">
        <f t="shared" si="14"/>
        <v>0.05</v>
      </c>
    </row>
    <row r="187" spans="1:19" x14ac:dyDescent="0.25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VLOOKUP(F187,'Customer Info'!$A:$B,2,0)</f>
        <v>Dean</v>
      </c>
      <c r="H187" s="6" t="str">
        <f>VLOOKUP(F187,'Customer Info'!$A$1:$C$501,3,0)</f>
        <v>Katz</v>
      </c>
      <c r="I187" s="6" t="str">
        <f>VLOOKUP(F187,Customer,5,0)</f>
        <v>Changzhou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1100</v>
      </c>
      <c r="O187" s="2">
        <v>68</v>
      </c>
      <c r="P187" s="8">
        <f t="shared" si="12"/>
        <v>1168</v>
      </c>
      <c r="Q187" s="8">
        <f t="shared" si="13"/>
        <v>70</v>
      </c>
      <c r="R187" s="2" t="s">
        <v>56</v>
      </c>
      <c r="S187" s="24">
        <f t="shared" si="14"/>
        <v>0.02</v>
      </c>
    </row>
    <row r="188" spans="1:19" x14ac:dyDescent="0.25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VLOOKUP(F188,'Customer Info'!$A:$B,2,0)</f>
        <v>Philip</v>
      </c>
      <c r="H188" s="6" t="str">
        <f>VLOOKUP(F188,'Customer Info'!$A$1:$C$501,3,0)</f>
        <v>Brown</v>
      </c>
      <c r="I188" s="6" t="str">
        <f>VLOOKUP(F188,Customer,5,0)</f>
        <v>Binjai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21696</v>
      </c>
      <c r="O188" s="2">
        <v>90</v>
      </c>
      <c r="P188" s="8">
        <f t="shared" si="12"/>
        <v>21786</v>
      </c>
      <c r="Q188" s="8">
        <f t="shared" si="13"/>
        <v>1437</v>
      </c>
      <c r="R188" s="2" t="s">
        <v>28</v>
      </c>
      <c r="S188" s="24">
        <f t="shared" si="14"/>
        <v>0.05</v>
      </c>
    </row>
    <row r="189" spans="1:19" x14ac:dyDescent="0.25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VLOOKUP(F189,'Customer Info'!$A:$B,2,0)</f>
        <v>Ben</v>
      </c>
      <c r="H189" s="6" t="str">
        <f>VLOOKUP(F189,'Customer Info'!$A$1:$C$501,3,0)</f>
        <v>Wallace</v>
      </c>
      <c r="I189" s="6" t="str">
        <f>VLOOKUP(F189,Customer,5,0)</f>
        <v>Shanghai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131</v>
      </c>
      <c r="O189" s="2">
        <v>30</v>
      </c>
      <c r="P189" s="8">
        <f t="shared" si="12"/>
        <v>161</v>
      </c>
      <c r="Q189" s="8">
        <f t="shared" si="13"/>
        <v>7</v>
      </c>
      <c r="R189" s="2" t="s">
        <v>50</v>
      </c>
      <c r="S189" s="24">
        <f t="shared" si="14"/>
        <v>0.02</v>
      </c>
    </row>
    <row r="190" spans="1:19" x14ac:dyDescent="0.25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VLOOKUP(F190,'Customer Info'!$A:$B,2,0)</f>
        <v>Toby</v>
      </c>
      <c r="H190" s="6" t="str">
        <f>VLOOKUP(F190,'Customer Info'!$A$1:$C$501,3,0)</f>
        <v>Braunhardt</v>
      </c>
      <c r="I190" s="6" t="str">
        <f>VLOOKUP(F190,Customer,5,0)</f>
        <v>Jiangyan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10104</v>
      </c>
      <c r="O190" s="2">
        <v>50</v>
      </c>
      <c r="P190" s="8">
        <f t="shared" si="12"/>
        <v>10154</v>
      </c>
      <c r="Q190" s="8">
        <f t="shared" si="13"/>
        <v>472</v>
      </c>
      <c r="R190" s="2" t="s">
        <v>28</v>
      </c>
      <c r="S190" s="24">
        <f t="shared" si="14"/>
        <v>0.05</v>
      </c>
    </row>
    <row r="191" spans="1:19" x14ac:dyDescent="0.25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VLOOKUP(F191,'Customer Info'!$A:$B,2,0)</f>
        <v>MaryBeth</v>
      </c>
      <c r="H191" s="6" t="str">
        <f>VLOOKUP(F191,'Customer Info'!$A$1:$C$501,3,0)</f>
        <v>Skach</v>
      </c>
      <c r="I191" s="6" t="str">
        <f>VLOOKUP(F191,Customer,5,0)</f>
        <v>Licheng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24012</v>
      </c>
      <c r="O191" s="2">
        <v>58</v>
      </c>
      <c r="P191" s="8">
        <f t="shared" si="12"/>
        <v>24070</v>
      </c>
      <c r="Q191" s="8">
        <f t="shared" si="13"/>
        <v>1548</v>
      </c>
      <c r="R191" s="2" t="s">
        <v>26</v>
      </c>
      <c r="S191" s="24">
        <f t="shared" si="14"/>
        <v>0.05</v>
      </c>
    </row>
    <row r="192" spans="1:19" x14ac:dyDescent="0.25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VLOOKUP(F192,'Customer Info'!$A:$B,2,0)</f>
        <v>Denny</v>
      </c>
      <c r="H192" s="6" t="str">
        <f>VLOOKUP(F192,'Customer Info'!$A$1:$C$501,3,0)</f>
        <v>Ordway</v>
      </c>
      <c r="I192" s="6" t="str">
        <f>VLOOKUP(F192,Customer,5,0)</f>
        <v>Berlin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19509</v>
      </c>
      <c r="O192" s="2">
        <v>78</v>
      </c>
      <c r="P192" s="8">
        <f t="shared" si="12"/>
        <v>19587</v>
      </c>
      <c r="Q192" s="8">
        <f t="shared" si="13"/>
        <v>742</v>
      </c>
      <c r="R192" s="2" t="s">
        <v>28</v>
      </c>
      <c r="S192" s="24">
        <f t="shared" si="14"/>
        <v>0.05</v>
      </c>
    </row>
    <row r="193" spans="1:19" x14ac:dyDescent="0.25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VLOOKUP(F193,'Customer Info'!$A:$B,2,0)</f>
        <v>Rick</v>
      </c>
      <c r="H193" s="6" t="str">
        <f>VLOOKUP(F193,'Customer Info'!$A$1:$C$501,3,0)</f>
        <v>Duston</v>
      </c>
      <c r="I193" s="6" t="str">
        <f>VLOOKUP(F193,Customer,5,0)</f>
        <v>Bhiwandi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7236</v>
      </c>
      <c r="O193" s="2">
        <v>63</v>
      </c>
      <c r="P193" s="8">
        <f t="shared" si="12"/>
        <v>7299</v>
      </c>
      <c r="Q193" s="8">
        <f t="shared" si="13"/>
        <v>472</v>
      </c>
      <c r="R193" s="2" t="s">
        <v>28</v>
      </c>
      <c r="S193" s="24">
        <f t="shared" si="14"/>
        <v>0.05</v>
      </c>
    </row>
    <row r="194" spans="1:19" x14ac:dyDescent="0.25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VLOOKUP(F194,'Customer Info'!$A:$B,2,0)</f>
        <v>Cyra</v>
      </c>
      <c r="H194" s="6" t="str">
        <f>VLOOKUP(F194,'Customer Info'!$A$1:$C$501,3,0)</f>
        <v>Reiten</v>
      </c>
      <c r="I194" s="6" t="str">
        <f>VLOOKUP(F194,Customer,5,0)</f>
        <v>Samarinda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19616</v>
      </c>
      <c r="O194" s="2">
        <v>81</v>
      </c>
      <c r="P194" s="8">
        <f t="shared" si="12"/>
        <v>19697</v>
      </c>
      <c r="Q194" s="8">
        <f t="shared" si="13"/>
        <v>1620</v>
      </c>
      <c r="R194" s="2" t="s">
        <v>28</v>
      </c>
      <c r="S194" s="24">
        <f t="shared" si="14"/>
        <v>0.05</v>
      </c>
    </row>
    <row r="195" spans="1:19" x14ac:dyDescent="0.25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VLOOKUP(F195,'Customer Info'!$A:$B,2,0)</f>
        <v>Victoria</v>
      </c>
      <c r="H195" s="6" t="str">
        <f>VLOOKUP(F195,'Customer Info'!$A$1:$C$501,3,0)</f>
        <v>Pisteka</v>
      </c>
      <c r="I195" s="6" t="str">
        <f>VLOOKUP(F195,Customer,5,0)</f>
        <v>Bokaro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7936</v>
      </c>
      <c r="O195" s="2">
        <v>33</v>
      </c>
      <c r="P195" s="8">
        <f t="shared" si="12"/>
        <v>7969</v>
      </c>
      <c r="Q195" s="8">
        <f t="shared" si="13"/>
        <v>512</v>
      </c>
      <c r="R195" s="2" t="s">
        <v>50</v>
      </c>
      <c r="S195" s="24">
        <f t="shared" si="14"/>
        <v>0.05</v>
      </c>
    </row>
    <row r="196" spans="1:19" x14ac:dyDescent="0.25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VLOOKUP(F196,'Customer Info'!$A:$B,2,0)</f>
        <v>Jim</v>
      </c>
      <c r="H196" s="6" t="str">
        <f>VLOOKUP(F196,'Customer Info'!$A$1:$C$501,3,0)</f>
        <v>Karlsson</v>
      </c>
      <c r="I196" s="6" t="str">
        <f>VLOOKUP(F196,Customer,5,0)</f>
        <v>Geelong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864</v>
      </c>
      <c r="O196" s="2">
        <v>30</v>
      </c>
      <c r="P196" s="8">
        <f t="shared" si="12"/>
        <v>894</v>
      </c>
      <c r="Q196" s="8">
        <f t="shared" si="13"/>
        <v>72</v>
      </c>
      <c r="R196" s="2" t="s">
        <v>28</v>
      </c>
      <c r="S196" s="24">
        <f t="shared" si="14"/>
        <v>0.02</v>
      </c>
    </row>
    <row r="197" spans="1:19" x14ac:dyDescent="0.25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VLOOKUP(F197,'Customer Info'!$A:$B,2,0)</f>
        <v>Victoria</v>
      </c>
      <c r="H197" s="6" t="str">
        <f>VLOOKUP(F197,'Customer Info'!$A$1:$C$501,3,0)</f>
        <v>Pisteka</v>
      </c>
      <c r="I197" s="6" t="str">
        <f>VLOOKUP(F197,Customer,5,0)</f>
        <v>Bokaro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29180</v>
      </c>
      <c r="O197" s="2">
        <v>74</v>
      </c>
      <c r="P197" s="8">
        <f t="shared" si="12"/>
        <v>29254</v>
      </c>
      <c r="Q197" s="8">
        <f t="shared" si="13"/>
        <v>1895</v>
      </c>
      <c r="R197" s="2" t="s">
        <v>50</v>
      </c>
      <c r="S197" s="24">
        <f t="shared" si="14"/>
        <v>7.0000000000000007E-2</v>
      </c>
    </row>
    <row r="198" spans="1:19" x14ac:dyDescent="0.25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VLOOKUP(F198,'Customer Info'!$A:$B,2,0)</f>
        <v>Corinna</v>
      </c>
      <c r="H198" s="6" t="str">
        <f>VLOOKUP(F198,'Customer Info'!$A$1:$C$501,3,0)</f>
        <v>Mitchell</v>
      </c>
      <c r="I198" s="6" t="str">
        <f>VLOOKUP(F198,Customer,5,0)</f>
        <v>Augsburg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6234</v>
      </c>
      <c r="O198" s="2">
        <v>77</v>
      </c>
      <c r="P198" s="8">
        <f t="shared" si="12"/>
        <v>6311</v>
      </c>
      <c r="Q198" s="8">
        <f t="shared" si="13"/>
        <v>621</v>
      </c>
      <c r="R198" s="2" t="s">
        <v>50</v>
      </c>
      <c r="S198" s="24">
        <f t="shared" si="14"/>
        <v>0.05</v>
      </c>
    </row>
    <row r="199" spans="1:19" x14ac:dyDescent="0.25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VLOOKUP(F199,'Customer Info'!$A:$B,2,0)</f>
        <v>Tony</v>
      </c>
      <c r="H199" s="6" t="str">
        <f>VLOOKUP(F199,'Customer Info'!$A$1:$C$501,3,0)</f>
        <v>Sayre</v>
      </c>
      <c r="I199" s="6" t="str">
        <f>VLOOKUP(F199,Customer,5,0)</f>
        <v>Bharatpur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122</v>
      </c>
      <c r="O199" s="2">
        <v>10</v>
      </c>
      <c r="P199" s="8">
        <f t="shared" si="12"/>
        <v>132</v>
      </c>
      <c r="Q199" s="8">
        <f t="shared" si="13"/>
        <v>8</v>
      </c>
      <c r="R199" s="2" t="s">
        <v>28</v>
      </c>
      <c r="S199" s="24">
        <f t="shared" si="14"/>
        <v>0.02</v>
      </c>
    </row>
    <row r="200" spans="1:19" x14ac:dyDescent="0.25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VLOOKUP(F200,'Customer Info'!$A:$B,2,0)</f>
        <v>Julie</v>
      </c>
      <c r="H200" s="6" t="str">
        <f>VLOOKUP(F200,'Customer Info'!$A$1:$C$501,3,0)</f>
        <v>Creighton</v>
      </c>
      <c r="I200" s="6" t="str">
        <f>VLOOKUP(F200,Customer,5,0)</f>
        <v>Bandung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378</v>
      </c>
      <c r="O200" s="2">
        <v>10</v>
      </c>
      <c r="P200" s="8">
        <f t="shared" si="12"/>
        <v>388</v>
      </c>
      <c r="Q200" s="8">
        <f t="shared" si="13"/>
        <v>30</v>
      </c>
      <c r="R200" s="2" t="s">
        <v>26</v>
      </c>
      <c r="S200" s="24">
        <f t="shared" si="14"/>
        <v>0.02</v>
      </c>
    </row>
    <row r="201" spans="1:19" x14ac:dyDescent="0.25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VLOOKUP(F201,'Customer Info'!$A:$B,2,0)</f>
        <v>Becky</v>
      </c>
      <c r="H201" s="6" t="str">
        <f>VLOOKUP(F201,'Customer Info'!$A$1:$C$501,3,0)</f>
        <v>Pak</v>
      </c>
      <c r="I201" s="6" t="str">
        <f>VLOOKUP(F201,Customer,5,0)</f>
        <v>Mandurah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5714</v>
      </c>
      <c r="O201" s="2">
        <v>76</v>
      </c>
      <c r="P201" s="8">
        <f t="shared" si="12"/>
        <v>5790</v>
      </c>
      <c r="Q201" s="8">
        <f t="shared" si="13"/>
        <v>470</v>
      </c>
      <c r="R201" s="2" t="s">
        <v>28</v>
      </c>
      <c r="S201" s="24">
        <f t="shared" si="14"/>
        <v>0.05</v>
      </c>
    </row>
    <row r="202" spans="1:19" x14ac:dyDescent="0.25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VLOOKUP(F202,'Customer Info'!$A:$B,2,0)</f>
        <v>Ryan</v>
      </c>
      <c r="H202" s="6" t="str">
        <f>VLOOKUP(F202,'Customer Info'!$A$1:$C$501,3,0)</f>
        <v>Akin</v>
      </c>
      <c r="I202" s="6" t="str">
        <f>VLOOKUP(F202,Customer,5,0)</f>
        <v>Bayreuth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12138</v>
      </c>
      <c r="O202" s="2">
        <v>31</v>
      </c>
      <c r="P202" s="8">
        <f t="shared" si="12"/>
        <v>12169</v>
      </c>
      <c r="Q202" s="8">
        <f t="shared" si="13"/>
        <v>224</v>
      </c>
      <c r="R202" s="2" t="s">
        <v>28</v>
      </c>
      <c r="S202" s="24">
        <f t="shared" si="14"/>
        <v>0.05</v>
      </c>
    </row>
    <row r="203" spans="1:19" x14ac:dyDescent="0.25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VLOOKUP(F203,'Customer Info'!$A:$B,2,0)</f>
        <v>Ann</v>
      </c>
      <c r="H203" s="6" t="str">
        <f>VLOOKUP(F203,'Customer Info'!$A$1:$C$501,3,0)</f>
        <v>Chong</v>
      </c>
      <c r="I203" s="6" t="str">
        <f>VLOOKUP(F203,Customer,5,0)</f>
        <v>Sydney</v>
      </c>
      <c r="J203" s="2">
        <v>2242</v>
      </c>
      <c r="K203" s="2">
        <v>2075</v>
      </c>
      <c r="L203" s="2">
        <v>4</v>
      </c>
      <c r="M203" s="7">
        <f t="shared" ref="M203:M266" si="15">K203*L203</f>
        <v>8300</v>
      </c>
      <c r="N203" s="7">
        <f t="shared" ref="N203:N266" si="16">J203*L203</f>
        <v>8968</v>
      </c>
      <c r="O203" s="2">
        <v>94</v>
      </c>
      <c r="P203" s="8">
        <f t="shared" ref="P203:P266" si="17">N203+O203</f>
        <v>9062</v>
      </c>
      <c r="Q203" s="8">
        <f t="shared" ref="Q203:Q266" si="18">N203-M203</f>
        <v>668</v>
      </c>
      <c r="R203" s="2" t="s">
        <v>28</v>
      </c>
      <c r="S203" s="24">
        <f t="shared" ref="S203:S266" si="19">VLOOKUP(N203,$T$1:$U$7,2,TRUE)</f>
        <v>0.05</v>
      </c>
    </row>
    <row r="204" spans="1:19" x14ac:dyDescent="0.25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VLOOKUP(F204,'Customer Info'!$A:$B,2,0)</f>
        <v>Tony</v>
      </c>
      <c r="H204" s="6" t="str">
        <f>VLOOKUP(F204,'Customer Info'!$A$1:$C$501,3,0)</f>
        <v>Sayre</v>
      </c>
      <c r="I204" s="6" t="str">
        <f>VLOOKUP(F204,Customer,5,0)</f>
        <v>Bharatpur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8">
        <f t="shared" si="17"/>
        <v>11971</v>
      </c>
      <c r="Q204" s="8">
        <f t="shared" si="18"/>
        <v>990</v>
      </c>
      <c r="R204" s="2" t="s">
        <v>28</v>
      </c>
      <c r="S204" s="24">
        <f t="shared" si="19"/>
        <v>0.05</v>
      </c>
    </row>
    <row r="205" spans="1:19" x14ac:dyDescent="0.25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VLOOKUP(F205,'Customer Info'!$A:$B,2,0)</f>
        <v>Cari</v>
      </c>
      <c r="H205" s="6" t="str">
        <f>VLOOKUP(F205,'Customer Info'!$A$1:$C$501,3,0)</f>
        <v>MacIntyre</v>
      </c>
      <c r="I205" s="6" t="str">
        <f>VLOOKUP(F205,Customer,5,0)</f>
        <v>Freiburg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8">
        <f t="shared" si="17"/>
        <v>17800</v>
      </c>
      <c r="Q205" s="8">
        <f t="shared" si="18"/>
        <v>840</v>
      </c>
      <c r="R205" s="2" t="s">
        <v>26</v>
      </c>
      <c r="S205" s="24">
        <f t="shared" si="19"/>
        <v>0.05</v>
      </c>
    </row>
    <row r="206" spans="1:19" x14ac:dyDescent="0.25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VLOOKUP(F206,'Customer Info'!$A:$B,2,0)</f>
        <v>Julie</v>
      </c>
      <c r="H206" s="6" t="str">
        <f>VLOOKUP(F206,'Customer Info'!$A$1:$C$501,3,0)</f>
        <v>Creighton</v>
      </c>
      <c r="I206" s="6" t="str">
        <f>VLOOKUP(F206,Customer,5,0)</f>
        <v>Ballarat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8">
        <f t="shared" si="17"/>
        <v>4455</v>
      </c>
      <c r="Q206" s="8">
        <f t="shared" si="18"/>
        <v>480</v>
      </c>
      <c r="R206" s="2" t="s">
        <v>50</v>
      </c>
      <c r="S206" s="24">
        <f t="shared" si="19"/>
        <v>0.02</v>
      </c>
    </row>
    <row r="207" spans="1:19" x14ac:dyDescent="0.25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VLOOKUP(F207,'Customer Info'!$A:$B,2,0)</f>
        <v>Keith</v>
      </c>
      <c r="H207" s="6" t="str">
        <f>VLOOKUP(F207,'Customer Info'!$A$1:$C$501,3,0)</f>
        <v>Herrera</v>
      </c>
      <c r="I207" s="6" t="str">
        <f>VLOOKUP(F207,Customer,5,0)</f>
        <v>Jakarta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8">
        <f t="shared" si="17"/>
        <v>17567</v>
      </c>
      <c r="Q207" s="8">
        <f t="shared" si="18"/>
        <v>1152</v>
      </c>
      <c r="R207" s="2" t="s">
        <v>50</v>
      </c>
      <c r="S207" s="24">
        <f t="shared" si="19"/>
        <v>0.05</v>
      </c>
    </row>
    <row r="208" spans="1:19" x14ac:dyDescent="0.25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VLOOKUP(F208,'Customer Info'!$A:$B,2,0)</f>
        <v>Barry</v>
      </c>
      <c r="H208" s="6" t="str">
        <f>VLOOKUP(F208,'Customer Info'!$A$1:$C$501,3,0)</f>
        <v>Blumstein</v>
      </c>
      <c r="I208" s="6" t="str">
        <f>VLOOKUP(F208,Customer,5,0)</f>
        <v>Gold Coast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3717</v>
      </c>
      <c r="O208" s="2">
        <v>85</v>
      </c>
      <c r="P208" s="8">
        <f t="shared" si="17"/>
        <v>3802</v>
      </c>
      <c r="Q208" s="8">
        <f t="shared" si="18"/>
        <v>308</v>
      </c>
      <c r="R208" s="2" t="s">
        <v>50</v>
      </c>
      <c r="S208" s="24">
        <f t="shared" si="19"/>
        <v>0.02</v>
      </c>
    </row>
    <row r="209" spans="1:19" x14ac:dyDescent="0.25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VLOOKUP(F209,'Customer Info'!$A:$B,2,0)</f>
        <v>Lisa</v>
      </c>
      <c r="H209" s="6" t="str">
        <f>VLOOKUP(F209,'Customer Info'!$A$1:$C$501,3,0)</f>
        <v>DeCherney</v>
      </c>
      <c r="I209" s="6" t="str">
        <f>VLOOKUP(F209,Customer,5,0)</f>
        <v>Ningbo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19395</v>
      </c>
      <c r="O209" s="2">
        <v>91</v>
      </c>
      <c r="P209" s="8">
        <f t="shared" si="17"/>
        <v>19486</v>
      </c>
      <c r="Q209" s="8">
        <f t="shared" si="18"/>
        <v>1269</v>
      </c>
      <c r="R209" s="2" t="s">
        <v>28</v>
      </c>
      <c r="S209" s="24">
        <f t="shared" si="19"/>
        <v>0.05</v>
      </c>
    </row>
    <row r="210" spans="1:19" x14ac:dyDescent="0.25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VLOOKUP(F210,'Customer Info'!$A:$B,2,0)</f>
        <v>Laurel</v>
      </c>
      <c r="H210" s="6" t="str">
        <f>VLOOKUP(F210,'Customer Info'!$A$1:$C$501,3,0)</f>
        <v>Beltran</v>
      </c>
      <c r="I210" s="6" t="str">
        <f>VLOOKUP(F210,Customer,5,0)</f>
        <v>Bonn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18066</v>
      </c>
      <c r="O210" s="2">
        <v>98</v>
      </c>
      <c r="P210" s="8">
        <f t="shared" si="17"/>
        <v>18164</v>
      </c>
      <c r="Q210" s="8">
        <f t="shared" si="18"/>
        <v>1802</v>
      </c>
      <c r="R210" s="2" t="s">
        <v>28</v>
      </c>
      <c r="S210" s="24">
        <f t="shared" si="19"/>
        <v>0.05</v>
      </c>
    </row>
    <row r="211" spans="1:19" x14ac:dyDescent="0.25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VLOOKUP(F211,'Customer Info'!$A:$B,2,0)</f>
        <v>Roger</v>
      </c>
      <c r="H211" s="6" t="str">
        <f>VLOOKUP(F211,'Customer Info'!$A$1:$C$501,3,0)</f>
        <v>Demir</v>
      </c>
      <c r="I211" s="6" t="str">
        <f>VLOOKUP(F211,Customer,5,0)</f>
        <v>Wollongong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990</v>
      </c>
      <c r="O211" s="2">
        <v>40</v>
      </c>
      <c r="P211" s="8">
        <f t="shared" si="17"/>
        <v>1030</v>
      </c>
      <c r="Q211" s="8">
        <f t="shared" si="18"/>
        <v>74</v>
      </c>
      <c r="R211" s="2" t="s">
        <v>26</v>
      </c>
      <c r="S211" s="24">
        <f t="shared" si="19"/>
        <v>0.02</v>
      </c>
    </row>
    <row r="212" spans="1:19" x14ac:dyDescent="0.25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VLOOKUP(F212,'Customer Info'!$A:$B,2,0)</f>
        <v>Ruben</v>
      </c>
      <c r="H212" s="6" t="str">
        <f>VLOOKUP(F212,'Customer Info'!$A$1:$C$501,3,0)</f>
        <v>Ausman</v>
      </c>
      <c r="I212" s="6" t="str">
        <f>VLOOKUP(F212,Customer,5,0)</f>
        <v>Sonneberg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1530</v>
      </c>
      <c r="O212" s="2">
        <v>83</v>
      </c>
      <c r="P212" s="8">
        <f t="shared" si="17"/>
        <v>1613</v>
      </c>
      <c r="Q212" s="8">
        <f t="shared" si="18"/>
        <v>128</v>
      </c>
      <c r="R212" s="2" t="s">
        <v>28</v>
      </c>
      <c r="S212" s="24">
        <f t="shared" si="19"/>
        <v>0.02</v>
      </c>
    </row>
    <row r="213" spans="1:19" x14ac:dyDescent="0.25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VLOOKUP(F213,'Customer Info'!$A:$B,2,0)</f>
        <v>Lisa</v>
      </c>
      <c r="H213" s="6" t="str">
        <f>VLOOKUP(F213,'Customer Info'!$A$1:$C$501,3,0)</f>
        <v>Ryan</v>
      </c>
      <c r="I213" s="6" t="str">
        <f>VLOOKUP(F213,Customer,5,0)</f>
        <v>Berlin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136</v>
      </c>
      <c r="O213" s="2">
        <v>10</v>
      </c>
      <c r="P213" s="8">
        <f t="shared" si="17"/>
        <v>146</v>
      </c>
      <c r="Q213" s="8">
        <f t="shared" si="18"/>
        <v>10</v>
      </c>
      <c r="R213" s="2" t="s">
        <v>50</v>
      </c>
      <c r="S213" s="24">
        <f t="shared" si="19"/>
        <v>0.02</v>
      </c>
    </row>
    <row r="214" spans="1:19" x14ac:dyDescent="0.25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VLOOKUP(F214,'Customer Info'!$A:$B,2,0)</f>
        <v>Troy</v>
      </c>
      <c r="H214" s="6" t="str">
        <f>VLOOKUP(F214,'Customer Info'!$A$1:$C$501,3,0)</f>
        <v>Staebel</v>
      </c>
      <c r="I214" s="6" t="str">
        <f>VLOOKUP(F214,Customer,5,0)</f>
        <v>Canberra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30136</v>
      </c>
      <c r="O214" s="2">
        <v>48</v>
      </c>
      <c r="P214" s="8">
        <f t="shared" si="17"/>
        <v>30184</v>
      </c>
      <c r="Q214" s="8">
        <f t="shared" si="18"/>
        <v>1712</v>
      </c>
      <c r="R214" s="2" t="s">
        <v>50</v>
      </c>
      <c r="S214" s="24">
        <f t="shared" si="19"/>
        <v>7.0000000000000007E-2</v>
      </c>
    </row>
    <row r="215" spans="1:19" x14ac:dyDescent="0.25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VLOOKUP(F215,'Customer Info'!$A:$B,2,0)</f>
        <v>Nicole</v>
      </c>
      <c r="H215" s="6" t="str">
        <f>VLOOKUP(F215,'Customer Info'!$A$1:$C$501,3,0)</f>
        <v>Fjeld</v>
      </c>
      <c r="I215" s="6" t="str">
        <f>VLOOKUP(F215,Customer,5,0)</f>
        <v>Berlin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6682</v>
      </c>
      <c r="O215" s="2">
        <v>92</v>
      </c>
      <c r="P215" s="8">
        <f t="shared" si="17"/>
        <v>6774</v>
      </c>
      <c r="Q215" s="8">
        <f t="shared" si="18"/>
        <v>378</v>
      </c>
      <c r="R215" s="2" t="s">
        <v>28</v>
      </c>
      <c r="S215" s="24">
        <f t="shared" si="19"/>
        <v>0.05</v>
      </c>
    </row>
    <row r="216" spans="1:19" x14ac:dyDescent="0.25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VLOOKUP(F216,'Customer Info'!$A:$B,2,0)</f>
        <v>Deirdre</v>
      </c>
      <c r="H216" s="6" t="str">
        <f>VLOOKUP(F216,'Customer Info'!$A$1:$C$501,3,0)</f>
        <v>Greer</v>
      </c>
      <c r="I216" s="6" t="str">
        <f>VLOOKUP(F216,Customer,5,0)</f>
        <v>Perth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7312</v>
      </c>
      <c r="O216" s="2">
        <v>88</v>
      </c>
      <c r="P216" s="8">
        <f t="shared" si="17"/>
        <v>7400</v>
      </c>
      <c r="Q216" s="8">
        <f t="shared" si="18"/>
        <v>672</v>
      </c>
      <c r="R216" s="2" t="s">
        <v>28</v>
      </c>
      <c r="S216" s="24">
        <f t="shared" si="19"/>
        <v>0.05</v>
      </c>
    </row>
    <row r="217" spans="1:19" x14ac:dyDescent="0.25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VLOOKUP(F217,'Customer Info'!$A:$B,2,0)</f>
        <v>Peter</v>
      </c>
      <c r="H217" s="6" t="str">
        <f>VLOOKUP(F217,'Customer Info'!$A$1:$C$501,3,0)</f>
        <v>McVee</v>
      </c>
      <c r="I217" s="6" t="str">
        <f>VLOOKUP(F217,Customer,5,0)</f>
        <v>Hamburg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1332</v>
      </c>
      <c r="O217" s="2">
        <v>45</v>
      </c>
      <c r="P217" s="8">
        <f t="shared" si="17"/>
        <v>1377</v>
      </c>
      <c r="Q217" s="8">
        <f t="shared" si="18"/>
        <v>50</v>
      </c>
      <c r="R217" s="2" t="s">
        <v>28</v>
      </c>
      <c r="S217" s="24">
        <f t="shared" si="19"/>
        <v>0.02</v>
      </c>
    </row>
    <row r="218" spans="1:19" x14ac:dyDescent="0.25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VLOOKUP(F218,'Customer Info'!$A:$B,2,0)</f>
        <v>Guy</v>
      </c>
      <c r="H218" s="6" t="str">
        <f>VLOOKUP(F218,'Customer Info'!$A$1:$C$501,3,0)</f>
        <v>Phonely</v>
      </c>
      <c r="I218" s="6" t="str">
        <f>VLOOKUP(F218,Customer,5,0)</f>
        <v>Jodhpur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890</v>
      </c>
      <c r="O218" s="2">
        <v>92</v>
      </c>
      <c r="P218" s="8">
        <f t="shared" si="17"/>
        <v>982</v>
      </c>
      <c r="Q218" s="8">
        <f t="shared" si="18"/>
        <v>60</v>
      </c>
      <c r="R218" s="2" t="s">
        <v>28</v>
      </c>
      <c r="S218" s="24">
        <f t="shared" si="19"/>
        <v>0.02</v>
      </c>
    </row>
    <row r="219" spans="1:19" x14ac:dyDescent="0.25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VLOOKUP(F219,'Customer Info'!$A:$B,2,0)</f>
        <v>Lisa</v>
      </c>
      <c r="H219" s="6" t="str">
        <f>VLOOKUP(F219,'Customer Info'!$A$1:$C$501,3,0)</f>
        <v>DeCherney</v>
      </c>
      <c r="I219" s="6" t="str">
        <f>VLOOKUP(F219,Customer,5,0)</f>
        <v>Sydney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2226</v>
      </c>
      <c r="O219" s="2">
        <v>93</v>
      </c>
      <c r="P219" s="8">
        <f t="shared" si="17"/>
        <v>2319</v>
      </c>
      <c r="Q219" s="8">
        <f t="shared" si="18"/>
        <v>146</v>
      </c>
      <c r="R219" s="2" t="s">
        <v>28</v>
      </c>
      <c r="S219" s="24">
        <f t="shared" si="19"/>
        <v>0.02</v>
      </c>
    </row>
    <row r="220" spans="1:19" x14ac:dyDescent="0.25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VLOOKUP(F220,'Customer Info'!$A:$B,2,0)</f>
        <v>Valerie</v>
      </c>
      <c r="H220" s="6" t="str">
        <f>VLOOKUP(F220,'Customer Info'!$A$1:$C$501,3,0)</f>
        <v>Mitchum</v>
      </c>
      <c r="I220" s="6" t="str">
        <f>VLOOKUP(F220,Customer,5,0)</f>
        <v>Chengdu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6888</v>
      </c>
      <c r="O220" s="2">
        <v>23</v>
      </c>
      <c r="P220" s="8">
        <f t="shared" si="17"/>
        <v>6911</v>
      </c>
      <c r="Q220" s="8">
        <f t="shared" si="18"/>
        <v>450</v>
      </c>
      <c r="R220" s="2" t="s">
        <v>50</v>
      </c>
      <c r="S220" s="24">
        <f t="shared" si="19"/>
        <v>0.05</v>
      </c>
    </row>
    <row r="221" spans="1:19" x14ac:dyDescent="0.25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VLOOKUP(F221,'Customer Info'!$A:$B,2,0)</f>
        <v>Jessica</v>
      </c>
      <c r="H221" s="6" t="str">
        <f>VLOOKUP(F221,'Customer Info'!$A$1:$C$501,3,0)</f>
        <v>Myrick</v>
      </c>
      <c r="I221" s="6" t="str">
        <f>VLOOKUP(F221,Customer,5,0)</f>
        <v>Krefeld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6264</v>
      </c>
      <c r="O221" s="2">
        <v>74</v>
      </c>
      <c r="P221" s="8">
        <f t="shared" si="17"/>
        <v>6338</v>
      </c>
      <c r="Q221" s="8">
        <f t="shared" si="18"/>
        <v>354</v>
      </c>
      <c r="R221" s="2" t="s">
        <v>50</v>
      </c>
      <c r="S221" s="24">
        <f t="shared" si="19"/>
        <v>0.05</v>
      </c>
    </row>
    <row r="222" spans="1:19" x14ac:dyDescent="0.25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VLOOKUP(F222,'Customer Info'!$A:$B,2,0)</f>
        <v>Joy</v>
      </c>
      <c r="H222" s="6" t="str">
        <f>VLOOKUP(F222,'Customer Info'!$A$1:$C$501,3,0)</f>
        <v>Bell</v>
      </c>
      <c r="I222" s="6" t="str">
        <f>VLOOKUP(F222,Customer,5,0)</f>
        <v>Tongchuan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840</v>
      </c>
      <c r="O222" s="2">
        <v>30</v>
      </c>
      <c r="P222" s="8">
        <f t="shared" si="17"/>
        <v>870</v>
      </c>
      <c r="Q222" s="8">
        <f t="shared" si="18"/>
        <v>18</v>
      </c>
      <c r="R222" s="2" t="s">
        <v>50</v>
      </c>
      <c r="S222" s="24">
        <f t="shared" si="19"/>
        <v>0.02</v>
      </c>
    </row>
    <row r="223" spans="1:19" x14ac:dyDescent="0.25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VLOOKUP(F223,'Customer Info'!$A:$B,2,0)</f>
        <v>Rob</v>
      </c>
      <c r="H223" s="6" t="str">
        <f>VLOOKUP(F223,'Customer Info'!$A$1:$C$501,3,0)</f>
        <v>Williams</v>
      </c>
      <c r="I223" s="6" t="str">
        <f>VLOOKUP(F223,Customer,5,0)</f>
        <v>Wodonga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3036</v>
      </c>
      <c r="O223" s="2">
        <v>100</v>
      </c>
      <c r="P223" s="8">
        <f t="shared" si="17"/>
        <v>3136</v>
      </c>
      <c r="Q223" s="8">
        <f t="shared" si="18"/>
        <v>252</v>
      </c>
      <c r="R223" s="2" t="s">
        <v>28</v>
      </c>
      <c r="S223" s="24">
        <f t="shared" si="19"/>
        <v>0.02</v>
      </c>
    </row>
    <row r="224" spans="1:19" x14ac:dyDescent="0.25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VLOOKUP(F224,'Customer Info'!$A:$B,2,0)</f>
        <v>Troy</v>
      </c>
      <c r="H224" s="6" t="str">
        <f>VLOOKUP(F224,'Customer Info'!$A$1:$C$501,3,0)</f>
        <v>Blackwell</v>
      </c>
      <c r="I224" s="6" t="str">
        <f>VLOOKUP(F224,Customer,5,0)</f>
        <v>Akola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10508</v>
      </c>
      <c r="O224" s="2">
        <v>100</v>
      </c>
      <c r="P224" s="8">
        <f t="shared" si="17"/>
        <v>10608</v>
      </c>
      <c r="Q224" s="8">
        <f t="shared" si="18"/>
        <v>396</v>
      </c>
      <c r="R224" s="2" t="s">
        <v>28</v>
      </c>
      <c r="S224" s="24">
        <f t="shared" si="19"/>
        <v>0.05</v>
      </c>
    </row>
    <row r="225" spans="1:19" x14ac:dyDescent="0.25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VLOOKUP(F225,'Customer Info'!$A:$B,2,0)</f>
        <v>Emily</v>
      </c>
      <c r="H225" s="6" t="str">
        <f>VLOOKUP(F225,'Customer Info'!$A$1:$C$501,3,0)</f>
        <v>Burns</v>
      </c>
      <c r="I225" s="6" t="str">
        <f>VLOOKUP(F225,Customer,5,0)</f>
        <v>Adelaide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256</v>
      </c>
      <c r="O225" s="2">
        <v>30</v>
      </c>
      <c r="P225" s="8">
        <f t="shared" si="17"/>
        <v>286</v>
      </c>
      <c r="Q225" s="8">
        <f t="shared" si="18"/>
        <v>26</v>
      </c>
      <c r="R225" s="2" t="s">
        <v>28</v>
      </c>
      <c r="S225" s="24">
        <f t="shared" si="19"/>
        <v>0.02</v>
      </c>
    </row>
    <row r="226" spans="1:19" x14ac:dyDescent="0.25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VLOOKUP(F226,'Customer Info'!$A:$B,2,0)</f>
        <v>Troy</v>
      </c>
      <c r="H226" s="6" t="str">
        <f>VLOOKUP(F226,'Customer Info'!$A$1:$C$501,3,0)</f>
        <v>Staebel</v>
      </c>
      <c r="I226" s="6" t="str">
        <f>VLOOKUP(F226,Customer,5,0)</f>
        <v>Canberra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22344</v>
      </c>
      <c r="O226" s="2">
        <v>24</v>
      </c>
      <c r="P226" s="8">
        <f t="shared" si="17"/>
        <v>22368</v>
      </c>
      <c r="Q226" s="8">
        <f t="shared" si="18"/>
        <v>1267</v>
      </c>
      <c r="R226" s="2" t="s">
        <v>28</v>
      </c>
      <c r="S226" s="24">
        <f t="shared" si="19"/>
        <v>0.05</v>
      </c>
    </row>
    <row r="227" spans="1:19" x14ac:dyDescent="0.25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VLOOKUP(F227,'Customer Info'!$A:$B,2,0)</f>
        <v>Pauline</v>
      </c>
      <c r="H227" s="6" t="str">
        <f>VLOOKUP(F227,'Customer Info'!$A$1:$C$501,3,0)</f>
        <v>Chand</v>
      </c>
      <c r="I227" s="6" t="str">
        <f>VLOOKUP(F227,Customer,5,0)</f>
        <v>Perth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238</v>
      </c>
      <c r="O227" s="2">
        <v>30</v>
      </c>
      <c r="P227" s="8">
        <f t="shared" si="17"/>
        <v>268</v>
      </c>
      <c r="Q227" s="8">
        <f t="shared" si="18"/>
        <v>14</v>
      </c>
      <c r="R227" s="2" t="s">
        <v>28</v>
      </c>
      <c r="S227" s="24">
        <f t="shared" si="19"/>
        <v>0.02</v>
      </c>
    </row>
    <row r="228" spans="1:19" x14ac:dyDescent="0.25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VLOOKUP(F228,'Customer Info'!$A:$B,2,0)</f>
        <v>Ritsa</v>
      </c>
      <c r="H228" s="6" t="str">
        <f>VLOOKUP(F228,'Customer Info'!$A$1:$C$501,3,0)</f>
        <v>Hightower</v>
      </c>
      <c r="I228" s="6" t="str">
        <f>VLOOKUP(F228,Customer,5,0)</f>
        <v>Hamburg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7932</v>
      </c>
      <c r="O228" s="2">
        <v>84</v>
      </c>
      <c r="P228" s="8">
        <f t="shared" si="17"/>
        <v>8016</v>
      </c>
      <c r="Q228" s="8">
        <f t="shared" si="18"/>
        <v>657</v>
      </c>
      <c r="R228" s="2" t="s">
        <v>28</v>
      </c>
      <c r="S228" s="24">
        <f t="shared" si="19"/>
        <v>0.05</v>
      </c>
    </row>
    <row r="229" spans="1:19" x14ac:dyDescent="0.25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VLOOKUP(F229,'Customer Info'!$A:$B,2,0)</f>
        <v>Peter</v>
      </c>
      <c r="H229" s="6" t="str">
        <f>VLOOKUP(F229,'Customer Info'!$A$1:$C$501,3,0)</f>
        <v>McVee</v>
      </c>
      <c r="I229" s="6" t="str">
        <f>VLOOKUP(F229,Customer,5,0)</f>
        <v>Hamburg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852</v>
      </c>
      <c r="O229" s="2">
        <v>30</v>
      </c>
      <c r="P229" s="8">
        <f t="shared" si="17"/>
        <v>882</v>
      </c>
      <c r="Q229" s="8">
        <f t="shared" si="18"/>
        <v>48</v>
      </c>
      <c r="R229" s="2" t="s">
        <v>28</v>
      </c>
      <c r="S229" s="24">
        <f t="shared" si="19"/>
        <v>0.02</v>
      </c>
    </row>
    <row r="230" spans="1:19" x14ac:dyDescent="0.25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VLOOKUP(F230,'Customer Info'!$A:$B,2,0)</f>
        <v>Allen</v>
      </c>
      <c r="H230" s="6" t="str">
        <f>VLOOKUP(F230,'Customer Info'!$A$1:$C$501,3,0)</f>
        <v>Armold</v>
      </c>
      <c r="I230" s="6" t="str">
        <f>VLOOKUP(F230,Customer,5,0)</f>
        <v>Wuchuan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18648</v>
      </c>
      <c r="O230" s="2">
        <v>74</v>
      </c>
      <c r="P230" s="8">
        <f t="shared" si="17"/>
        <v>18722</v>
      </c>
      <c r="Q230" s="8">
        <f t="shared" si="18"/>
        <v>1356</v>
      </c>
      <c r="R230" s="2" t="s">
        <v>28</v>
      </c>
      <c r="S230" s="24">
        <f t="shared" si="19"/>
        <v>0.05</v>
      </c>
    </row>
    <row r="231" spans="1:19" x14ac:dyDescent="0.25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VLOOKUP(F231,'Customer Info'!$A:$B,2,0)</f>
        <v>Damala</v>
      </c>
      <c r="H231" s="6" t="str">
        <f>VLOOKUP(F231,'Customer Info'!$A$1:$C$501,3,0)</f>
        <v>Kotsonis</v>
      </c>
      <c r="I231" s="6" t="str">
        <f>VLOOKUP(F231,Customer,5,0)</f>
        <v>Berlin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5254</v>
      </c>
      <c r="O231" s="2">
        <v>67</v>
      </c>
      <c r="P231" s="8">
        <f t="shared" si="17"/>
        <v>5321</v>
      </c>
      <c r="Q231" s="8">
        <f t="shared" si="18"/>
        <v>198</v>
      </c>
      <c r="R231" s="2" t="s">
        <v>28</v>
      </c>
      <c r="S231" s="24">
        <f t="shared" si="19"/>
        <v>0.05</v>
      </c>
    </row>
    <row r="232" spans="1:19" x14ac:dyDescent="0.25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VLOOKUP(F232,'Customer Info'!$A:$B,2,0)</f>
        <v>Darrin</v>
      </c>
      <c r="H232" s="6" t="str">
        <f>VLOOKUP(F232,'Customer Info'!$A$1:$C$501,3,0)</f>
        <v>Martin</v>
      </c>
      <c r="I232" s="6" t="str">
        <f>VLOOKUP(F232,Customer,5,0)</f>
        <v>Berlin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3618</v>
      </c>
      <c r="O232" s="2">
        <v>70</v>
      </c>
      <c r="P232" s="8">
        <f t="shared" si="17"/>
        <v>3688</v>
      </c>
      <c r="Q232" s="8">
        <f t="shared" si="18"/>
        <v>236</v>
      </c>
      <c r="R232" s="2" t="s">
        <v>56</v>
      </c>
      <c r="S232" s="24">
        <f t="shared" si="19"/>
        <v>0.02</v>
      </c>
    </row>
    <row r="233" spans="1:19" x14ac:dyDescent="0.25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VLOOKUP(F233,'Customer Info'!$A:$B,2,0)</f>
        <v>Toby</v>
      </c>
      <c r="H233" s="6" t="str">
        <f>VLOOKUP(F233,'Customer Info'!$A$1:$C$501,3,0)</f>
        <v>Braunhardt</v>
      </c>
      <c r="I233" s="6" t="str">
        <f>VLOOKUP(F233,Customer,5,0)</f>
        <v>Perth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15328</v>
      </c>
      <c r="O233" s="2">
        <v>24</v>
      </c>
      <c r="P233" s="8">
        <f t="shared" si="17"/>
        <v>15352</v>
      </c>
      <c r="Q233" s="8">
        <f t="shared" si="18"/>
        <v>576</v>
      </c>
      <c r="R233" s="2" t="s">
        <v>28</v>
      </c>
      <c r="S233" s="24">
        <f t="shared" si="19"/>
        <v>0.05</v>
      </c>
    </row>
    <row r="234" spans="1:19" x14ac:dyDescent="0.25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VLOOKUP(F234,'Customer Info'!$A:$B,2,0)</f>
        <v>Benjamin</v>
      </c>
      <c r="H234" s="6" t="str">
        <f>VLOOKUP(F234,'Customer Info'!$A$1:$C$501,3,0)</f>
        <v>Patterson</v>
      </c>
      <c r="I234" s="6" t="str">
        <f>VLOOKUP(F234,Customer,5,0)</f>
        <v>Tamworth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284</v>
      </c>
      <c r="O234" s="2">
        <v>30</v>
      </c>
      <c r="P234" s="8">
        <f t="shared" si="17"/>
        <v>314</v>
      </c>
      <c r="Q234" s="8">
        <f t="shared" si="18"/>
        <v>16</v>
      </c>
      <c r="R234" s="2" t="s">
        <v>28</v>
      </c>
      <c r="S234" s="24">
        <f t="shared" si="19"/>
        <v>0.02</v>
      </c>
    </row>
    <row r="235" spans="1:19" x14ac:dyDescent="0.25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VLOOKUP(F235,'Customer Info'!$A:$B,2,0)</f>
        <v>Sheri</v>
      </c>
      <c r="H235" s="6" t="str">
        <f>VLOOKUP(F235,'Customer Info'!$A$1:$C$501,3,0)</f>
        <v>Gordon</v>
      </c>
      <c r="I235" s="6" t="str">
        <f>VLOOKUP(F235,Customer,5,0)</f>
        <v>Bogor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1703</v>
      </c>
      <c r="O235" s="2">
        <v>41</v>
      </c>
      <c r="P235" s="8">
        <f t="shared" si="17"/>
        <v>1744</v>
      </c>
      <c r="Q235" s="8">
        <f t="shared" si="18"/>
        <v>64</v>
      </c>
      <c r="R235" s="2" t="s">
        <v>28</v>
      </c>
      <c r="S235" s="24">
        <f t="shared" si="19"/>
        <v>0.02</v>
      </c>
    </row>
    <row r="236" spans="1:19" x14ac:dyDescent="0.25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VLOOKUP(F236,'Customer Info'!$A:$B,2,0)</f>
        <v>Mike</v>
      </c>
      <c r="H236" s="6" t="str">
        <f>VLOOKUP(F236,'Customer Info'!$A$1:$C$501,3,0)</f>
        <v>Pelletier</v>
      </c>
      <c r="I236" s="6" t="str">
        <f>VLOOKUP(F236,Customer,5,0)</f>
        <v>Gorakhpur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4620</v>
      </c>
      <c r="O236" s="2">
        <v>78</v>
      </c>
      <c r="P236" s="8">
        <f t="shared" si="17"/>
        <v>4698</v>
      </c>
      <c r="Q236" s="8">
        <f t="shared" si="18"/>
        <v>540</v>
      </c>
      <c r="R236" s="2" t="s">
        <v>50</v>
      </c>
      <c r="S236" s="24">
        <f t="shared" si="19"/>
        <v>0.02</v>
      </c>
    </row>
    <row r="237" spans="1:19" x14ac:dyDescent="0.25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VLOOKUP(F237,'Customer Info'!$A:$B,2,0)</f>
        <v>Darren</v>
      </c>
      <c r="H237" s="6" t="str">
        <f>VLOOKUP(F237,'Customer Info'!$A$1:$C$501,3,0)</f>
        <v>Budd</v>
      </c>
      <c r="I237" s="6" t="str">
        <f>VLOOKUP(F237,Customer,5,0)</f>
        <v>Regensburg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5748</v>
      </c>
      <c r="O237" s="2">
        <v>64</v>
      </c>
      <c r="P237" s="8">
        <f t="shared" si="17"/>
        <v>5812</v>
      </c>
      <c r="Q237" s="8">
        <f t="shared" si="18"/>
        <v>582</v>
      </c>
      <c r="R237" s="2" t="s">
        <v>28</v>
      </c>
      <c r="S237" s="24">
        <f t="shared" si="19"/>
        <v>0.05</v>
      </c>
    </row>
    <row r="238" spans="1:19" x14ac:dyDescent="0.25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VLOOKUP(F238,'Customer Info'!$A:$B,2,0)</f>
        <v>Hallie</v>
      </c>
      <c r="H238" s="6" t="str">
        <f>VLOOKUP(F238,'Customer Info'!$A$1:$C$501,3,0)</f>
        <v>Redmond</v>
      </c>
      <c r="I238" s="6" t="str">
        <f>VLOOKUP(F238,Customer,5,0)</f>
        <v>Caloundra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2492</v>
      </c>
      <c r="O238" s="2">
        <v>27</v>
      </c>
      <c r="P238" s="8">
        <f t="shared" si="17"/>
        <v>2519</v>
      </c>
      <c r="Q238" s="8">
        <f t="shared" si="18"/>
        <v>164</v>
      </c>
      <c r="R238" s="2" t="s">
        <v>26</v>
      </c>
      <c r="S238" s="24">
        <f t="shared" si="19"/>
        <v>0.02</v>
      </c>
    </row>
    <row r="239" spans="1:19" x14ac:dyDescent="0.25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VLOOKUP(F239,'Customer Info'!$A:$B,2,0)</f>
        <v>Julie</v>
      </c>
      <c r="H239" s="6" t="str">
        <f>VLOOKUP(F239,'Customer Info'!$A$1:$C$501,3,0)</f>
        <v>Creighton</v>
      </c>
      <c r="I239" s="6" t="str">
        <f>VLOOKUP(F239,Customer,5,0)</f>
        <v>Ballarat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310</v>
      </c>
      <c r="O239" s="2">
        <v>10</v>
      </c>
      <c r="P239" s="8">
        <f t="shared" si="17"/>
        <v>320</v>
      </c>
      <c r="Q239" s="8">
        <f t="shared" si="18"/>
        <v>20</v>
      </c>
      <c r="R239" s="2" t="s">
        <v>50</v>
      </c>
      <c r="S239" s="24">
        <f t="shared" si="19"/>
        <v>0.02</v>
      </c>
    </row>
    <row r="240" spans="1:19" x14ac:dyDescent="0.25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VLOOKUP(F240,'Customer Info'!$A:$B,2,0)</f>
        <v>Jack</v>
      </c>
      <c r="H240" s="6" t="str">
        <f>VLOOKUP(F240,'Customer Info'!$A$1:$C$501,3,0)</f>
        <v>Garza</v>
      </c>
      <c r="I240" s="6" t="str">
        <f>VLOOKUP(F240,Customer,5,0)</f>
        <v>Oldenburg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7235</v>
      </c>
      <c r="O240" s="2">
        <v>94</v>
      </c>
      <c r="P240" s="8">
        <f t="shared" si="17"/>
        <v>7329</v>
      </c>
      <c r="Q240" s="8">
        <f t="shared" si="18"/>
        <v>605</v>
      </c>
      <c r="R240" s="2" t="s">
        <v>28</v>
      </c>
      <c r="S240" s="24">
        <f t="shared" si="19"/>
        <v>0.05</v>
      </c>
    </row>
    <row r="241" spans="1:19" x14ac:dyDescent="0.25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VLOOKUP(F241,'Customer Info'!$A:$B,2,0)</f>
        <v>Steven</v>
      </c>
      <c r="H241" s="6" t="str">
        <f>VLOOKUP(F241,'Customer Info'!$A$1:$C$501,3,0)</f>
        <v>Cartwright</v>
      </c>
      <c r="I241" s="6" t="str">
        <f>VLOOKUP(F241,Customer,5,0)</f>
        <v>Newcastle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1295</v>
      </c>
      <c r="O241" s="2">
        <v>30</v>
      </c>
      <c r="P241" s="8">
        <f t="shared" si="17"/>
        <v>1325</v>
      </c>
      <c r="Q241" s="8">
        <f t="shared" si="18"/>
        <v>77</v>
      </c>
      <c r="R241" s="2" t="s">
        <v>50</v>
      </c>
      <c r="S241" s="24">
        <f t="shared" si="19"/>
        <v>0.02</v>
      </c>
    </row>
    <row r="242" spans="1:19" x14ac:dyDescent="0.25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VLOOKUP(F242,'Customer Info'!$A:$B,2,0)</f>
        <v>Steven</v>
      </c>
      <c r="H242" s="6" t="str">
        <f>VLOOKUP(F242,'Customer Info'!$A$1:$C$501,3,0)</f>
        <v>Cartwright</v>
      </c>
      <c r="I242" s="6" t="str">
        <f>VLOOKUP(F242,Customer,5,0)</f>
        <v>Newcastle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12768</v>
      </c>
      <c r="O242" s="2">
        <v>72</v>
      </c>
      <c r="P242" s="8">
        <f t="shared" si="17"/>
        <v>12840</v>
      </c>
      <c r="Q242" s="8">
        <f t="shared" si="18"/>
        <v>724</v>
      </c>
      <c r="R242" s="2" t="s">
        <v>28</v>
      </c>
      <c r="S242" s="24">
        <f t="shared" si="19"/>
        <v>0.05</v>
      </c>
    </row>
    <row r="243" spans="1:19" x14ac:dyDescent="0.25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VLOOKUP(F243,'Customer Info'!$A:$B,2,0)</f>
        <v>Benjamin</v>
      </c>
      <c r="H243" s="6" t="str">
        <f>VLOOKUP(F243,'Customer Info'!$A$1:$C$501,3,0)</f>
        <v>Patterson</v>
      </c>
      <c r="I243" s="6" t="str">
        <f>VLOOKUP(F243,Customer,5,0)</f>
        <v>Wollongong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8738</v>
      </c>
      <c r="O243" s="2">
        <v>28</v>
      </c>
      <c r="P243" s="8">
        <f t="shared" si="17"/>
        <v>8766</v>
      </c>
      <c r="Q243" s="8">
        <f t="shared" si="18"/>
        <v>576</v>
      </c>
      <c r="R243" s="2" t="s">
        <v>28</v>
      </c>
      <c r="S243" s="24">
        <f t="shared" si="19"/>
        <v>0.05</v>
      </c>
    </row>
    <row r="244" spans="1:19" x14ac:dyDescent="0.25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VLOOKUP(F244,'Customer Info'!$A:$B,2,0)</f>
        <v>Anthony</v>
      </c>
      <c r="H244" s="6" t="str">
        <f>VLOOKUP(F244,'Customer Info'!$A$1:$C$501,3,0)</f>
        <v>O'Donnell</v>
      </c>
      <c r="I244" s="6" t="str">
        <f>VLOOKUP(F244,Customer,5,0)</f>
        <v>Berlin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3370</v>
      </c>
      <c r="O244" s="2">
        <v>29</v>
      </c>
      <c r="P244" s="8">
        <f t="shared" si="17"/>
        <v>3399</v>
      </c>
      <c r="Q244" s="8">
        <f t="shared" si="18"/>
        <v>225</v>
      </c>
      <c r="R244" s="2" t="s">
        <v>28</v>
      </c>
      <c r="S244" s="24">
        <f t="shared" si="19"/>
        <v>0.02</v>
      </c>
    </row>
    <row r="245" spans="1:19" x14ac:dyDescent="0.25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VLOOKUP(F245,'Customer Info'!$A:$B,2,0)</f>
        <v>Laurel</v>
      </c>
      <c r="H245" s="6" t="str">
        <f>VLOOKUP(F245,'Customer Info'!$A$1:$C$501,3,0)</f>
        <v>Elliston</v>
      </c>
      <c r="I245" s="6" t="str">
        <f>VLOOKUP(F245,Customer,5,0)</f>
        <v>Tasikmalaya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4956</v>
      </c>
      <c r="O245" s="2">
        <v>98</v>
      </c>
      <c r="P245" s="8">
        <f t="shared" si="17"/>
        <v>5054</v>
      </c>
      <c r="Q245" s="8">
        <f t="shared" si="18"/>
        <v>144</v>
      </c>
      <c r="R245" s="2" t="s">
        <v>28</v>
      </c>
      <c r="S245" s="24">
        <f t="shared" si="19"/>
        <v>0.02</v>
      </c>
    </row>
    <row r="246" spans="1:19" x14ac:dyDescent="0.25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VLOOKUP(F246,'Customer Info'!$A:$B,2,0)</f>
        <v>Allen</v>
      </c>
      <c r="H246" s="6" t="str">
        <f>VLOOKUP(F246,'Customer Info'!$A$1:$C$501,3,0)</f>
        <v>Rosenblatt</v>
      </c>
      <c r="I246" s="6" t="str">
        <f>VLOOKUP(F246,Customer,5,0)</f>
        <v>Chaozhou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17238</v>
      </c>
      <c r="O246" s="2">
        <v>58</v>
      </c>
      <c r="P246" s="8">
        <f t="shared" si="17"/>
        <v>17296</v>
      </c>
      <c r="Q246" s="8">
        <f t="shared" si="18"/>
        <v>1720</v>
      </c>
      <c r="R246" s="2" t="s">
        <v>28</v>
      </c>
      <c r="S246" s="24">
        <f t="shared" si="19"/>
        <v>0.05</v>
      </c>
    </row>
    <row r="247" spans="1:19" x14ac:dyDescent="0.25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VLOOKUP(F247,'Customer Info'!$A:$B,2,0)</f>
        <v>Dave</v>
      </c>
      <c r="H247" s="6" t="str">
        <f>VLOOKUP(F247,'Customer Info'!$A$1:$C$501,3,0)</f>
        <v>Hallsten</v>
      </c>
      <c r="I247" s="6" t="str">
        <f>VLOOKUP(F247,Customer,5,0)</f>
        <v>Coimbatore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34952</v>
      </c>
      <c r="O247" s="2">
        <v>66</v>
      </c>
      <c r="P247" s="8">
        <f t="shared" si="17"/>
        <v>35018</v>
      </c>
      <c r="Q247" s="8">
        <f t="shared" si="18"/>
        <v>2304</v>
      </c>
      <c r="R247" s="2" t="s">
        <v>28</v>
      </c>
      <c r="S247" s="24">
        <f t="shared" si="19"/>
        <v>7.0000000000000007E-2</v>
      </c>
    </row>
    <row r="248" spans="1:19" x14ac:dyDescent="0.25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VLOOKUP(F248,'Customer Info'!$A:$B,2,0)</f>
        <v>Gary</v>
      </c>
      <c r="H248" s="6" t="str">
        <f>VLOOKUP(F248,'Customer Info'!$A$1:$C$501,3,0)</f>
        <v>Zandusky</v>
      </c>
      <c r="I248" s="6" t="str">
        <f>VLOOKUP(F248,Customer,5,0)</f>
        <v>Gold Coast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284</v>
      </c>
      <c r="O248" s="2">
        <v>30</v>
      </c>
      <c r="P248" s="8">
        <f t="shared" si="17"/>
        <v>314</v>
      </c>
      <c r="Q248" s="8">
        <f t="shared" si="18"/>
        <v>16</v>
      </c>
      <c r="R248" s="2" t="s">
        <v>50</v>
      </c>
      <c r="S248" s="24">
        <f t="shared" si="19"/>
        <v>0.02</v>
      </c>
    </row>
    <row r="249" spans="1:19" x14ac:dyDescent="0.25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VLOOKUP(F249,'Customer Info'!$A:$B,2,0)</f>
        <v>Fred</v>
      </c>
      <c r="H249" s="6" t="str">
        <f>VLOOKUP(F249,'Customer Info'!$A$1:$C$501,3,0)</f>
        <v>Wasserman</v>
      </c>
      <c r="I249" s="6" t="str">
        <f>VLOOKUP(F249,Customer,5,0)</f>
        <v>Willich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1032</v>
      </c>
      <c r="O249" s="2">
        <v>59</v>
      </c>
      <c r="P249" s="8">
        <f t="shared" si="17"/>
        <v>1091</v>
      </c>
      <c r="Q249" s="8">
        <f t="shared" si="18"/>
        <v>86</v>
      </c>
      <c r="R249" s="2" t="s">
        <v>28</v>
      </c>
      <c r="S249" s="24">
        <f t="shared" si="19"/>
        <v>0.02</v>
      </c>
    </row>
    <row r="250" spans="1:19" x14ac:dyDescent="0.25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VLOOKUP(F250,'Customer Info'!$A:$B,2,0)</f>
        <v>Anna</v>
      </c>
      <c r="H250" s="6" t="str">
        <f>VLOOKUP(F250,'Customer Info'!$A$1:$C$501,3,0)</f>
        <v>Gayman</v>
      </c>
      <c r="I250" s="6" t="str">
        <f>VLOOKUP(F250,Customer,5,0)</f>
        <v>Surat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6465</v>
      </c>
      <c r="O250" s="2">
        <v>44</v>
      </c>
      <c r="P250" s="8">
        <f t="shared" si="17"/>
        <v>6509</v>
      </c>
      <c r="Q250" s="8">
        <f t="shared" si="18"/>
        <v>423</v>
      </c>
      <c r="R250" s="2" t="s">
        <v>28</v>
      </c>
      <c r="S250" s="24">
        <f t="shared" si="19"/>
        <v>0.05</v>
      </c>
    </row>
    <row r="251" spans="1:19" x14ac:dyDescent="0.25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VLOOKUP(F251,'Customer Info'!$A:$B,2,0)</f>
        <v>Shui</v>
      </c>
      <c r="H251" s="6" t="str">
        <f>VLOOKUP(F251,'Customer Info'!$A$1:$C$501,3,0)</f>
        <v>Tom</v>
      </c>
      <c r="I251" s="6" t="str">
        <f>VLOOKUP(F251,Customer,5,0)</f>
        <v>Melbourne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561</v>
      </c>
      <c r="O251" s="2">
        <v>30</v>
      </c>
      <c r="P251" s="8">
        <f t="shared" si="17"/>
        <v>591</v>
      </c>
      <c r="Q251" s="8">
        <f t="shared" si="18"/>
        <v>33</v>
      </c>
      <c r="R251" s="2" t="s">
        <v>28</v>
      </c>
      <c r="S251" s="24">
        <f t="shared" si="19"/>
        <v>0.02</v>
      </c>
    </row>
    <row r="252" spans="1:19" x14ac:dyDescent="0.25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VLOOKUP(F252,'Customer Info'!$A:$B,2,0)</f>
        <v>Rachel</v>
      </c>
      <c r="H252" s="6" t="str">
        <f>VLOOKUP(F252,'Customer Info'!$A$1:$C$501,3,0)</f>
        <v>Payne</v>
      </c>
      <c r="I252" s="6" t="str">
        <f>VLOOKUP(F252,Customer,5,0)</f>
        <v>Nagercoil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11808</v>
      </c>
      <c r="O252" s="2">
        <v>79</v>
      </c>
      <c r="P252" s="8">
        <f t="shared" si="17"/>
        <v>11887</v>
      </c>
      <c r="Q252" s="8">
        <f t="shared" si="18"/>
        <v>882</v>
      </c>
      <c r="R252" s="2" t="s">
        <v>28</v>
      </c>
      <c r="S252" s="24">
        <f t="shared" si="19"/>
        <v>0.05</v>
      </c>
    </row>
    <row r="253" spans="1:19" x14ac:dyDescent="0.25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VLOOKUP(F253,'Customer Info'!$A:$B,2,0)</f>
        <v>Benjamin</v>
      </c>
      <c r="H253" s="6" t="str">
        <f>VLOOKUP(F253,'Customer Info'!$A$1:$C$501,3,0)</f>
        <v>Patterson</v>
      </c>
      <c r="I253" s="6" t="str">
        <f>VLOOKUP(F253,Customer,5,0)</f>
        <v>Wollongong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355</v>
      </c>
      <c r="O253" s="2">
        <v>10</v>
      </c>
      <c r="P253" s="8">
        <f t="shared" si="17"/>
        <v>365</v>
      </c>
      <c r="Q253" s="8">
        <f t="shared" si="18"/>
        <v>35</v>
      </c>
      <c r="R253" s="2" t="s">
        <v>28</v>
      </c>
      <c r="S253" s="24">
        <f t="shared" si="19"/>
        <v>0.02</v>
      </c>
    </row>
    <row r="254" spans="1:19" x14ac:dyDescent="0.25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VLOOKUP(F254,'Customer Info'!$A:$B,2,0)</f>
        <v>Michelle</v>
      </c>
      <c r="H254" s="6" t="str">
        <f>VLOOKUP(F254,'Customer Info'!$A$1:$C$501,3,0)</f>
        <v>Arnett</v>
      </c>
      <c r="I254" s="6" t="str">
        <f>VLOOKUP(F254,Customer,5,0)</f>
        <v>Palembang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630</v>
      </c>
      <c r="O254" s="2">
        <v>49</v>
      </c>
      <c r="P254" s="8">
        <f t="shared" si="17"/>
        <v>679</v>
      </c>
      <c r="Q254" s="8">
        <f t="shared" si="18"/>
        <v>51</v>
      </c>
      <c r="R254" s="2" t="s">
        <v>56</v>
      </c>
      <c r="S254" s="24">
        <f t="shared" si="19"/>
        <v>0.02</v>
      </c>
    </row>
    <row r="255" spans="1:19" x14ac:dyDescent="0.25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VLOOKUP(F255,'Customer Info'!$A:$B,2,0)</f>
        <v>Nick</v>
      </c>
      <c r="H255" s="6" t="str">
        <f>VLOOKUP(F255,'Customer Info'!$A$1:$C$501,3,0)</f>
        <v>Zandusky</v>
      </c>
      <c r="I255" s="6" t="str">
        <f>VLOOKUP(F255,Customer,5,0)</f>
        <v>Surabaya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642</v>
      </c>
      <c r="O255" s="2">
        <v>90</v>
      </c>
      <c r="P255" s="8">
        <f t="shared" si="17"/>
        <v>732</v>
      </c>
      <c r="Q255" s="8">
        <f t="shared" si="18"/>
        <v>42</v>
      </c>
      <c r="R255" s="2" t="s">
        <v>28</v>
      </c>
      <c r="S255" s="24">
        <f t="shared" si="19"/>
        <v>0.02</v>
      </c>
    </row>
    <row r="256" spans="1:19" x14ac:dyDescent="0.25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VLOOKUP(F256,'Customer Info'!$A:$B,2,0)</f>
        <v>Maureen</v>
      </c>
      <c r="H256" s="6" t="str">
        <f>VLOOKUP(F256,'Customer Info'!$A$1:$C$501,3,0)</f>
        <v>Gastineau</v>
      </c>
      <c r="I256" s="6" t="str">
        <f>VLOOKUP(F256,Customer,5,0)</f>
        <v>Melton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1260</v>
      </c>
      <c r="O256" s="2">
        <v>32</v>
      </c>
      <c r="P256" s="8">
        <f t="shared" si="17"/>
        <v>1292</v>
      </c>
      <c r="Q256" s="8">
        <f t="shared" si="18"/>
        <v>102</v>
      </c>
      <c r="R256" s="2" t="s">
        <v>50</v>
      </c>
      <c r="S256" s="24">
        <f t="shared" si="19"/>
        <v>0.02</v>
      </c>
    </row>
    <row r="257" spans="1:19" x14ac:dyDescent="0.25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VLOOKUP(F257,'Customer Info'!$A:$B,2,0)</f>
        <v>Shahid</v>
      </c>
      <c r="H257" s="6" t="str">
        <f>VLOOKUP(F257,'Customer Info'!$A$1:$C$501,3,0)</f>
        <v>Collister</v>
      </c>
      <c r="I257" s="6" t="str">
        <f>VLOOKUP(F257,Customer,5,0)</f>
        <v>Solapur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8880</v>
      </c>
      <c r="O257" s="2">
        <v>83</v>
      </c>
      <c r="P257" s="8">
        <f t="shared" si="17"/>
        <v>8963</v>
      </c>
      <c r="Q257" s="8">
        <f t="shared" si="18"/>
        <v>975</v>
      </c>
      <c r="R257" s="2" t="s">
        <v>50</v>
      </c>
      <c r="S257" s="24">
        <f t="shared" si="19"/>
        <v>0.05</v>
      </c>
    </row>
    <row r="258" spans="1:19" x14ac:dyDescent="0.25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VLOOKUP(F258,'Customer Info'!$A:$B,2,0)</f>
        <v>Nat</v>
      </c>
      <c r="H258" s="6" t="str">
        <f>VLOOKUP(F258,'Customer Info'!$A$1:$C$501,3,0)</f>
        <v>Carroll</v>
      </c>
      <c r="I258" s="6" t="str">
        <f>VLOOKUP(F258,Customer,5,0)</f>
        <v>Shanghai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21756</v>
      </c>
      <c r="O258" s="2">
        <v>74</v>
      </c>
      <c r="P258" s="8">
        <f t="shared" si="17"/>
        <v>21830</v>
      </c>
      <c r="Q258" s="8">
        <f t="shared" si="18"/>
        <v>1582</v>
      </c>
      <c r="R258" s="2" t="s">
        <v>28</v>
      </c>
      <c r="S258" s="24">
        <f t="shared" si="19"/>
        <v>0.05</v>
      </c>
    </row>
    <row r="259" spans="1:19" x14ac:dyDescent="0.25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VLOOKUP(F259,'Customer Info'!$A:$B,2,0)</f>
        <v>Scott</v>
      </c>
      <c r="H259" s="6" t="str">
        <f>VLOOKUP(F259,'Customer Info'!$A$1:$C$501,3,0)</f>
        <v>Cohen</v>
      </c>
      <c r="I259" s="6" t="str">
        <f>VLOOKUP(F259,Customer,5,0)</f>
        <v>Freiburg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5842</v>
      </c>
      <c r="O259" s="2">
        <v>25</v>
      </c>
      <c r="P259" s="8">
        <f t="shared" si="17"/>
        <v>5867</v>
      </c>
      <c r="Q259" s="8">
        <f t="shared" si="18"/>
        <v>224</v>
      </c>
      <c r="R259" s="2" t="s">
        <v>28</v>
      </c>
      <c r="S259" s="24">
        <f t="shared" si="19"/>
        <v>0.05</v>
      </c>
    </row>
    <row r="260" spans="1:19" x14ac:dyDescent="0.25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VLOOKUP(F260,'Customer Info'!$A:$B,2,0)</f>
        <v>Lisa</v>
      </c>
      <c r="H260" s="6" t="str">
        <f>VLOOKUP(F260,'Customer Info'!$A$1:$C$501,3,0)</f>
        <v>DeCherney</v>
      </c>
      <c r="I260" s="6" t="str">
        <f>VLOOKUP(F260,Customer,5,0)</f>
        <v>Ningbo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13222</v>
      </c>
      <c r="O260" s="2">
        <v>38</v>
      </c>
      <c r="P260" s="8">
        <f t="shared" si="17"/>
        <v>13260</v>
      </c>
      <c r="Q260" s="8">
        <f t="shared" si="18"/>
        <v>1336</v>
      </c>
      <c r="R260" s="2" t="s">
        <v>28</v>
      </c>
      <c r="S260" s="24">
        <f t="shared" si="19"/>
        <v>0.05</v>
      </c>
    </row>
    <row r="261" spans="1:19" x14ac:dyDescent="0.25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VLOOKUP(F261,'Customer Info'!$A:$B,2,0)</f>
        <v>Nancy</v>
      </c>
      <c r="H261" s="6" t="str">
        <f>VLOOKUP(F261,'Customer Info'!$A$1:$C$501,3,0)</f>
        <v>Lomonaco</v>
      </c>
      <c r="I261" s="6" t="str">
        <f>VLOOKUP(F261,Customer,5,0)</f>
        <v>Tengzhou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809</v>
      </c>
      <c r="O261" s="2">
        <v>35</v>
      </c>
      <c r="P261" s="8">
        <f t="shared" si="17"/>
        <v>844</v>
      </c>
      <c r="Q261" s="8">
        <f t="shared" si="18"/>
        <v>39</v>
      </c>
      <c r="R261" s="2" t="s">
        <v>26</v>
      </c>
      <c r="S261" s="24">
        <f t="shared" si="19"/>
        <v>0.02</v>
      </c>
    </row>
    <row r="262" spans="1:19" x14ac:dyDescent="0.25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VLOOKUP(F262,'Customer Info'!$A:$B,2,0)</f>
        <v>Kristina</v>
      </c>
      <c r="H262" s="6" t="str">
        <f>VLOOKUP(F262,'Customer Info'!$A$1:$C$501,3,0)</f>
        <v>Nunn</v>
      </c>
      <c r="I262" s="6" t="str">
        <f>VLOOKUP(F262,Customer,5,0)</f>
        <v>Sydney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42286</v>
      </c>
      <c r="O262" s="2">
        <v>35</v>
      </c>
      <c r="P262" s="8">
        <f t="shared" si="17"/>
        <v>42321</v>
      </c>
      <c r="Q262" s="8">
        <f t="shared" si="18"/>
        <v>4590</v>
      </c>
      <c r="R262" s="2" t="s">
        <v>28</v>
      </c>
      <c r="S262" s="24">
        <f t="shared" si="19"/>
        <v>7.0000000000000007E-2</v>
      </c>
    </row>
    <row r="263" spans="1:19" x14ac:dyDescent="0.25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VLOOKUP(F263,'Customer Info'!$A:$B,2,0)</f>
        <v>Hunter</v>
      </c>
      <c r="H263" s="6" t="str">
        <f>VLOOKUP(F263,'Customer Info'!$A$1:$C$501,3,0)</f>
        <v>Lopez</v>
      </c>
      <c r="I263" s="6" t="str">
        <f>VLOOKUP(F263,Customer,5,0)</f>
        <v>Wollongong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5916</v>
      </c>
      <c r="O263" s="2">
        <v>89</v>
      </c>
      <c r="P263" s="8">
        <f t="shared" si="17"/>
        <v>6005</v>
      </c>
      <c r="Q263" s="8">
        <f t="shared" si="18"/>
        <v>430</v>
      </c>
      <c r="R263" s="2" t="s">
        <v>28</v>
      </c>
      <c r="S263" s="24">
        <f t="shared" si="19"/>
        <v>0.05</v>
      </c>
    </row>
    <row r="264" spans="1:19" x14ac:dyDescent="0.25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VLOOKUP(F264,'Customer Info'!$A:$B,2,0)</f>
        <v>Daniel</v>
      </c>
      <c r="H264" s="6" t="str">
        <f>VLOOKUP(F264,'Customer Info'!$A$1:$C$501,3,0)</f>
        <v>Raglin</v>
      </c>
      <c r="I264" s="6" t="str">
        <f>VLOOKUP(F264,Customer,5,0)</f>
        <v>Gold Coast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1983</v>
      </c>
      <c r="O264" s="2">
        <v>63</v>
      </c>
      <c r="P264" s="8">
        <f t="shared" si="17"/>
        <v>2046</v>
      </c>
      <c r="Q264" s="8">
        <f t="shared" si="18"/>
        <v>75</v>
      </c>
      <c r="R264" s="2" t="s">
        <v>26</v>
      </c>
      <c r="S264" s="24">
        <f t="shared" si="19"/>
        <v>0.02</v>
      </c>
    </row>
    <row r="265" spans="1:19" x14ac:dyDescent="0.25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VLOOKUP(F265,'Customer Info'!$A:$B,2,0)</f>
        <v>Jenna</v>
      </c>
      <c r="H265" s="6" t="str">
        <f>VLOOKUP(F265,'Customer Info'!$A$1:$C$501,3,0)</f>
        <v>Caffey</v>
      </c>
      <c r="I265" s="6" t="str">
        <f>VLOOKUP(F265,Customer,5,0)</f>
        <v>Kanpur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14760</v>
      </c>
      <c r="O265" s="2">
        <v>99</v>
      </c>
      <c r="P265" s="8">
        <f t="shared" si="17"/>
        <v>14859</v>
      </c>
      <c r="Q265" s="8">
        <f t="shared" si="18"/>
        <v>824</v>
      </c>
      <c r="R265" s="2" t="s">
        <v>28</v>
      </c>
      <c r="S265" s="24">
        <f t="shared" si="19"/>
        <v>0.05</v>
      </c>
    </row>
    <row r="266" spans="1:19" x14ac:dyDescent="0.25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VLOOKUP(F266,'Customer Info'!$A:$B,2,0)</f>
        <v>Ivan</v>
      </c>
      <c r="H266" s="6" t="str">
        <f>VLOOKUP(F266,'Customer Info'!$A$1:$C$501,3,0)</f>
        <v>Gibson</v>
      </c>
      <c r="I266" s="6" t="str">
        <f>VLOOKUP(F266,Customer,5,0)</f>
        <v>Perth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238</v>
      </c>
      <c r="O266" s="2">
        <v>30</v>
      </c>
      <c r="P266" s="8">
        <f t="shared" si="17"/>
        <v>268</v>
      </c>
      <c r="Q266" s="8">
        <f t="shared" si="18"/>
        <v>14</v>
      </c>
      <c r="R266" s="2" t="s">
        <v>28</v>
      </c>
      <c r="S266" s="24">
        <f t="shared" si="19"/>
        <v>0.02</v>
      </c>
    </row>
    <row r="267" spans="1:19" x14ac:dyDescent="0.25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VLOOKUP(F267,'Customer Info'!$A:$B,2,0)</f>
        <v>Logan</v>
      </c>
      <c r="H267" s="6" t="str">
        <f>VLOOKUP(F267,'Customer Info'!$A$1:$C$501,3,0)</f>
        <v>Haushalter</v>
      </c>
      <c r="I267" s="6" t="str">
        <f>VLOOKUP(F267,Customer,5,0)</f>
        <v>Canberra</v>
      </c>
      <c r="J267" s="2">
        <v>9214</v>
      </c>
      <c r="K267" s="2">
        <v>8295</v>
      </c>
      <c r="L267" s="2">
        <v>4</v>
      </c>
      <c r="M267" s="7">
        <f t="shared" ref="M267:M330" si="20">K267*L267</f>
        <v>33180</v>
      </c>
      <c r="N267" s="7">
        <f t="shared" ref="N267:N330" si="21">J267*L267</f>
        <v>36856</v>
      </c>
      <c r="O267" s="2">
        <v>97</v>
      </c>
      <c r="P267" s="8">
        <f t="shared" ref="P267:P330" si="22">N267+O267</f>
        <v>36953</v>
      </c>
      <c r="Q267" s="8">
        <f t="shared" ref="Q267:Q330" si="23">N267-M267</f>
        <v>3676</v>
      </c>
      <c r="R267" s="2" t="s">
        <v>28</v>
      </c>
      <c r="S267" s="24">
        <f t="shared" ref="S267:S330" si="24">VLOOKUP(N267,$T$1:$U$7,2,TRUE)</f>
        <v>7.0000000000000007E-2</v>
      </c>
    </row>
    <row r="268" spans="1:19" x14ac:dyDescent="0.25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VLOOKUP(F268,'Customer Info'!$A:$B,2,0)</f>
        <v>Rick</v>
      </c>
      <c r="H268" s="6" t="str">
        <f>VLOOKUP(F268,'Customer Info'!$A$1:$C$501,3,0)</f>
        <v>Duston</v>
      </c>
      <c r="I268" s="6" t="str">
        <f>VLOOKUP(F268,Customer,5,0)</f>
        <v>Surakarta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8">
        <f t="shared" si="22"/>
        <v>4628</v>
      </c>
      <c r="Q268" s="8">
        <f t="shared" si="23"/>
        <v>540</v>
      </c>
      <c r="R268" s="2" t="s">
        <v>28</v>
      </c>
      <c r="S268" s="24">
        <f t="shared" si="24"/>
        <v>0.02</v>
      </c>
    </row>
    <row r="269" spans="1:19" x14ac:dyDescent="0.25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VLOOKUP(F269,'Customer Info'!$A:$B,2,0)</f>
        <v>Bart</v>
      </c>
      <c r="H269" s="6" t="str">
        <f>VLOOKUP(F269,'Customer Info'!$A$1:$C$501,3,0)</f>
        <v>Folk</v>
      </c>
      <c r="I269" s="6" t="str">
        <f>VLOOKUP(F269,Customer,5,0)</f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8">
        <f t="shared" si="22"/>
        <v>4778</v>
      </c>
      <c r="Q269" s="8">
        <f t="shared" si="23"/>
        <v>264</v>
      </c>
      <c r="R269" s="2" t="s">
        <v>28</v>
      </c>
      <c r="S269" s="24">
        <f t="shared" si="24"/>
        <v>0.02</v>
      </c>
    </row>
    <row r="270" spans="1:19" x14ac:dyDescent="0.25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VLOOKUP(F270,'Customer Info'!$A:$B,2,0)</f>
        <v>Rob</v>
      </c>
      <c r="H270" s="6" t="str">
        <f>VLOOKUP(F270,'Customer Info'!$A$1:$C$501,3,0)</f>
        <v>Haberlin</v>
      </c>
      <c r="I270" s="6" t="str">
        <f>VLOOKUP(F270,Customer,5,0)</f>
        <v>Harbin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8">
        <f t="shared" si="22"/>
        <v>32063</v>
      </c>
      <c r="Q270" s="8">
        <f t="shared" si="23"/>
        <v>2044</v>
      </c>
      <c r="R270" s="2" t="s">
        <v>50</v>
      </c>
      <c r="S270" s="24">
        <f t="shared" si="24"/>
        <v>7.0000000000000007E-2</v>
      </c>
    </row>
    <row r="271" spans="1:19" x14ac:dyDescent="0.25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VLOOKUP(F271,'Customer Info'!$A:$B,2,0)</f>
        <v>Christine</v>
      </c>
      <c r="H271" s="6" t="str">
        <f>VLOOKUP(F271,'Customer Info'!$A$1:$C$501,3,0)</f>
        <v>Abelman</v>
      </c>
      <c r="I271" s="6" t="str">
        <f>VLOOKUP(F271,Customer,5,0)</f>
        <v>Nasik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8">
        <f t="shared" si="22"/>
        <v>20613</v>
      </c>
      <c r="Q271" s="8">
        <f t="shared" si="23"/>
        <v>591</v>
      </c>
      <c r="R271" s="2" t="s">
        <v>56</v>
      </c>
      <c r="S271" s="24">
        <f t="shared" si="24"/>
        <v>0.05</v>
      </c>
    </row>
    <row r="272" spans="1:19" x14ac:dyDescent="0.25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VLOOKUP(F272,'Customer Info'!$A:$B,2,0)</f>
        <v>Ted</v>
      </c>
      <c r="H272" s="6" t="str">
        <f>VLOOKUP(F272,'Customer Info'!$A$1:$C$501,3,0)</f>
        <v>Trevino</v>
      </c>
      <c r="I272" s="6" t="str">
        <f>VLOOKUP(F272,Customer,5,0)</f>
        <v>Bendigo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40130</v>
      </c>
      <c r="O272" s="2">
        <v>86</v>
      </c>
      <c r="P272" s="8">
        <f t="shared" si="22"/>
        <v>40216</v>
      </c>
      <c r="Q272" s="8">
        <f t="shared" si="23"/>
        <v>2270</v>
      </c>
      <c r="R272" s="2" t="s">
        <v>50</v>
      </c>
      <c r="S272" s="24">
        <f t="shared" si="24"/>
        <v>7.0000000000000007E-2</v>
      </c>
    </row>
    <row r="273" spans="1:19" x14ac:dyDescent="0.25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VLOOKUP(F273,'Customer Info'!$A:$B,2,0)</f>
        <v>Steven</v>
      </c>
      <c r="H273" s="6" t="str">
        <f>VLOOKUP(F273,'Customer Info'!$A$1:$C$501,3,0)</f>
        <v>Cartwright</v>
      </c>
      <c r="I273" s="6" t="str">
        <f>VLOOKUP(F273,Customer,5,0)</f>
        <v>Newcastle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7336</v>
      </c>
      <c r="O273" s="2">
        <v>33</v>
      </c>
      <c r="P273" s="8">
        <f t="shared" si="22"/>
        <v>7369</v>
      </c>
      <c r="Q273" s="8">
        <f t="shared" si="23"/>
        <v>483</v>
      </c>
      <c r="R273" s="2" t="s">
        <v>56</v>
      </c>
      <c r="S273" s="24">
        <f t="shared" si="24"/>
        <v>0.05</v>
      </c>
    </row>
    <row r="274" spans="1:19" x14ac:dyDescent="0.25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VLOOKUP(F274,'Customer Info'!$A:$B,2,0)</f>
        <v>Dean</v>
      </c>
      <c r="H274" s="6" t="str">
        <f>VLOOKUP(F274,'Customer Info'!$A$1:$C$501,3,0)</f>
        <v>Katz</v>
      </c>
      <c r="I274" s="6" t="str">
        <f>VLOOKUP(F274,Customer,5,0)</f>
        <v>Changzhou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33404</v>
      </c>
      <c r="O274" s="2">
        <v>27</v>
      </c>
      <c r="P274" s="8">
        <f t="shared" si="22"/>
        <v>33431</v>
      </c>
      <c r="Q274" s="8">
        <f t="shared" si="23"/>
        <v>1272</v>
      </c>
      <c r="R274" s="2" t="s">
        <v>28</v>
      </c>
      <c r="S274" s="24">
        <f t="shared" si="24"/>
        <v>7.0000000000000007E-2</v>
      </c>
    </row>
    <row r="275" spans="1:19" x14ac:dyDescent="0.25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VLOOKUP(F275,'Customer Info'!$A:$B,2,0)</f>
        <v>Ivan</v>
      </c>
      <c r="H275" s="6" t="str">
        <f>VLOOKUP(F275,'Customer Info'!$A$1:$C$501,3,0)</f>
        <v>Gibson</v>
      </c>
      <c r="I275" s="6" t="str">
        <f>VLOOKUP(F275,Customer,5,0)</f>
        <v>Shanghai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8665</v>
      </c>
      <c r="O275" s="2">
        <v>60</v>
      </c>
      <c r="P275" s="8">
        <f t="shared" si="22"/>
        <v>8725</v>
      </c>
      <c r="Q275" s="8">
        <f t="shared" si="23"/>
        <v>942</v>
      </c>
      <c r="R275" s="2" t="s">
        <v>50</v>
      </c>
      <c r="S275" s="24">
        <f t="shared" si="24"/>
        <v>0.05</v>
      </c>
    </row>
    <row r="276" spans="1:19" x14ac:dyDescent="0.25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VLOOKUP(F276,'Customer Info'!$A:$B,2,0)</f>
        <v>Randy</v>
      </c>
      <c r="H276" s="6" t="str">
        <f>VLOOKUP(F276,'Customer Info'!$A$1:$C$501,3,0)</f>
        <v>Bradley</v>
      </c>
      <c r="I276" s="6" t="str">
        <f>VLOOKUP(F276,Customer,5,0)</f>
        <v>Wollongong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680</v>
      </c>
      <c r="O276" s="2">
        <v>30</v>
      </c>
      <c r="P276" s="8">
        <f t="shared" si="22"/>
        <v>710</v>
      </c>
      <c r="Q276" s="8">
        <f t="shared" si="23"/>
        <v>40</v>
      </c>
      <c r="R276" s="2" t="s">
        <v>50</v>
      </c>
      <c r="S276" s="24">
        <f t="shared" si="24"/>
        <v>0.02</v>
      </c>
    </row>
    <row r="277" spans="1:19" x14ac:dyDescent="0.25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VLOOKUP(F277,'Customer Info'!$A:$B,2,0)</f>
        <v>Anna</v>
      </c>
      <c r="H277" s="6" t="str">
        <f>VLOOKUP(F277,'Customer Info'!$A$1:$C$501,3,0)</f>
        <v>Gayman</v>
      </c>
      <c r="I277" s="6" t="str">
        <f>VLOOKUP(F277,Customer,5,0)</f>
        <v>Surat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16280</v>
      </c>
      <c r="O277" s="2">
        <v>70</v>
      </c>
      <c r="P277" s="8">
        <f t="shared" si="22"/>
        <v>16350</v>
      </c>
      <c r="Q277" s="8">
        <f t="shared" si="23"/>
        <v>1485</v>
      </c>
      <c r="R277" s="2" t="s">
        <v>50</v>
      </c>
      <c r="S277" s="24">
        <f t="shared" si="24"/>
        <v>0.05</v>
      </c>
    </row>
    <row r="278" spans="1:19" x14ac:dyDescent="0.25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VLOOKUP(F278,'Customer Info'!$A:$B,2,0)</f>
        <v>Alex</v>
      </c>
      <c r="H278" s="6" t="str">
        <f>VLOOKUP(F278,'Customer Info'!$A$1:$C$501,3,0)</f>
        <v>Avila</v>
      </c>
      <c r="I278" s="6" t="str">
        <f>VLOOKUP(F278,Customer,5,0)</f>
        <v>Berlin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393</v>
      </c>
      <c r="O278" s="2">
        <v>30</v>
      </c>
      <c r="P278" s="8">
        <f t="shared" si="22"/>
        <v>423</v>
      </c>
      <c r="Q278" s="8">
        <f t="shared" si="23"/>
        <v>21</v>
      </c>
      <c r="R278" s="2" t="s">
        <v>50</v>
      </c>
      <c r="S278" s="24">
        <f t="shared" si="24"/>
        <v>0.02</v>
      </c>
    </row>
    <row r="279" spans="1:19" x14ac:dyDescent="0.25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VLOOKUP(F279,'Customer Info'!$A:$B,2,0)</f>
        <v>Carlos</v>
      </c>
      <c r="H279" s="6" t="str">
        <f>VLOOKUP(F279,'Customer Info'!$A$1:$C$501,3,0)</f>
        <v>Soltero</v>
      </c>
      <c r="I279" s="6" t="str">
        <f>VLOOKUP(F279,Customer,5,0)</f>
        <v>Wodonga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7398</v>
      </c>
      <c r="O279" s="2">
        <v>81</v>
      </c>
      <c r="P279" s="8">
        <f t="shared" si="22"/>
        <v>7479</v>
      </c>
      <c r="Q279" s="8">
        <f t="shared" si="23"/>
        <v>348</v>
      </c>
      <c r="R279" s="2" t="s">
        <v>50</v>
      </c>
      <c r="S279" s="24">
        <f t="shared" si="24"/>
        <v>0.05</v>
      </c>
    </row>
    <row r="280" spans="1:19" x14ac:dyDescent="0.25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VLOOKUP(F280,'Customer Info'!$A:$B,2,0)</f>
        <v>Helen</v>
      </c>
      <c r="H280" s="6" t="str">
        <f>VLOOKUP(F280,'Customer Info'!$A$1:$C$501,3,0)</f>
        <v>Abelman</v>
      </c>
      <c r="I280" s="6" t="str">
        <f>VLOOKUP(F280,Customer,5,0)</f>
        <v>Berlin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5290</v>
      </c>
      <c r="O280" s="2">
        <v>83</v>
      </c>
      <c r="P280" s="8">
        <f t="shared" si="22"/>
        <v>5373</v>
      </c>
      <c r="Q280" s="8">
        <f t="shared" si="23"/>
        <v>345</v>
      </c>
      <c r="R280" s="2" t="s">
        <v>26</v>
      </c>
      <c r="S280" s="24">
        <f t="shared" si="24"/>
        <v>0.05</v>
      </c>
    </row>
    <row r="281" spans="1:19" x14ac:dyDescent="0.25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VLOOKUP(F281,'Customer Info'!$A:$B,2,0)</f>
        <v>Dana</v>
      </c>
      <c r="H281" s="6" t="str">
        <f>VLOOKUP(F281,'Customer Info'!$A$1:$C$501,3,0)</f>
        <v>Kaydos</v>
      </c>
      <c r="I281" s="6" t="str">
        <f>VLOOKUP(F281,Customer,5,0)</f>
        <v>Nagercoil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162</v>
      </c>
      <c r="O281" s="2">
        <v>10</v>
      </c>
      <c r="P281" s="8">
        <f t="shared" si="22"/>
        <v>172</v>
      </c>
      <c r="Q281" s="8">
        <f t="shared" si="23"/>
        <v>8</v>
      </c>
      <c r="R281" s="2" t="s">
        <v>26</v>
      </c>
      <c r="S281" s="24">
        <f t="shared" si="24"/>
        <v>0.02</v>
      </c>
    </row>
    <row r="282" spans="1:19" x14ac:dyDescent="0.25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VLOOKUP(F282,'Customer Info'!$A:$B,2,0)</f>
        <v>Jonathan</v>
      </c>
      <c r="H282" s="6" t="str">
        <f>VLOOKUP(F282,'Customer Info'!$A$1:$C$501,3,0)</f>
        <v>Howell</v>
      </c>
      <c r="I282" s="6" t="str">
        <f>VLOOKUP(F282,Customer,5,0)</f>
        <v>Guangshui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8800</v>
      </c>
      <c r="O282" s="2">
        <v>72</v>
      </c>
      <c r="P282" s="8">
        <f t="shared" si="22"/>
        <v>8872</v>
      </c>
      <c r="Q282" s="8">
        <f t="shared" si="23"/>
        <v>720</v>
      </c>
      <c r="R282" s="2" t="s">
        <v>50</v>
      </c>
      <c r="S282" s="24">
        <f t="shared" si="24"/>
        <v>0.05</v>
      </c>
    </row>
    <row r="283" spans="1:19" x14ac:dyDescent="0.25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VLOOKUP(F283,'Customer Info'!$A:$B,2,0)</f>
        <v>Rachel</v>
      </c>
      <c r="H283" s="6" t="str">
        <f>VLOOKUP(F283,'Customer Info'!$A$1:$C$501,3,0)</f>
        <v>Payne</v>
      </c>
      <c r="I283" s="6" t="str">
        <f>VLOOKUP(F283,Customer,5,0)</f>
        <v>Mianyang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4341</v>
      </c>
      <c r="O283" s="2">
        <v>79</v>
      </c>
      <c r="P283" s="8">
        <f t="shared" si="22"/>
        <v>4420</v>
      </c>
      <c r="Q283" s="8">
        <f t="shared" si="23"/>
        <v>363</v>
      </c>
      <c r="R283" s="2" t="s">
        <v>50</v>
      </c>
      <c r="S283" s="24">
        <f t="shared" si="24"/>
        <v>0.02</v>
      </c>
    </row>
    <row r="284" spans="1:19" x14ac:dyDescent="0.25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VLOOKUP(F284,'Customer Info'!$A:$B,2,0)</f>
        <v>Magdelene</v>
      </c>
      <c r="H284" s="6" t="str">
        <f>VLOOKUP(F284,'Customer Info'!$A$1:$C$501,3,0)</f>
        <v>Morse</v>
      </c>
      <c r="I284" s="6" t="str">
        <f>VLOOKUP(F284,Customer,5,0)</f>
        <v>Berlin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7315</v>
      </c>
      <c r="O284" s="2">
        <v>84</v>
      </c>
      <c r="P284" s="8">
        <f t="shared" si="22"/>
        <v>7399</v>
      </c>
      <c r="Q284" s="8">
        <f t="shared" si="23"/>
        <v>348</v>
      </c>
      <c r="R284" s="2" t="s">
        <v>50</v>
      </c>
      <c r="S284" s="24">
        <f t="shared" si="24"/>
        <v>0.05</v>
      </c>
    </row>
    <row r="285" spans="1:19" x14ac:dyDescent="0.25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VLOOKUP(F285,'Customer Info'!$A:$B,2,0)</f>
        <v>Pamela</v>
      </c>
      <c r="H285" s="6" t="str">
        <f>VLOOKUP(F285,'Customer Info'!$A$1:$C$501,3,0)</f>
        <v>Coakley</v>
      </c>
      <c r="I285" s="6" t="str">
        <f>VLOOKUP(F285,Customer,5,0)</f>
        <v>Jakarta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2400</v>
      </c>
      <c r="O285" s="2">
        <v>79</v>
      </c>
      <c r="P285" s="8">
        <f t="shared" si="22"/>
        <v>2479</v>
      </c>
      <c r="Q285" s="8">
        <f t="shared" si="23"/>
        <v>240</v>
      </c>
      <c r="R285" s="2" t="s">
        <v>26</v>
      </c>
      <c r="S285" s="24">
        <f t="shared" si="24"/>
        <v>0.02</v>
      </c>
    </row>
    <row r="286" spans="1:19" x14ac:dyDescent="0.25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VLOOKUP(F286,'Customer Info'!$A:$B,2,0)</f>
        <v>Victoria</v>
      </c>
      <c r="H286" s="6" t="str">
        <f>VLOOKUP(F286,'Customer Info'!$A$1:$C$501,3,0)</f>
        <v>Brennan</v>
      </c>
      <c r="I286" s="6" t="str">
        <f>VLOOKUP(F286,Customer,5,0)</f>
        <v>Canberra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4500</v>
      </c>
      <c r="O286" s="2">
        <v>85</v>
      </c>
      <c r="P286" s="8">
        <f t="shared" si="22"/>
        <v>4585</v>
      </c>
      <c r="Q286" s="8">
        <f t="shared" si="23"/>
        <v>86</v>
      </c>
      <c r="R286" s="2" t="s">
        <v>28</v>
      </c>
      <c r="S286" s="24">
        <f t="shared" si="24"/>
        <v>0.02</v>
      </c>
    </row>
    <row r="287" spans="1:19" x14ac:dyDescent="0.25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VLOOKUP(F287,'Customer Info'!$A:$B,2,0)</f>
        <v>Aaron</v>
      </c>
      <c r="H287" s="6" t="str">
        <f>VLOOKUP(F287,'Customer Info'!$A$1:$C$501,3,0)</f>
        <v>Bergman</v>
      </c>
      <c r="I287" s="6" t="str">
        <f>VLOOKUP(F287,Customer,5,0)</f>
        <v>Halle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270</v>
      </c>
      <c r="O287" s="2">
        <v>30</v>
      </c>
      <c r="P287" s="8">
        <f t="shared" si="22"/>
        <v>300</v>
      </c>
      <c r="Q287" s="8">
        <f t="shared" si="23"/>
        <v>12</v>
      </c>
      <c r="R287" s="2" t="s">
        <v>50</v>
      </c>
      <c r="S287" s="24">
        <f t="shared" si="24"/>
        <v>0.02</v>
      </c>
    </row>
    <row r="288" spans="1:19" x14ac:dyDescent="0.25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VLOOKUP(F288,'Customer Info'!$A:$B,2,0)</f>
        <v>Nat</v>
      </c>
      <c r="H288" s="6" t="str">
        <f>VLOOKUP(F288,'Customer Info'!$A$1:$C$501,3,0)</f>
        <v>Carroll</v>
      </c>
      <c r="I288" s="6" t="str">
        <f>VLOOKUP(F288,Customer,5,0)</f>
        <v>Shanghai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6481</v>
      </c>
      <c r="O288" s="2">
        <v>93</v>
      </c>
      <c r="P288" s="8">
        <f t="shared" si="22"/>
        <v>6574</v>
      </c>
      <c r="Q288" s="8">
        <f t="shared" si="23"/>
        <v>597</v>
      </c>
      <c r="R288" s="2" t="s">
        <v>28</v>
      </c>
      <c r="S288" s="24">
        <f t="shared" si="24"/>
        <v>0.05</v>
      </c>
    </row>
    <row r="289" spans="1:19" x14ac:dyDescent="0.25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VLOOKUP(F289,'Customer Info'!$A:$B,2,0)</f>
        <v>Ann</v>
      </c>
      <c r="H289" s="6" t="str">
        <f>VLOOKUP(F289,'Customer Info'!$A$1:$C$501,3,0)</f>
        <v>Chong</v>
      </c>
      <c r="I289" s="6" t="str">
        <f>VLOOKUP(F289,Customer,5,0)</f>
        <v>Sydney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13888</v>
      </c>
      <c r="O289" s="2">
        <v>99</v>
      </c>
      <c r="P289" s="8">
        <f t="shared" si="22"/>
        <v>13987</v>
      </c>
      <c r="Q289" s="8">
        <f t="shared" si="23"/>
        <v>896</v>
      </c>
      <c r="R289" s="2" t="s">
        <v>28</v>
      </c>
      <c r="S289" s="24">
        <f t="shared" si="24"/>
        <v>0.05</v>
      </c>
    </row>
    <row r="290" spans="1:19" x14ac:dyDescent="0.25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VLOOKUP(F290,'Customer Info'!$A:$B,2,0)</f>
        <v>Catherine</v>
      </c>
      <c r="H290" s="6" t="str">
        <f>VLOOKUP(F290,'Customer Info'!$A$1:$C$501,3,0)</f>
        <v>Glotzbach</v>
      </c>
      <c r="I290" s="6" t="str">
        <f>VLOOKUP(F290,Customer,5,0)</f>
        <v>Bochum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8895</v>
      </c>
      <c r="O290" s="2">
        <v>89</v>
      </c>
      <c r="P290" s="8">
        <f t="shared" si="22"/>
        <v>8984</v>
      </c>
      <c r="Q290" s="8">
        <f t="shared" si="23"/>
        <v>813</v>
      </c>
      <c r="R290" s="2" t="s">
        <v>28</v>
      </c>
      <c r="S290" s="24">
        <f t="shared" si="24"/>
        <v>0.05</v>
      </c>
    </row>
    <row r="291" spans="1:19" x14ac:dyDescent="0.25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VLOOKUP(F291,'Customer Info'!$A:$B,2,0)</f>
        <v>Duane</v>
      </c>
      <c r="H291" s="6" t="str">
        <f>VLOOKUP(F291,'Customer Info'!$A$1:$C$501,3,0)</f>
        <v>Huffman</v>
      </c>
      <c r="I291" s="6" t="str">
        <f>VLOOKUP(F291,Customer,5,0)</f>
        <v>Jakarta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16902</v>
      </c>
      <c r="O291" s="2">
        <v>24</v>
      </c>
      <c r="P291" s="8">
        <f t="shared" si="22"/>
        <v>16926</v>
      </c>
      <c r="Q291" s="8">
        <f t="shared" si="23"/>
        <v>792</v>
      </c>
      <c r="R291" s="2" t="s">
        <v>50</v>
      </c>
      <c r="S291" s="24">
        <f t="shared" si="24"/>
        <v>0.05</v>
      </c>
    </row>
    <row r="292" spans="1:19" x14ac:dyDescent="0.25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VLOOKUP(F292,'Customer Info'!$A:$B,2,0)</f>
        <v>Gary</v>
      </c>
      <c r="H292" s="6" t="str">
        <f>VLOOKUP(F292,'Customer Info'!$A$1:$C$501,3,0)</f>
        <v>Zandusky</v>
      </c>
      <c r="I292" s="6" t="str">
        <f>VLOOKUP(F292,Customer,5,0)</f>
        <v>Aligarh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2790</v>
      </c>
      <c r="O292" s="2">
        <v>80</v>
      </c>
      <c r="P292" s="8">
        <f t="shared" si="22"/>
        <v>2870</v>
      </c>
      <c r="Q292" s="8">
        <f t="shared" si="23"/>
        <v>233</v>
      </c>
      <c r="R292" s="2" t="s">
        <v>28</v>
      </c>
      <c r="S292" s="24">
        <f t="shared" si="24"/>
        <v>0.02</v>
      </c>
    </row>
    <row r="293" spans="1:19" x14ac:dyDescent="0.25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VLOOKUP(F293,'Customer Info'!$A:$B,2,0)</f>
        <v>Stuart</v>
      </c>
      <c r="H293" s="6" t="str">
        <f>VLOOKUP(F293,'Customer Info'!$A$1:$C$501,3,0)</f>
        <v>Calhoun</v>
      </c>
      <c r="I293" s="6" t="str">
        <f>VLOOKUP(F293,Customer,5,0)</f>
        <v>Bochum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9864</v>
      </c>
      <c r="O293" s="2">
        <v>34</v>
      </c>
      <c r="P293" s="8">
        <f t="shared" si="22"/>
        <v>9898</v>
      </c>
      <c r="Q293" s="8">
        <f t="shared" si="23"/>
        <v>556</v>
      </c>
      <c r="R293" s="2" t="s">
        <v>28</v>
      </c>
      <c r="S293" s="24">
        <f t="shared" si="24"/>
        <v>0.05</v>
      </c>
    </row>
    <row r="294" spans="1:19" x14ac:dyDescent="0.25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VLOOKUP(F294,'Customer Info'!$A:$B,2,0)</f>
        <v>Thea</v>
      </c>
      <c r="H294" s="6" t="str">
        <f>VLOOKUP(F294,'Customer Info'!$A$1:$C$501,3,0)</f>
        <v>Hudgings</v>
      </c>
      <c r="I294" s="6" t="str">
        <f>VLOOKUP(F294,Customer,5,0)</f>
        <v>Anshan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278</v>
      </c>
      <c r="O294" s="2">
        <v>30</v>
      </c>
      <c r="P294" s="8">
        <f t="shared" si="22"/>
        <v>308</v>
      </c>
      <c r="Q294" s="8">
        <f t="shared" si="23"/>
        <v>18</v>
      </c>
      <c r="R294" s="2" t="s">
        <v>28</v>
      </c>
      <c r="S294" s="24">
        <f t="shared" si="24"/>
        <v>0.02</v>
      </c>
    </row>
    <row r="295" spans="1:19" x14ac:dyDescent="0.25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VLOOKUP(F295,'Customer Info'!$A:$B,2,0)</f>
        <v>Vivek</v>
      </c>
      <c r="H295" s="6" t="str">
        <f>VLOOKUP(F295,'Customer Info'!$A$1:$C$501,3,0)</f>
        <v>Sundaresam</v>
      </c>
      <c r="I295" s="6" t="str">
        <f>VLOOKUP(F295,Customer,5,0)</f>
        <v>Hamburg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5920</v>
      </c>
      <c r="O295" s="2">
        <v>73</v>
      </c>
      <c r="P295" s="8">
        <f t="shared" si="22"/>
        <v>5993</v>
      </c>
      <c r="Q295" s="8">
        <f t="shared" si="23"/>
        <v>650</v>
      </c>
      <c r="R295" s="2" t="s">
        <v>28</v>
      </c>
      <c r="S295" s="24">
        <f t="shared" si="24"/>
        <v>0.05</v>
      </c>
    </row>
    <row r="296" spans="1:19" x14ac:dyDescent="0.25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VLOOKUP(F296,'Customer Info'!$A:$B,2,0)</f>
        <v>Laura</v>
      </c>
      <c r="H296" s="6" t="str">
        <f>VLOOKUP(F296,'Customer Info'!$A$1:$C$501,3,0)</f>
        <v>Armstrong</v>
      </c>
      <c r="I296" s="6" t="str">
        <f>VLOOKUP(F296,Customer,5,0)</f>
        <v>Torquay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9726</v>
      </c>
      <c r="O296" s="2">
        <v>74</v>
      </c>
      <c r="P296" s="8">
        <f t="shared" si="22"/>
        <v>9800</v>
      </c>
      <c r="Q296" s="8">
        <f t="shared" si="23"/>
        <v>456</v>
      </c>
      <c r="R296" s="2" t="s">
        <v>28</v>
      </c>
      <c r="S296" s="24">
        <f t="shared" si="24"/>
        <v>0.05</v>
      </c>
    </row>
    <row r="297" spans="1:19" x14ac:dyDescent="0.25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VLOOKUP(F297,'Customer Info'!$A:$B,2,0)</f>
        <v>Sarah</v>
      </c>
      <c r="H297" s="6" t="str">
        <f>VLOOKUP(F297,'Customer Info'!$A$1:$C$501,3,0)</f>
        <v>Bern</v>
      </c>
      <c r="I297" s="6" t="str">
        <f>VLOOKUP(F297,Customer,5,0)</f>
        <v>Wollongong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7620</v>
      </c>
      <c r="O297" s="2">
        <v>56</v>
      </c>
      <c r="P297" s="8">
        <f t="shared" si="22"/>
        <v>7676</v>
      </c>
      <c r="Q297" s="8">
        <f t="shared" si="23"/>
        <v>429</v>
      </c>
      <c r="R297" s="2" t="s">
        <v>28</v>
      </c>
      <c r="S297" s="24">
        <f t="shared" si="24"/>
        <v>0.05</v>
      </c>
    </row>
    <row r="298" spans="1:19" x14ac:dyDescent="0.25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VLOOKUP(F298,'Customer Info'!$A:$B,2,0)</f>
        <v>Paul</v>
      </c>
      <c r="H298" s="6" t="str">
        <f>VLOOKUP(F298,'Customer Info'!$A$1:$C$501,3,0)</f>
        <v>Knutson</v>
      </c>
      <c r="I298" s="6" t="str">
        <f>VLOOKUP(F298,Customer,5,0)</f>
        <v>Gold Coast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1626</v>
      </c>
      <c r="O298" s="2">
        <v>45</v>
      </c>
      <c r="P298" s="8">
        <f t="shared" si="22"/>
        <v>1671</v>
      </c>
      <c r="Q298" s="8">
        <f t="shared" si="23"/>
        <v>150</v>
      </c>
      <c r="R298" s="2" t="s">
        <v>28</v>
      </c>
      <c r="S298" s="24">
        <f t="shared" si="24"/>
        <v>0.02</v>
      </c>
    </row>
    <row r="299" spans="1:19" x14ac:dyDescent="0.25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VLOOKUP(F299,'Customer Info'!$A:$B,2,0)</f>
        <v>Paul</v>
      </c>
      <c r="H299" s="6" t="str">
        <f>VLOOKUP(F299,'Customer Info'!$A$1:$C$501,3,0)</f>
        <v>Gonzalez</v>
      </c>
      <c r="I299" s="6" t="str">
        <f>VLOOKUP(F299,Customer,5,0)</f>
        <v>Durgapur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140</v>
      </c>
      <c r="O299" s="2">
        <v>30</v>
      </c>
      <c r="P299" s="8">
        <f t="shared" si="22"/>
        <v>170</v>
      </c>
      <c r="Q299" s="8">
        <f t="shared" si="23"/>
        <v>3</v>
      </c>
      <c r="R299" s="2" t="s">
        <v>28</v>
      </c>
      <c r="S299" s="24">
        <f t="shared" si="24"/>
        <v>0.02</v>
      </c>
    </row>
    <row r="300" spans="1:19" x14ac:dyDescent="0.25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VLOOKUP(F300,'Customer Info'!$A:$B,2,0)</f>
        <v>Bill</v>
      </c>
      <c r="H300" s="6" t="str">
        <f>VLOOKUP(F300,'Customer Info'!$A$1:$C$501,3,0)</f>
        <v>Eplett</v>
      </c>
      <c r="I300" s="6" t="str">
        <f>VLOOKUP(F300,Customer,5,0)</f>
        <v>Newcastle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2747</v>
      </c>
      <c r="O300" s="2">
        <v>83</v>
      </c>
      <c r="P300" s="8">
        <f t="shared" si="22"/>
        <v>2830</v>
      </c>
      <c r="Q300" s="8">
        <f t="shared" si="23"/>
        <v>202</v>
      </c>
      <c r="R300" s="2" t="s">
        <v>28</v>
      </c>
      <c r="S300" s="24">
        <f t="shared" si="24"/>
        <v>0.02</v>
      </c>
    </row>
    <row r="301" spans="1:19" x14ac:dyDescent="0.25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VLOOKUP(F301,'Customer Info'!$A:$B,2,0)</f>
        <v>Tamara</v>
      </c>
      <c r="H301" s="6" t="str">
        <f>VLOOKUP(F301,'Customer Info'!$A$1:$C$501,3,0)</f>
        <v>Willingham</v>
      </c>
      <c r="I301" s="6" t="str">
        <f>VLOOKUP(F301,Customer,5,0)</f>
        <v>Perth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23392</v>
      </c>
      <c r="O301" s="2">
        <v>35</v>
      </c>
      <c r="P301" s="8">
        <f t="shared" si="22"/>
        <v>23427</v>
      </c>
      <c r="Q301" s="8">
        <f t="shared" si="23"/>
        <v>2536</v>
      </c>
      <c r="R301" s="2" t="s">
        <v>28</v>
      </c>
      <c r="S301" s="24">
        <f t="shared" si="24"/>
        <v>0.05</v>
      </c>
    </row>
    <row r="302" spans="1:19" x14ac:dyDescent="0.25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VLOOKUP(F302,'Customer Info'!$A:$B,2,0)</f>
        <v>Jenna</v>
      </c>
      <c r="H302" s="6" t="str">
        <f>VLOOKUP(F302,'Customer Info'!$A$1:$C$501,3,0)</f>
        <v>Caffey</v>
      </c>
      <c r="I302" s="6" t="str">
        <f>VLOOKUP(F302,Customer,5,0)</f>
        <v>Kanpur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17934</v>
      </c>
      <c r="O302" s="2">
        <v>51</v>
      </c>
      <c r="P302" s="8">
        <f t="shared" si="22"/>
        <v>17985</v>
      </c>
      <c r="Q302" s="8">
        <f t="shared" si="23"/>
        <v>1632</v>
      </c>
      <c r="R302" s="2" t="s">
        <v>28</v>
      </c>
      <c r="S302" s="24">
        <f t="shared" si="24"/>
        <v>0.05</v>
      </c>
    </row>
    <row r="303" spans="1:19" x14ac:dyDescent="0.25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VLOOKUP(F303,'Customer Info'!$A:$B,2,0)</f>
        <v>Benjamin</v>
      </c>
      <c r="H303" s="6" t="str">
        <f>VLOOKUP(F303,'Customer Info'!$A$1:$C$501,3,0)</f>
        <v>Patterson</v>
      </c>
      <c r="I303" s="6" t="str">
        <f>VLOOKUP(F303,Customer,5,0)</f>
        <v>Wollongong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2728</v>
      </c>
      <c r="O303" s="2">
        <v>48</v>
      </c>
      <c r="P303" s="8">
        <f t="shared" si="22"/>
        <v>2776</v>
      </c>
      <c r="Q303" s="8">
        <f t="shared" si="23"/>
        <v>180</v>
      </c>
      <c r="R303" s="2" t="s">
        <v>28</v>
      </c>
      <c r="S303" s="24">
        <f t="shared" si="24"/>
        <v>0.02</v>
      </c>
    </row>
    <row r="304" spans="1:19" x14ac:dyDescent="0.25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VLOOKUP(F304,'Customer Info'!$A:$B,2,0)</f>
        <v>Aaron</v>
      </c>
      <c r="H304" s="6" t="str">
        <f>VLOOKUP(F304,'Customer Info'!$A$1:$C$501,3,0)</f>
        <v>Hawkins</v>
      </c>
      <c r="I304" s="6" t="str">
        <f>VLOOKUP(F304,Customer,5,0)</f>
        <v>Minden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17706</v>
      </c>
      <c r="O304" s="2">
        <v>85</v>
      </c>
      <c r="P304" s="8">
        <f t="shared" si="22"/>
        <v>17791</v>
      </c>
      <c r="Q304" s="8">
        <f t="shared" si="23"/>
        <v>990</v>
      </c>
      <c r="R304" s="2" t="s">
        <v>50</v>
      </c>
      <c r="S304" s="24">
        <f t="shared" si="24"/>
        <v>0.05</v>
      </c>
    </row>
    <row r="305" spans="1:19" x14ac:dyDescent="0.25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VLOOKUP(F305,'Customer Info'!$A:$B,2,0)</f>
        <v>Barry</v>
      </c>
      <c r="H305" s="6" t="str">
        <f>VLOOKUP(F305,'Customer Info'!$A$1:$C$501,3,0)</f>
        <v>Blumstein</v>
      </c>
      <c r="I305" s="6" t="str">
        <f>VLOOKUP(F305,Customer,5,0)</f>
        <v>Toowoomba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5284</v>
      </c>
      <c r="O305" s="2">
        <v>67</v>
      </c>
      <c r="P305" s="8">
        <f t="shared" si="22"/>
        <v>5351</v>
      </c>
      <c r="Q305" s="8">
        <f t="shared" si="23"/>
        <v>440</v>
      </c>
      <c r="R305" s="2" t="s">
        <v>28</v>
      </c>
      <c r="S305" s="24">
        <f t="shared" si="24"/>
        <v>0.05</v>
      </c>
    </row>
    <row r="306" spans="1:19" x14ac:dyDescent="0.25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VLOOKUP(F306,'Customer Info'!$A:$B,2,0)</f>
        <v>Toby</v>
      </c>
      <c r="H306" s="6" t="str">
        <f>VLOOKUP(F306,'Customer Info'!$A$1:$C$501,3,0)</f>
        <v>Gnade</v>
      </c>
      <c r="I306" s="6" t="str">
        <f>VLOOKUP(F306,Customer,5,0)</f>
        <v>Wagga Wagga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11355</v>
      </c>
      <c r="O306" s="2">
        <v>85</v>
      </c>
      <c r="P306" s="8">
        <f t="shared" si="22"/>
        <v>11440</v>
      </c>
      <c r="Q306" s="8">
        <f t="shared" si="23"/>
        <v>635</v>
      </c>
      <c r="R306" s="2" t="s">
        <v>28</v>
      </c>
      <c r="S306" s="24">
        <f t="shared" si="24"/>
        <v>0.05</v>
      </c>
    </row>
    <row r="307" spans="1:19" x14ac:dyDescent="0.25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VLOOKUP(F307,'Customer Info'!$A:$B,2,0)</f>
        <v>Nancy</v>
      </c>
      <c r="H307" s="6" t="str">
        <f>VLOOKUP(F307,'Customer Info'!$A$1:$C$501,3,0)</f>
        <v>Lomonaco</v>
      </c>
      <c r="I307" s="6" t="str">
        <f>VLOOKUP(F307,Customer,5,0)</f>
        <v>Tengzhou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156</v>
      </c>
      <c r="O307" s="2">
        <v>10</v>
      </c>
      <c r="P307" s="8">
        <f t="shared" si="22"/>
        <v>166</v>
      </c>
      <c r="Q307" s="8">
        <f t="shared" si="23"/>
        <v>8</v>
      </c>
      <c r="R307" s="2" t="s">
        <v>50</v>
      </c>
      <c r="S307" s="24">
        <f t="shared" si="24"/>
        <v>0.02</v>
      </c>
    </row>
    <row r="308" spans="1:19" x14ac:dyDescent="0.25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VLOOKUP(F308,'Customer Info'!$A:$B,2,0)</f>
        <v>Aaron</v>
      </c>
      <c r="H308" s="6" t="str">
        <f>VLOOKUP(F308,'Customer Info'!$A$1:$C$501,3,0)</f>
        <v>Hawkins</v>
      </c>
      <c r="I308" s="6" t="str">
        <f>VLOOKUP(F308,Customer,5,0)</f>
        <v>Minden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7410</v>
      </c>
      <c r="O308" s="2">
        <v>57</v>
      </c>
      <c r="P308" s="8">
        <f t="shared" si="22"/>
        <v>7467</v>
      </c>
      <c r="Q308" s="8">
        <f t="shared" si="23"/>
        <v>145</v>
      </c>
      <c r="R308" s="2" t="s">
        <v>50</v>
      </c>
      <c r="S308" s="24">
        <f t="shared" si="24"/>
        <v>0.05</v>
      </c>
    </row>
    <row r="309" spans="1:19" x14ac:dyDescent="0.25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VLOOKUP(F309,'Customer Info'!$A:$B,2,0)</f>
        <v>Anthony</v>
      </c>
      <c r="H309" s="6" t="str">
        <f>VLOOKUP(F309,'Customer Info'!$A$1:$C$501,3,0)</f>
        <v>O'Donnell</v>
      </c>
      <c r="I309" s="6" t="str">
        <f>VLOOKUP(F309,Customer,5,0)</f>
        <v>Berlin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11140</v>
      </c>
      <c r="O309" s="2">
        <v>67</v>
      </c>
      <c r="P309" s="8">
        <f t="shared" si="22"/>
        <v>11207</v>
      </c>
      <c r="Q309" s="8">
        <f t="shared" si="23"/>
        <v>425</v>
      </c>
      <c r="R309" s="2" t="s">
        <v>26</v>
      </c>
      <c r="S309" s="24">
        <f t="shared" si="24"/>
        <v>0.05</v>
      </c>
    </row>
    <row r="310" spans="1:19" x14ac:dyDescent="0.25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VLOOKUP(F310,'Customer Info'!$A:$B,2,0)</f>
        <v>Valerie</v>
      </c>
      <c r="H310" s="6" t="str">
        <f>VLOOKUP(F310,'Customer Info'!$A$1:$C$501,3,0)</f>
        <v>Mitchum</v>
      </c>
      <c r="I310" s="6" t="str">
        <f>VLOOKUP(F310,Customer,5,0)</f>
        <v>Chengdu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720</v>
      </c>
      <c r="O310" s="2">
        <v>30</v>
      </c>
      <c r="P310" s="8">
        <f t="shared" si="22"/>
        <v>750</v>
      </c>
      <c r="Q310" s="8">
        <f t="shared" si="23"/>
        <v>60</v>
      </c>
      <c r="R310" s="2" t="s">
        <v>26</v>
      </c>
      <c r="S310" s="24">
        <f t="shared" si="24"/>
        <v>0.02</v>
      </c>
    </row>
    <row r="311" spans="1:19" x14ac:dyDescent="0.25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VLOOKUP(F311,'Customer Info'!$A:$B,2,0)</f>
        <v>Nat</v>
      </c>
      <c r="H311" s="6" t="str">
        <f>VLOOKUP(F311,'Customer Info'!$A$1:$C$501,3,0)</f>
        <v>Carroll</v>
      </c>
      <c r="I311" s="6" t="str">
        <f>VLOOKUP(F311,Customer,5,0)</f>
        <v>Shanghai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6050</v>
      </c>
      <c r="O311" s="2">
        <v>64</v>
      </c>
      <c r="P311" s="8">
        <f t="shared" si="22"/>
        <v>6114</v>
      </c>
      <c r="Q311" s="8">
        <f t="shared" si="23"/>
        <v>230</v>
      </c>
      <c r="R311" s="2" t="s">
        <v>50</v>
      </c>
      <c r="S311" s="24">
        <f t="shared" si="24"/>
        <v>0.05</v>
      </c>
    </row>
    <row r="312" spans="1:19" x14ac:dyDescent="0.25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VLOOKUP(F312,'Customer Info'!$A:$B,2,0)</f>
        <v>Stuart</v>
      </c>
      <c r="H312" s="6" t="str">
        <f>VLOOKUP(F312,'Customer Info'!$A$1:$C$501,3,0)</f>
        <v>Calhoun</v>
      </c>
      <c r="I312" s="6" t="str">
        <f>VLOOKUP(F312,Customer,5,0)</f>
        <v>Pforzheim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1593</v>
      </c>
      <c r="O312" s="2">
        <v>62</v>
      </c>
      <c r="P312" s="8">
        <f t="shared" si="22"/>
        <v>1655</v>
      </c>
      <c r="Q312" s="8">
        <f t="shared" si="23"/>
        <v>132</v>
      </c>
      <c r="R312" s="2" t="s">
        <v>28</v>
      </c>
      <c r="S312" s="24">
        <f t="shared" si="24"/>
        <v>0.02</v>
      </c>
    </row>
    <row r="313" spans="1:19" x14ac:dyDescent="0.25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VLOOKUP(F313,'Customer Info'!$A:$B,2,0)</f>
        <v>Eric</v>
      </c>
      <c r="H313" s="6" t="str">
        <f>VLOOKUP(F313,'Customer Info'!$A$1:$C$501,3,0)</f>
        <v>Barreto</v>
      </c>
      <c r="I313" s="6" t="str">
        <f>VLOOKUP(F313,Customer,5,0)</f>
        <v>Liaoyang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13500</v>
      </c>
      <c r="O313" s="2">
        <v>75</v>
      </c>
      <c r="P313" s="8">
        <f t="shared" si="22"/>
        <v>13575</v>
      </c>
      <c r="Q313" s="8">
        <f t="shared" si="23"/>
        <v>258</v>
      </c>
      <c r="R313" s="2" t="s">
        <v>28</v>
      </c>
      <c r="S313" s="24">
        <f t="shared" si="24"/>
        <v>0.05</v>
      </c>
    </row>
    <row r="314" spans="1:19" x14ac:dyDescent="0.25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VLOOKUP(F314,'Customer Info'!$A:$B,2,0)</f>
        <v>Georgia</v>
      </c>
      <c r="H314" s="6" t="str">
        <f>VLOOKUP(F314,'Customer Info'!$A$1:$C$501,3,0)</f>
        <v>Rosenberg</v>
      </c>
      <c r="I314" s="6" t="str">
        <f>VLOOKUP(F314,Customer,5,0)</f>
        <v>Srinagar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2907</v>
      </c>
      <c r="O314" s="2">
        <v>80</v>
      </c>
      <c r="P314" s="8">
        <f t="shared" si="22"/>
        <v>2987</v>
      </c>
      <c r="Q314" s="8">
        <f t="shared" si="23"/>
        <v>240</v>
      </c>
      <c r="R314" s="2" t="s">
        <v>50</v>
      </c>
      <c r="S314" s="24">
        <f t="shared" si="24"/>
        <v>0.02</v>
      </c>
    </row>
    <row r="315" spans="1:19" x14ac:dyDescent="0.25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VLOOKUP(F315,'Customer Info'!$A:$B,2,0)</f>
        <v>Adrian</v>
      </c>
      <c r="H315" s="6" t="str">
        <f>VLOOKUP(F315,'Customer Info'!$A$1:$C$501,3,0)</f>
        <v>Barton</v>
      </c>
      <c r="I315" s="6" t="str">
        <f>VLOOKUP(F315,Customer,5,0)</f>
        <v>Wetzlar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8022</v>
      </c>
      <c r="O315" s="2">
        <v>65</v>
      </c>
      <c r="P315" s="8">
        <f t="shared" si="22"/>
        <v>8087</v>
      </c>
      <c r="Q315" s="8">
        <f t="shared" si="23"/>
        <v>595</v>
      </c>
      <c r="R315" s="2" t="s">
        <v>28</v>
      </c>
      <c r="S315" s="24">
        <f t="shared" si="24"/>
        <v>0.05</v>
      </c>
    </row>
    <row r="316" spans="1:19" x14ac:dyDescent="0.25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VLOOKUP(F316,'Customer Info'!$A:$B,2,0)</f>
        <v>Brian</v>
      </c>
      <c r="H316" s="6" t="str">
        <f>VLOOKUP(F316,'Customer Info'!$A$1:$C$501,3,0)</f>
        <v>DeCherney</v>
      </c>
      <c r="I316" s="6" t="str">
        <f>VLOOKUP(F316,Customer,5,0)</f>
        <v>Kendari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8424</v>
      </c>
      <c r="O316" s="2">
        <v>59</v>
      </c>
      <c r="P316" s="8">
        <f t="shared" si="22"/>
        <v>8483</v>
      </c>
      <c r="Q316" s="8">
        <f t="shared" si="23"/>
        <v>402</v>
      </c>
      <c r="R316" s="2" t="s">
        <v>50</v>
      </c>
      <c r="S316" s="24">
        <f t="shared" si="24"/>
        <v>0.05</v>
      </c>
    </row>
    <row r="317" spans="1:19" x14ac:dyDescent="0.25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VLOOKUP(F317,'Customer Info'!$A:$B,2,0)</f>
        <v>Shahid</v>
      </c>
      <c r="H317" s="6" t="str">
        <f>VLOOKUP(F317,'Customer Info'!$A$1:$C$501,3,0)</f>
        <v>Collister</v>
      </c>
      <c r="I317" s="6" t="str">
        <f>VLOOKUP(F317,Customer,5,0)</f>
        <v>Solapur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14496</v>
      </c>
      <c r="O317" s="2">
        <v>98</v>
      </c>
      <c r="P317" s="8">
        <f t="shared" si="22"/>
        <v>14594</v>
      </c>
      <c r="Q317" s="8">
        <f t="shared" si="23"/>
        <v>807</v>
      </c>
      <c r="R317" s="2" t="s">
        <v>50</v>
      </c>
      <c r="S317" s="24">
        <f t="shared" si="24"/>
        <v>0.05</v>
      </c>
    </row>
    <row r="318" spans="1:19" x14ac:dyDescent="0.25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VLOOKUP(F318,'Customer Info'!$A:$B,2,0)</f>
        <v>Tom</v>
      </c>
      <c r="H318" s="6" t="str">
        <f>VLOOKUP(F318,'Customer Info'!$A$1:$C$501,3,0)</f>
        <v>Boeckenhauer</v>
      </c>
      <c r="I318" s="6" t="str">
        <f>VLOOKUP(F318,Customer,5,0)</f>
        <v>Neunkirchen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15462</v>
      </c>
      <c r="O318" s="2">
        <v>90</v>
      </c>
      <c r="P318" s="8">
        <f t="shared" si="22"/>
        <v>15552</v>
      </c>
      <c r="Q318" s="8">
        <f t="shared" si="23"/>
        <v>1557</v>
      </c>
      <c r="R318" s="2" t="s">
        <v>50</v>
      </c>
      <c r="S318" s="24">
        <f t="shared" si="24"/>
        <v>0.05</v>
      </c>
    </row>
    <row r="319" spans="1:19" x14ac:dyDescent="0.25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VLOOKUP(F319,'Customer Info'!$A:$B,2,0)</f>
        <v>Patrick</v>
      </c>
      <c r="H319" s="6" t="str">
        <f>VLOOKUP(F319,'Customer Info'!$A$1:$C$501,3,0)</f>
        <v>Bzostek</v>
      </c>
      <c r="I319" s="6" t="str">
        <f>VLOOKUP(F319,Customer,5,0)</f>
        <v>Brisbane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6465</v>
      </c>
      <c r="O319" s="2">
        <v>50</v>
      </c>
      <c r="P319" s="8">
        <f t="shared" si="22"/>
        <v>6515</v>
      </c>
      <c r="Q319" s="8">
        <f t="shared" si="23"/>
        <v>423</v>
      </c>
      <c r="R319" s="2" t="s">
        <v>28</v>
      </c>
      <c r="S319" s="24">
        <f t="shared" si="24"/>
        <v>0.05</v>
      </c>
    </row>
    <row r="320" spans="1:19" x14ac:dyDescent="0.25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VLOOKUP(F320,'Customer Info'!$A:$B,2,0)</f>
        <v>Meg</v>
      </c>
      <c r="H320" s="6" t="str">
        <f>VLOOKUP(F320,'Customer Info'!$A$1:$C$501,3,0)</f>
        <v>Tillman</v>
      </c>
      <c r="I320" s="6" t="str">
        <f>VLOOKUP(F320,Customer,5,0)</f>
        <v>Bangalore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24561</v>
      </c>
      <c r="O320" s="2">
        <v>74</v>
      </c>
      <c r="P320" s="8">
        <f t="shared" si="22"/>
        <v>24635</v>
      </c>
      <c r="Q320" s="8">
        <f t="shared" si="23"/>
        <v>1164</v>
      </c>
      <c r="R320" s="2" t="s">
        <v>50</v>
      </c>
      <c r="S320" s="24">
        <f t="shared" si="24"/>
        <v>0.05</v>
      </c>
    </row>
    <row r="321" spans="1:19" x14ac:dyDescent="0.25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VLOOKUP(F321,'Customer Info'!$A:$B,2,0)</f>
        <v>Muhammed</v>
      </c>
      <c r="H321" s="6" t="str">
        <f>VLOOKUP(F321,'Customer Info'!$A$1:$C$501,3,0)</f>
        <v>Lee</v>
      </c>
      <c r="I321" s="6" t="str">
        <f>VLOOKUP(F321,Customer,5,0)</f>
        <v>Nellore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2843</v>
      </c>
      <c r="O321" s="2">
        <v>23</v>
      </c>
      <c r="P321" s="8">
        <f t="shared" si="22"/>
        <v>2866</v>
      </c>
      <c r="Q321" s="8">
        <f t="shared" si="23"/>
        <v>108</v>
      </c>
      <c r="R321" s="2" t="s">
        <v>28</v>
      </c>
      <c r="S321" s="24">
        <f t="shared" si="24"/>
        <v>0.02</v>
      </c>
    </row>
    <row r="322" spans="1:19" x14ac:dyDescent="0.25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VLOOKUP(F322,'Customer Info'!$A:$B,2,0)</f>
        <v>Toby</v>
      </c>
      <c r="H322" s="6" t="str">
        <f>VLOOKUP(F322,'Customer Info'!$A$1:$C$501,3,0)</f>
        <v>Braunhardt</v>
      </c>
      <c r="I322" s="6" t="str">
        <f>VLOOKUP(F322,Customer,5,0)</f>
        <v>Jiangyan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20447</v>
      </c>
      <c r="O322" s="2">
        <v>87</v>
      </c>
      <c r="P322" s="8">
        <f t="shared" si="22"/>
        <v>20534</v>
      </c>
      <c r="Q322" s="8">
        <f t="shared" si="23"/>
        <v>784</v>
      </c>
      <c r="R322" s="2" t="s">
        <v>26</v>
      </c>
      <c r="S322" s="24">
        <f t="shared" si="24"/>
        <v>0.05</v>
      </c>
    </row>
    <row r="323" spans="1:19" x14ac:dyDescent="0.25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VLOOKUP(F323,'Customer Info'!$A:$B,2,0)</f>
        <v>Pauline</v>
      </c>
      <c r="H323" s="6" t="str">
        <f>VLOOKUP(F323,'Customer Info'!$A$1:$C$501,3,0)</f>
        <v>Chand</v>
      </c>
      <c r="I323" s="6" t="str">
        <f>VLOOKUP(F323,Customer,5,0)</f>
        <v>Perth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122</v>
      </c>
      <c r="O323" s="2">
        <v>10</v>
      </c>
      <c r="P323" s="8">
        <f t="shared" si="22"/>
        <v>132</v>
      </c>
      <c r="Q323" s="8">
        <f t="shared" si="23"/>
        <v>10</v>
      </c>
      <c r="R323" s="2" t="s">
        <v>28</v>
      </c>
      <c r="S323" s="24">
        <f t="shared" si="24"/>
        <v>0.02</v>
      </c>
    </row>
    <row r="324" spans="1:19" x14ac:dyDescent="0.25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VLOOKUP(F324,'Customer Info'!$A:$B,2,0)</f>
        <v>Victor</v>
      </c>
      <c r="H324" s="6" t="str">
        <f>VLOOKUP(F324,'Customer Info'!$A$1:$C$501,3,0)</f>
        <v>Preis</v>
      </c>
      <c r="I324" s="6" t="str">
        <f>VLOOKUP(F324,Customer,5,0)</f>
        <v>Melbourne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5916</v>
      </c>
      <c r="O324" s="2">
        <v>91</v>
      </c>
      <c r="P324" s="8">
        <f t="shared" si="22"/>
        <v>6007</v>
      </c>
      <c r="Q324" s="8">
        <f t="shared" si="23"/>
        <v>430</v>
      </c>
      <c r="R324" s="2" t="s">
        <v>50</v>
      </c>
      <c r="S324" s="24">
        <f t="shared" si="24"/>
        <v>0.05</v>
      </c>
    </row>
    <row r="325" spans="1:19" x14ac:dyDescent="0.25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VLOOKUP(F325,'Customer Info'!$A:$B,2,0)</f>
        <v>Sally</v>
      </c>
      <c r="H325" s="6" t="str">
        <f>VLOOKUP(F325,'Customer Info'!$A$1:$C$501,3,0)</f>
        <v>Hughsby</v>
      </c>
      <c r="I325" s="6" t="str">
        <f>VLOOKUP(F325,Customer,5,0)</f>
        <v>Depok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9768</v>
      </c>
      <c r="O325" s="2">
        <v>69</v>
      </c>
      <c r="P325" s="8">
        <f t="shared" si="22"/>
        <v>9837</v>
      </c>
      <c r="Q325" s="8">
        <f t="shared" si="23"/>
        <v>891</v>
      </c>
      <c r="R325" s="2" t="s">
        <v>28</v>
      </c>
      <c r="S325" s="24">
        <f t="shared" si="24"/>
        <v>0.05</v>
      </c>
    </row>
    <row r="326" spans="1:19" x14ac:dyDescent="0.25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VLOOKUP(F326,'Customer Info'!$A:$B,2,0)</f>
        <v>Randy</v>
      </c>
      <c r="H326" s="6" t="str">
        <f>VLOOKUP(F326,'Customer Info'!$A$1:$C$501,3,0)</f>
        <v>Bradley</v>
      </c>
      <c r="I326" s="6" t="str">
        <f>VLOOKUP(F326,Customer,5,0)</f>
        <v>Wollongong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6732</v>
      </c>
      <c r="O326" s="2">
        <v>36</v>
      </c>
      <c r="P326" s="8">
        <f t="shared" si="22"/>
        <v>6768</v>
      </c>
      <c r="Q326" s="8">
        <f t="shared" si="23"/>
        <v>303</v>
      </c>
      <c r="R326" s="2" t="s">
        <v>50</v>
      </c>
      <c r="S326" s="24">
        <f t="shared" si="24"/>
        <v>0.05</v>
      </c>
    </row>
    <row r="327" spans="1:19" x14ac:dyDescent="0.25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VLOOKUP(F327,'Customer Info'!$A:$B,2,0)</f>
        <v>Christine</v>
      </c>
      <c r="H327" s="6" t="str">
        <f>VLOOKUP(F327,'Customer Info'!$A$1:$C$501,3,0)</f>
        <v>Abelman</v>
      </c>
      <c r="I327" s="6" t="str">
        <f>VLOOKUP(F327,Customer,5,0)</f>
        <v>Nasik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3210</v>
      </c>
      <c r="O327" s="2">
        <v>36</v>
      </c>
      <c r="P327" s="8">
        <f t="shared" si="22"/>
        <v>3246</v>
      </c>
      <c r="Q327" s="8">
        <f t="shared" si="23"/>
        <v>150</v>
      </c>
      <c r="R327" s="2" t="s">
        <v>28</v>
      </c>
      <c r="S327" s="24">
        <f t="shared" si="24"/>
        <v>0.02</v>
      </c>
    </row>
    <row r="328" spans="1:19" x14ac:dyDescent="0.25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VLOOKUP(F328,'Customer Info'!$A:$B,2,0)</f>
        <v>Roy</v>
      </c>
      <c r="H328" s="6" t="str">
        <f>VLOOKUP(F328,'Customer Info'!$A$1:$C$501,3,0)</f>
        <v>Phan</v>
      </c>
      <c r="I328" s="6" t="str">
        <f>VLOOKUP(F328,Customer,5,0)</f>
        <v>Melbourne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1348</v>
      </c>
      <c r="O328" s="2">
        <v>86</v>
      </c>
      <c r="P328" s="8">
        <f t="shared" si="22"/>
        <v>1434</v>
      </c>
      <c r="Q328" s="8">
        <f t="shared" si="23"/>
        <v>90</v>
      </c>
      <c r="R328" s="2" t="s">
        <v>50</v>
      </c>
      <c r="S328" s="24">
        <f t="shared" si="24"/>
        <v>0.02</v>
      </c>
    </row>
    <row r="329" spans="1:19" x14ac:dyDescent="0.25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VLOOKUP(F329,'Customer Info'!$A:$B,2,0)</f>
        <v>Sanjit</v>
      </c>
      <c r="H329" s="6" t="str">
        <f>VLOOKUP(F329,'Customer Info'!$A$1:$C$501,3,0)</f>
        <v>Jacobs</v>
      </c>
      <c r="I329" s="6" t="str">
        <f>VLOOKUP(F329,Customer,5,0)</f>
        <v>Munich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1651</v>
      </c>
      <c r="O329" s="2">
        <v>65</v>
      </c>
      <c r="P329" s="8">
        <f t="shared" si="22"/>
        <v>1716</v>
      </c>
      <c r="Q329" s="8">
        <f t="shared" si="23"/>
        <v>47</v>
      </c>
      <c r="R329" s="2" t="s">
        <v>26</v>
      </c>
      <c r="S329" s="24">
        <f t="shared" si="24"/>
        <v>0.02</v>
      </c>
    </row>
    <row r="330" spans="1:19" x14ac:dyDescent="0.25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VLOOKUP(F330,'Customer Info'!$A:$B,2,0)</f>
        <v>Victoria</v>
      </c>
      <c r="H330" s="6" t="str">
        <f>VLOOKUP(F330,'Customer Info'!$A$1:$C$501,3,0)</f>
        <v>Brennan</v>
      </c>
      <c r="I330" s="6" t="str">
        <f>VLOOKUP(F330,Customer,5,0)</f>
        <v>Adelaide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7088</v>
      </c>
      <c r="O330" s="2">
        <v>25</v>
      </c>
      <c r="P330" s="8">
        <f t="shared" si="22"/>
        <v>7113</v>
      </c>
      <c r="Q330" s="8">
        <f t="shared" si="23"/>
        <v>464</v>
      </c>
      <c r="R330" s="2" t="s">
        <v>28</v>
      </c>
      <c r="S330" s="24">
        <f t="shared" si="24"/>
        <v>0.05</v>
      </c>
    </row>
    <row r="331" spans="1:19" x14ac:dyDescent="0.25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VLOOKUP(F331,'Customer Info'!$A:$B,2,0)</f>
        <v>Jessica</v>
      </c>
      <c r="H331" s="6" t="str">
        <f>VLOOKUP(F331,'Customer Info'!$A$1:$C$501,3,0)</f>
        <v>Myrick</v>
      </c>
      <c r="I331" s="6" t="str">
        <f>VLOOKUP(F331,Customer,5,0)</f>
        <v>Krefeld</v>
      </c>
      <c r="J331" s="2">
        <v>1332</v>
      </c>
      <c r="K331" s="2">
        <v>1209</v>
      </c>
      <c r="L331" s="2">
        <v>4</v>
      </c>
      <c r="M331" s="7">
        <f t="shared" ref="M331:M394" si="25">K331*L331</f>
        <v>4836</v>
      </c>
      <c r="N331" s="7">
        <f t="shared" ref="N331:N394" si="26">J331*L331</f>
        <v>5328</v>
      </c>
      <c r="O331" s="2">
        <v>62</v>
      </c>
      <c r="P331" s="8">
        <f t="shared" ref="P331:P394" si="27">N331+O331</f>
        <v>5390</v>
      </c>
      <c r="Q331" s="8">
        <f t="shared" ref="Q331:Q394" si="28">N331-M331</f>
        <v>492</v>
      </c>
      <c r="R331" s="2" t="s">
        <v>50</v>
      </c>
      <c r="S331" s="24">
        <f t="shared" ref="S331:S394" si="29">VLOOKUP(N331,$T$1:$U$7,2,TRUE)</f>
        <v>0.05</v>
      </c>
    </row>
    <row r="332" spans="1:19" x14ac:dyDescent="0.25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VLOOKUP(F332,'Customer Info'!$A:$B,2,0)</f>
        <v>Thomas</v>
      </c>
      <c r="H332" s="6" t="str">
        <f>VLOOKUP(F332,'Customer Info'!$A$1:$C$501,3,0)</f>
        <v>Seio</v>
      </c>
      <c r="I332" s="6" t="str">
        <f>VLOOKUP(F332,Customer,5,0)</f>
        <v>Melbourne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8">
        <f t="shared" si="27"/>
        <v>11705</v>
      </c>
      <c r="Q332" s="8">
        <f t="shared" si="28"/>
        <v>960</v>
      </c>
      <c r="R332" s="2" t="s">
        <v>28</v>
      </c>
      <c r="S332" s="24">
        <f t="shared" si="29"/>
        <v>0.05</v>
      </c>
    </row>
    <row r="333" spans="1:19" x14ac:dyDescent="0.25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VLOOKUP(F333,'Customer Info'!$A:$B,2,0)</f>
        <v>Delfina</v>
      </c>
      <c r="H333" s="6" t="str">
        <f>VLOOKUP(F333,'Customer Info'!$A$1:$C$501,3,0)</f>
        <v>Latchford</v>
      </c>
      <c r="I333" s="6" t="str">
        <f>VLOOKUP(F333,Customer,5,0)</f>
        <v>Yogyakarta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8">
        <f t="shared" si="27"/>
        <v>2466</v>
      </c>
      <c r="Q333" s="8">
        <f t="shared" si="28"/>
        <v>136</v>
      </c>
      <c r="R333" s="2" t="s">
        <v>50</v>
      </c>
      <c r="S333" s="24">
        <f t="shared" si="29"/>
        <v>0.02</v>
      </c>
    </row>
    <row r="334" spans="1:19" x14ac:dyDescent="0.25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VLOOKUP(F334,'Customer Info'!$A:$B,2,0)</f>
        <v>Thomas</v>
      </c>
      <c r="H334" s="6" t="str">
        <f>VLOOKUP(F334,'Customer Info'!$A$1:$C$501,3,0)</f>
        <v>Seio</v>
      </c>
      <c r="I334" s="6" t="str">
        <f>VLOOKUP(F334,Customer,5,0)</f>
        <v>Melbourne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8">
        <f t="shared" si="27"/>
        <v>782</v>
      </c>
      <c r="Q334" s="8">
        <f t="shared" si="28"/>
        <v>60</v>
      </c>
      <c r="R334" s="2" t="s">
        <v>56</v>
      </c>
      <c r="S334" s="24">
        <f t="shared" si="29"/>
        <v>0.02</v>
      </c>
    </row>
    <row r="335" spans="1:19" x14ac:dyDescent="0.25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VLOOKUP(F335,'Customer Info'!$A:$B,2,0)</f>
        <v>Hilary</v>
      </c>
      <c r="H335" s="6" t="str">
        <f>VLOOKUP(F335,'Customer Info'!$A$1:$C$501,3,0)</f>
        <v>Holden</v>
      </c>
      <c r="I335" s="6" t="str">
        <f>VLOOKUP(F335,Customer,5,0)</f>
        <v>Mysore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8">
        <f t="shared" si="27"/>
        <v>4643</v>
      </c>
      <c r="Q335" s="8">
        <f t="shared" si="28"/>
        <v>381</v>
      </c>
      <c r="R335" s="2" t="s">
        <v>28</v>
      </c>
      <c r="S335" s="24">
        <f t="shared" si="29"/>
        <v>0.02</v>
      </c>
    </row>
    <row r="336" spans="1:19" x14ac:dyDescent="0.25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VLOOKUP(F336,'Customer Info'!$A:$B,2,0)</f>
        <v>George</v>
      </c>
      <c r="H336" s="6" t="str">
        <f>VLOOKUP(F336,'Customer Info'!$A$1:$C$501,3,0)</f>
        <v>Ashbrook</v>
      </c>
      <c r="I336" s="6" t="str">
        <f>VLOOKUP(F336,Customer,5,0)</f>
        <v>Jakarta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1358</v>
      </c>
      <c r="O336" s="2">
        <v>83</v>
      </c>
      <c r="P336" s="8">
        <f t="shared" si="27"/>
        <v>1441</v>
      </c>
      <c r="Q336" s="8">
        <f t="shared" si="28"/>
        <v>101</v>
      </c>
      <c r="R336" s="2" t="s">
        <v>28</v>
      </c>
      <c r="S336" s="24">
        <f t="shared" si="29"/>
        <v>0.02</v>
      </c>
    </row>
    <row r="337" spans="1:19" x14ac:dyDescent="0.25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VLOOKUP(F337,'Customer Info'!$A:$B,2,0)</f>
        <v>Rick</v>
      </c>
      <c r="H337" s="6" t="str">
        <f>VLOOKUP(F337,'Customer Info'!$A$1:$C$501,3,0)</f>
        <v>Reed</v>
      </c>
      <c r="I337" s="6" t="str">
        <f>VLOOKUP(F337,Customer,5,0)</f>
        <v>Lucknow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1252</v>
      </c>
      <c r="O337" s="2">
        <v>30</v>
      </c>
      <c r="P337" s="8">
        <f t="shared" si="27"/>
        <v>1282</v>
      </c>
      <c r="Q337" s="8">
        <f t="shared" si="28"/>
        <v>134</v>
      </c>
      <c r="R337" s="2" t="s">
        <v>28</v>
      </c>
      <c r="S337" s="24">
        <f t="shared" si="29"/>
        <v>0.02</v>
      </c>
    </row>
    <row r="338" spans="1:19" x14ac:dyDescent="0.25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VLOOKUP(F338,'Customer Info'!$A:$B,2,0)</f>
        <v>Thomas</v>
      </c>
      <c r="H338" s="6" t="str">
        <f>VLOOKUP(F338,'Customer Info'!$A$1:$C$501,3,0)</f>
        <v>Brumley</v>
      </c>
      <c r="I338" s="6" t="str">
        <f>VLOOKUP(F338,Customer,5,0)</f>
        <v>Launceston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5580</v>
      </c>
      <c r="O338" s="2">
        <v>44</v>
      </c>
      <c r="P338" s="8">
        <f t="shared" si="27"/>
        <v>5624</v>
      </c>
      <c r="Q338" s="8">
        <f t="shared" si="28"/>
        <v>466</v>
      </c>
      <c r="R338" s="2" t="s">
        <v>28</v>
      </c>
      <c r="S338" s="24">
        <f t="shared" si="29"/>
        <v>0.05</v>
      </c>
    </row>
    <row r="339" spans="1:19" x14ac:dyDescent="0.25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VLOOKUP(F339,'Customer Info'!$A:$B,2,0)</f>
        <v>Logan</v>
      </c>
      <c r="H339" s="6" t="str">
        <f>VLOOKUP(F339,'Customer Info'!$A$1:$C$501,3,0)</f>
        <v>Currie</v>
      </c>
      <c r="I339" s="6" t="str">
        <f>VLOOKUP(F339,Customer,5,0)</f>
        <v>Amravati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8617</v>
      </c>
      <c r="O339" s="2">
        <v>74</v>
      </c>
      <c r="P339" s="8">
        <f t="shared" si="27"/>
        <v>8691</v>
      </c>
      <c r="Q339" s="8">
        <f t="shared" si="28"/>
        <v>717</v>
      </c>
      <c r="R339" s="2" t="s">
        <v>56</v>
      </c>
      <c r="S339" s="24">
        <f t="shared" si="29"/>
        <v>0.05</v>
      </c>
    </row>
    <row r="340" spans="1:19" x14ac:dyDescent="0.25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VLOOKUP(F340,'Customer Info'!$A:$B,2,0)</f>
        <v>Steven</v>
      </c>
      <c r="H340" s="6" t="str">
        <f>VLOOKUP(F340,'Customer Info'!$A$1:$C$501,3,0)</f>
        <v>Cartwright</v>
      </c>
      <c r="I340" s="6" t="str">
        <f>VLOOKUP(F340,Customer,5,0)</f>
        <v>Newcastle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4662</v>
      </c>
      <c r="O340" s="2">
        <v>52</v>
      </c>
      <c r="P340" s="8">
        <f t="shared" si="27"/>
        <v>4714</v>
      </c>
      <c r="Q340" s="8">
        <f t="shared" si="28"/>
        <v>175</v>
      </c>
      <c r="R340" s="2" t="s">
        <v>28</v>
      </c>
      <c r="S340" s="24">
        <f t="shared" si="29"/>
        <v>0.02</v>
      </c>
    </row>
    <row r="341" spans="1:19" x14ac:dyDescent="0.25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VLOOKUP(F341,'Customer Info'!$A:$B,2,0)</f>
        <v>Clay</v>
      </c>
      <c r="H341" s="6" t="str">
        <f>VLOOKUP(F341,'Customer Info'!$A$1:$C$501,3,0)</f>
        <v>Cheatham</v>
      </c>
      <c r="I341" s="6" t="str">
        <f>VLOOKUP(F341,Customer,5,0)</f>
        <v>Freiburg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1248</v>
      </c>
      <c r="O341" s="2">
        <v>76</v>
      </c>
      <c r="P341" s="8">
        <f t="shared" si="27"/>
        <v>1324</v>
      </c>
      <c r="Q341" s="8">
        <f t="shared" si="28"/>
        <v>126</v>
      </c>
      <c r="R341" s="2" t="s">
        <v>50</v>
      </c>
      <c r="S341" s="24">
        <f t="shared" si="29"/>
        <v>0.02</v>
      </c>
    </row>
    <row r="342" spans="1:19" x14ac:dyDescent="0.25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VLOOKUP(F342,'Customer Info'!$A:$B,2,0)</f>
        <v>Benjamin</v>
      </c>
      <c r="H342" s="6" t="str">
        <f>VLOOKUP(F342,'Customer Info'!$A$1:$C$501,3,0)</f>
        <v>Patterson</v>
      </c>
      <c r="I342" s="6" t="str">
        <f>VLOOKUP(F342,Customer,5,0)</f>
        <v>Tamworth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5574</v>
      </c>
      <c r="O342" s="2">
        <v>53</v>
      </c>
      <c r="P342" s="8">
        <f t="shared" si="27"/>
        <v>5627</v>
      </c>
      <c r="Q342" s="8">
        <f t="shared" si="28"/>
        <v>212</v>
      </c>
      <c r="R342" s="2" t="s">
        <v>50</v>
      </c>
      <c r="S342" s="24">
        <f t="shared" si="29"/>
        <v>0.05</v>
      </c>
    </row>
    <row r="343" spans="1:19" x14ac:dyDescent="0.25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VLOOKUP(F343,'Customer Info'!$A:$B,2,0)</f>
        <v>Mick</v>
      </c>
      <c r="H343" s="6" t="str">
        <f>VLOOKUP(F343,'Customer Info'!$A$1:$C$501,3,0)</f>
        <v>Brown</v>
      </c>
      <c r="I343" s="6" t="str">
        <f>VLOOKUP(F343,Customer,5,0)</f>
        <v>Frankfurt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6678</v>
      </c>
      <c r="O343" s="2">
        <v>77</v>
      </c>
      <c r="P343" s="8">
        <f t="shared" si="27"/>
        <v>6755</v>
      </c>
      <c r="Q343" s="8">
        <f t="shared" si="28"/>
        <v>438</v>
      </c>
      <c r="R343" s="2" t="s">
        <v>50</v>
      </c>
      <c r="S343" s="24">
        <f t="shared" si="29"/>
        <v>0.05</v>
      </c>
    </row>
    <row r="344" spans="1:19" x14ac:dyDescent="0.25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VLOOKUP(F344,'Customer Info'!$A:$B,2,0)</f>
        <v>Emily</v>
      </c>
      <c r="H344" s="6" t="str">
        <f>VLOOKUP(F344,'Customer Info'!$A$1:$C$501,3,0)</f>
        <v>Burns</v>
      </c>
      <c r="I344" s="6" t="str">
        <f>VLOOKUP(F344,Customer,5,0)</f>
        <v>Chennai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14211</v>
      </c>
      <c r="O344" s="2">
        <v>93</v>
      </c>
      <c r="P344" s="8">
        <f t="shared" si="27"/>
        <v>14304</v>
      </c>
      <c r="Q344" s="8">
        <f t="shared" si="28"/>
        <v>792</v>
      </c>
      <c r="R344" s="2" t="s">
        <v>28</v>
      </c>
      <c r="S344" s="24">
        <f t="shared" si="29"/>
        <v>0.05</v>
      </c>
    </row>
    <row r="345" spans="1:19" x14ac:dyDescent="0.25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VLOOKUP(F345,'Customer Info'!$A:$B,2,0)</f>
        <v>Sarah</v>
      </c>
      <c r="H345" s="6" t="str">
        <f>VLOOKUP(F345,'Customer Info'!$A$1:$C$501,3,0)</f>
        <v>Bern</v>
      </c>
      <c r="I345" s="6" t="str">
        <f>VLOOKUP(F345,Customer,5,0)</f>
        <v>Wollongong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7052</v>
      </c>
      <c r="O345" s="2">
        <v>41</v>
      </c>
      <c r="P345" s="8">
        <f t="shared" si="27"/>
        <v>7093</v>
      </c>
      <c r="Q345" s="8">
        <f t="shared" si="28"/>
        <v>644</v>
      </c>
      <c r="R345" s="2" t="s">
        <v>28</v>
      </c>
      <c r="S345" s="24">
        <f t="shared" si="29"/>
        <v>0.05</v>
      </c>
    </row>
    <row r="346" spans="1:19" x14ac:dyDescent="0.25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VLOOKUP(F346,'Customer Info'!$A:$B,2,0)</f>
        <v>Deirdre</v>
      </c>
      <c r="H346" s="6" t="str">
        <f>VLOOKUP(F346,'Customer Info'!$A$1:$C$501,3,0)</f>
        <v>Greer</v>
      </c>
      <c r="I346" s="6" t="str">
        <f>VLOOKUP(F346,Customer,5,0)</f>
        <v>Bandung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5949</v>
      </c>
      <c r="O346" s="2">
        <v>99</v>
      </c>
      <c r="P346" s="8">
        <f t="shared" si="27"/>
        <v>6048</v>
      </c>
      <c r="Q346" s="8">
        <f t="shared" si="28"/>
        <v>225</v>
      </c>
      <c r="R346" s="2" t="s">
        <v>28</v>
      </c>
      <c r="S346" s="24">
        <f t="shared" si="29"/>
        <v>0.05</v>
      </c>
    </row>
    <row r="347" spans="1:19" x14ac:dyDescent="0.25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VLOOKUP(F347,'Customer Info'!$A:$B,2,0)</f>
        <v>Dianna</v>
      </c>
      <c r="H347" s="6" t="str">
        <f>VLOOKUP(F347,'Customer Info'!$A$1:$C$501,3,0)</f>
        <v>Wilson</v>
      </c>
      <c r="I347" s="6" t="str">
        <f>VLOOKUP(F347,Customer,5,0)</f>
        <v>Pematangsiantar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1246</v>
      </c>
      <c r="O347" s="2">
        <v>51</v>
      </c>
      <c r="P347" s="8">
        <f t="shared" si="27"/>
        <v>1297</v>
      </c>
      <c r="Q347" s="8">
        <f t="shared" si="28"/>
        <v>82</v>
      </c>
      <c r="R347" s="2" t="s">
        <v>26</v>
      </c>
      <c r="S347" s="24">
        <f t="shared" si="29"/>
        <v>0.02</v>
      </c>
    </row>
    <row r="348" spans="1:19" x14ac:dyDescent="0.25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VLOOKUP(F348,'Customer Info'!$A:$B,2,0)</f>
        <v>Dennis</v>
      </c>
      <c r="H348" s="6" t="str">
        <f>VLOOKUP(F348,'Customer Info'!$A$1:$C$501,3,0)</f>
        <v>Pardue</v>
      </c>
      <c r="I348" s="6" t="str">
        <f>VLOOKUP(F348,Customer,5,0)</f>
        <v>Pekalongan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16758</v>
      </c>
      <c r="O348" s="2">
        <v>25</v>
      </c>
      <c r="P348" s="8">
        <f t="shared" si="27"/>
        <v>16783</v>
      </c>
      <c r="Q348" s="8">
        <f t="shared" si="28"/>
        <v>636</v>
      </c>
      <c r="R348" s="2" t="s">
        <v>28</v>
      </c>
      <c r="S348" s="24">
        <f t="shared" si="29"/>
        <v>0.05</v>
      </c>
    </row>
    <row r="349" spans="1:19" x14ac:dyDescent="0.25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VLOOKUP(F349,'Customer Info'!$A:$B,2,0)</f>
        <v>Natalie</v>
      </c>
      <c r="H349" s="6" t="str">
        <f>VLOOKUP(F349,'Customer Info'!$A$1:$C$501,3,0)</f>
        <v>Webber</v>
      </c>
      <c r="I349" s="6" t="str">
        <f>VLOOKUP(F349,Customer,5,0)</f>
        <v>Ningbo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1569</v>
      </c>
      <c r="O349" s="2">
        <v>89</v>
      </c>
      <c r="P349" s="8">
        <f t="shared" si="27"/>
        <v>1658</v>
      </c>
      <c r="Q349" s="8">
        <f t="shared" si="28"/>
        <v>103</v>
      </c>
      <c r="R349" s="2" t="s">
        <v>26</v>
      </c>
      <c r="S349" s="24">
        <f t="shared" si="29"/>
        <v>0.02</v>
      </c>
    </row>
    <row r="350" spans="1:19" x14ac:dyDescent="0.25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VLOOKUP(F350,'Customer Info'!$A:$B,2,0)</f>
        <v>Brad</v>
      </c>
      <c r="H350" s="6" t="str">
        <f>VLOOKUP(F350,'Customer Info'!$A$1:$C$501,3,0)</f>
        <v>Thomas</v>
      </c>
      <c r="I350" s="6" t="str">
        <f>VLOOKUP(F350,Customer,5,0)</f>
        <v>Udaipur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8912</v>
      </c>
      <c r="O350" s="2">
        <v>30</v>
      </c>
      <c r="P350" s="8">
        <f t="shared" si="27"/>
        <v>8942</v>
      </c>
      <c r="Q350" s="8">
        <f t="shared" si="28"/>
        <v>340</v>
      </c>
      <c r="R350" s="2" t="s">
        <v>50</v>
      </c>
      <c r="S350" s="24">
        <f t="shared" si="29"/>
        <v>0.05</v>
      </c>
    </row>
    <row r="351" spans="1:19" x14ac:dyDescent="0.25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VLOOKUP(F351,'Customer Info'!$A:$B,2,0)</f>
        <v>Paul</v>
      </c>
      <c r="H351" s="6" t="str">
        <f>VLOOKUP(F351,'Customer Info'!$A$1:$C$501,3,0)</f>
        <v>Gonzalez</v>
      </c>
      <c r="I351" s="6" t="str">
        <f>VLOOKUP(F351,Customer,5,0)</f>
        <v>Durgapur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9051</v>
      </c>
      <c r="O351" s="2">
        <v>36</v>
      </c>
      <c r="P351" s="8">
        <f t="shared" si="27"/>
        <v>9087</v>
      </c>
      <c r="Q351" s="8">
        <f t="shared" si="28"/>
        <v>576</v>
      </c>
      <c r="R351" s="2" t="s">
        <v>50</v>
      </c>
      <c r="S351" s="24">
        <f t="shared" si="29"/>
        <v>0.05</v>
      </c>
    </row>
    <row r="352" spans="1:19" x14ac:dyDescent="0.25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VLOOKUP(F352,'Customer Info'!$A:$B,2,0)</f>
        <v>Lindsay</v>
      </c>
      <c r="H352" s="6" t="str">
        <f>VLOOKUP(F352,'Customer Info'!$A$1:$C$501,3,0)</f>
        <v>Williams</v>
      </c>
      <c r="I352" s="6" t="str">
        <f>VLOOKUP(F352,Customer,5,0)</f>
        <v>Akola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8592</v>
      </c>
      <c r="O352" s="2">
        <v>55</v>
      </c>
      <c r="P352" s="8">
        <f t="shared" si="27"/>
        <v>8647</v>
      </c>
      <c r="Q352" s="8">
        <f t="shared" si="28"/>
        <v>330</v>
      </c>
      <c r="R352" s="2" t="s">
        <v>50</v>
      </c>
      <c r="S352" s="24">
        <f t="shared" si="29"/>
        <v>0.05</v>
      </c>
    </row>
    <row r="353" spans="1:19" x14ac:dyDescent="0.25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VLOOKUP(F353,'Customer Info'!$A:$B,2,0)</f>
        <v>John</v>
      </c>
      <c r="H353" s="6" t="str">
        <f>VLOOKUP(F353,'Customer Info'!$A$1:$C$501,3,0)</f>
        <v>Castell</v>
      </c>
      <c r="I353" s="6" t="str">
        <f>VLOOKUP(F353,Customer,5,0)</f>
        <v>Jakarta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576</v>
      </c>
      <c r="O353" s="2">
        <v>30</v>
      </c>
      <c r="P353" s="8">
        <f t="shared" si="27"/>
        <v>606</v>
      </c>
      <c r="Q353" s="8">
        <f t="shared" si="28"/>
        <v>48</v>
      </c>
      <c r="R353" s="2" t="s">
        <v>28</v>
      </c>
      <c r="S353" s="24">
        <f t="shared" si="29"/>
        <v>0.02</v>
      </c>
    </row>
    <row r="354" spans="1:19" x14ac:dyDescent="0.25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VLOOKUP(F354,'Customer Info'!$A:$B,2,0)</f>
        <v>Tony</v>
      </c>
      <c r="H354" s="6" t="str">
        <f>VLOOKUP(F354,'Customer Info'!$A$1:$C$501,3,0)</f>
        <v>Sayre</v>
      </c>
      <c r="I354" s="6" t="str">
        <f>VLOOKUP(F354,Customer,5,0)</f>
        <v>Wafangdian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76974</v>
      </c>
      <c r="O354" s="2">
        <v>66</v>
      </c>
      <c r="P354" s="8">
        <f t="shared" si="27"/>
        <v>77040</v>
      </c>
      <c r="Q354" s="8">
        <f t="shared" si="28"/>
        <v>3576</v>
      </c>
      <c r="R354" s="2" t="s">
        <v>50</v>
      </c>
      <c r="S354" s="24">
        <f t="shared" si="29"/>
        <v>0.09</v>
      </c>
    </row>
    <row r="355" spans="1:19" x14ac:dyDescent="0.25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VLOOKUP(F355,'Customer Info'!$A:$B,2,0)</f>
        <v>Brooke</v>
      </c>
      <c r="H355" s="6" t="str">
        <f>VLOOKUP(F355,'Customer Info'!$A$1:$C$501,3,0)</f>
        <v>Gillingham</v>
      </c>
      <c r="I355" s="6" t="str">
        <f>VLOOKUP(F355,Customer,5,0)</f>
        <v>Weimar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20853</v>
      </c>
      <c r="O355" s="2">
        <v>77</v>
      </c>
      <c r="P355" s="8">
        <f t="shared" si="27"/>
        <v>20930</v>
      </c>
      <c r="Q355" s="8">
        <f t="shared" si="28"/>
        <v>993</v>
      </c>
      <c r="R355" s="2" t="s">
        <v>28</v>
      </c>
      <c r="S355" s="24">
        <f t="shared" si="29"/>
        <v>0.05</v>
      </c>
    </row>
    <row r="356" spans="1:19" x14ac:dyDescent="0.25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VLOOKUP(F356,'Customer Info'!$A:$B,2,0)</f>
        <v>Dorothy</v>
      </c>
      <c r="H356" s="6" t="str">
        <f>VLOOKUP(F356,'Customer Info'!$A$1:$C$501,3,0)</f>
        <v>Badders</v>
      </c>
      <c r="I356" s="6" t="str">
        <f>VLOOKUP(F356,Customer,5,0)</f>
        <v>Nanning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25890</v>
      </c>
      <c r="O356" s="2">
        <v>34</v>
      </c>
      <c r="P356" s="8">
        <f t="shared" si="27"/>
        <v>25924</v>
      </c>
      <c r="Q356" s="8">
        <f t="shared" si="28"/>
        <v>981</v>
      </c>
      <c r="R356" s="2" t="s">
        <v>50</v>
      </c>
      <c r="S356" s="24">
        <f t="shared" si="29"/>
        <v>7.0000000000000007E-2</v>
      </c>
    </row>
    <row r="357" spans="1:19" x14ac:dyDescent="0.25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VLOOKUP(F357,'Customer Info'!$A:$B,2,0)</f>
        <v>Evan</v>
      </c>
      <c r="H357" s="6" t="str">
        <f>VLOOKUP(F357,'Customer Info'!$A$1:$C$501,3,0)</f>
        <v>Bailliet</v>
      </c>
      <c r="I357" s="6" t="str">
        <f>VLOOKUP(F357,Customer,5,0)</f>
        <v>Sydney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2273</v>
      </c>
      <c r="O357" s="2">
        <v>55</v>
      </c>
      <c r="P357" s="8">
        <f t="shared" si="27"/>
        <v>2328</v>
      </c>
      <c r="Q357" s="8">
        <f t="shared" si="28"/>
        <v>44</v>
      </c>
      <c r="R357" s="2" t="s">
        <v>28</v>
      </c>
      <c r="S357" s="24">
        <f t="shared" si="29"/>
        <v>0.02</v>
      </c>
    </row>
    <row r="358" spans="1:19" x14ac:dyDescent="0.25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VLOOKUP(F358,'Customer Info'!$A:$B,2,0)</f>
        <v>Jeremy</v>
      </c>
      <c r="H358" s="6" t="str">
        <f>VLOOKUP(F358,'Customer Info'!$A$1:$C$501,3,0)</f>
        <v>Ellison</v>
      </c>
      <c r="I358" s="6" t="str">
        <f>VLOOKUP(F358,Customer,5,0)</f>
        <v>Jammu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4068</v>
      </c>
      <c r="O358" s="2">
        <v>30</v>
      </c>
      <c r="P358" s="8">
        <f t="shared" si="27"/>
        <v>4098</v>
      </c>
      <c r="Q358" s="8">
        <f t="shared" si="28"/>
        <v>268</v>
      </c>
      <c r="R358" s="2" t="s">
        <v>50</v>
      </c>
      <c r="S358" s="24">
        <f t="shared" si="29"/>
        <v>0.02</v>
      </c>
    </row>
    <row r="359" spans="1:19" x14ac:dyDescent="0.25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VLOOKUP(F359,'Customer Info'!$A:$B,2,0)</f>
        <v>Anna</v>
      </c>
      <c r="H359" s="6" t="str">
        <f>VLOOKUP(F359,'Customer Info'!$A$1:$C$501,3,0)</f>
        <v>Gayman</v>
      </c>
      <c r="I359" s="6" t="str">
        <f>VLOOKUP(F359,Customer,5,0)</f>
        <v>Jakarta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</v>
      </c>
      <c r="O359" s="2">
        <v>45</v>
      </c>
      <c r="P359" s="8">
        <f t="shared" si="27"/>
        <v>481</v>
      </c>
      <c r="Q359" s="8">
        <f t="shared" si="28"/>
        <v>36</v>
      </c>
      <c r="R359" s="2" t="s">
        <v>28</v>
      </c>
      <c r="S359" s="24">
        <f t="shared" si="29"/>
        <v>0.02</v>
      </c>
    </row>
    <row r="360" spans="1:19" x14ac:dyDescent="0.25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VLOOKUP(F360,'Customer Info'!$A:$B,2,0)</f>
        <v>Duane</v>
      </c>
      <c r="H360" s="6" t="str">
        <f>VLOOKUP(F360,'Customer Info'!$A$1:$C$501,3,0)</f>
        <v>Benoit</v>
      </c>
      <c r="I360" s="6" t="str">
        <f>VLOOKUP(F360,Customer,5,0)</f>
        <v>Tamworth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39800</v>
      </c>
      <c r="O360" s="2">
        <v>28</v>
      </c>
      <c r="P360" s="8">
        <f t="shared" si="27"/>
        <v>39828</v>
      </c>
      <c r="Q360" s="8">
        <f t="shared" si="28"/>
        <v>2925</v>
      </c>
      <c r="R360" s="2" t="s">
        <v>28</v>
      </c>
      <c r="S360" s="24">
        <f t="shared" si="29"/>
        <v>7.0000000000000007E-2</v>
      </c>
    </row>
    <row r="361" spans="1:19" x14ac:dyDescent="0.25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VLOOKUP(F361,'Customer Info'!$A:$B,2,0)</f>
        <v>Stefanie</v>
      </c>
      <c r="H361" s="6" t="str">
        <f>VLOOKUP(F361,'Customer Info'!$A$1:$C$501,3,0)</f>
        <v>Holloman</v>
      </c>
      <c r="I361" s="6" t="str">
        <f>VLOOKUP(F361,Customer,5,0)</f>
        <v>Durgapur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262</v>
      </c>
      <c r="O361" s="2">
        <v>30</v>
      </c>
      <c r="P361" s="8">
        <f t="shared" si="27"/>
        <v>292</v>
      </c>
      <c r="Q361" s="8">
        <f t="shared" si="28"/>
        <v>14</v>
      </c>
      <c r="R361" s="2" t="s">
        <v>50</v>
      </c>
      <c r="S361" s="24">
        <f t="shared" si="29"/>
        <v>0.02</v>
      </c>
    </row>
    <row r="362" spans="1:19" x14ac:dyDescent="0.25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VLOOKUP(F362,'Customer Info'!$A:$B,2,0)</f>
        <v>Adam</v>
      </c>
      <c r="H362" s="6" t="str">
        <f>VLOOKUP(F362,'Customer Info'!$A$1:$C$501,3,0)</f>
        <v>Bellavance</v>
      </c>
      <c r="I362" s="6" t="str">
        <f>VLOOKUP(F362,Customer,5,0)</f>
        <v>Medan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193</v>
      </c>
      <c r="O362" s="2">
        <v>30</v>
      </c>
      <c r="P362" s="8">
        <f t="shared" si="27"/>
        <v>223</v>
      </c>
      <c r="Q362" s="8">
        <f t="shared" si="28"/>
        <v>20</v>
      </c>
      <c r="R362" s="2" t="s">
        <v>50</v>
      </c>
      <c r="S362" s="24">
        <f t="shared" si="29"/>
        <v>0.02</v>
      </c>
    </row>
    <row r="363" spans="1:19" x14ac:dyDescent="0.25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VLOOKUP(F363,'Customer Info'!$A:$B,2,0)</f>
        <v>Paul</v>
      </c>
      <c r="H363" s="6" t="str">
        <f>VLOOKUP(F363,'Customer Info'!$A$1:$C$501,3,0)</f>
        <v>Gonzalez</v>
      </c>
      <c r="I363" s="6" t="str">
        <f>VLOOKUP(F363,Customer,5,0)</f>
        <v>Durgapur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486</v>
      </c>
      <c r="O363" s="2">
        <v>10</v>
      </c>
      <c r="P363" s="8">
        <f t="shared" si="27"/>
        <v>496</v>
      </c>
      <c r="Q363" s="8">
        <f t="shared" si="28"/>
        <v>24</v>
      </c>
      <c r="R363" s="2" t="s">
        <v>28</v>
      </c>
      <c r="S363" s="24">
        <f t="shared" si="29"/>
        <v>0.02</v>
      </c>
    </row>
    <row r="364" spans="1:19" x14ac:dyDescent="0.25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VLOOKUP(F364,'Customer Info'!$A:$B,2,0)</f>
        <v>Laura</v>
      </c>
      <c r="H364" s="6" t="str">
        <f>VLOOKUP(F364,'Customer Info'!$A$1:$C$501,3,0)</f>
        <v>Armstrong</v>
      </c>
      <c r="I364" s="6" t="str">
        <f>VLOOKUP(F364,Customer,5,0)</f>
        <v>Torquay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85566</v>
      </c>
      <c r="O364" s="2">
        <v>55</v>
      </c>
      <c r="P364" s="8">
        <f t="shared" si="27"/>
        <v>85621</v>
      </c>
      <c r="Q364" s="8">
        <f t="shared" si="28"/>
        <v>6414</v>
      </c>
      <c r="R364" s="2" t="s">
        <v>50</v>
      </c>
      <c r="S364" s="24">
        <f t="shared" si="29"/>
        <v>0.09</v>
      </c>
    </row>
    <row r="365" spans="1:19" x14ac:dyDescent="0.25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VLOOKUP(F365,'Customer Info'!$A:$B,2,0)</f>
        <v>Laurel</v>
      </c>
      <c r="H365" s="6" t="str">
        <f>VLOOKUP(F365,'Customer Info'!$A$1:$C$501,3,0)</f>
        <v>Beltran</v>
      </c>
      <c r="I365" s="6" t="str">
        <f>VLOOKUP(F365,Customer,5,0)</f>
        <v>Melbourne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4960</v>
      </c>
      <c r="O365" s="2">
        <v>92</v>
      </c>
      <c r="P365" s="8">
        <f t="shared" si="27"/>
        <v>5052</v>
      </c>
      <c r="Q365" s="8">
        <f t="shared" si="28"/>
        <v>320</v>
      </c>
      <c r="R365" s="2" t="s">
        <v>50</v>
      </c>
      <c r="S365" s="24">
        <f t="shared" si="29"/>
        <v>0.02</v>
      </c>
    </row>
    <row r="366" spans="1:19" x14ac:dyDescent="0.25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VLOOKUP(F366,'Customer Info'!$A:$B,2,0)</f>
        <v>Denise</v>
      </c>
      <c r="H366" s="6" t="str">
        <f>VLOOKUP(F366,'Customer Info'!$A$1:$C$501,3,0)</f>
        <v>Leinenbach</v>
      </c>
      <c r="I366" s="6" t="str">
        <f>VLOOKUP(F366,Customer,5,0)</f>
        <v>Bhiwandi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15886</v>
      </c>
      <c r="O366" s="2">
        <v>63</v>
      </c>
      <c r="P366" s="8">
        <f t="shared" si="27"/>
        <v>15949</v>
      </c>
      <c r="Q366" s="8">
        <f t="shared" si="28"/>
        <v>306</v>
      </c>
      <c r="R366" s="2" t="s">
        <v>28</v>
      </c>
      <c r="S366" s="24">
        <f t="shared" si="29"/>
        <v>0.05</v>
      </c>
    </row>
    <row r="367" spans="1:19" x14ac:dyDescent="0.25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VLOOKUP(F367,'Customer Info'!$A:$B,2,0)</f>
        <v>Carlos</v>
      </c>
      <c r="H367" s="6" t="str">
        <f>VLOOKUP(F367,'Customer Info'!$A$1:$C$501,3,0)</f>
        <v>Soltero</v>
      </c>
      <c r="I367" s="6" t="str">
        <f>VLOOKUP(F367,Customer,5,0)</f>
        <v>Wodonga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7932</v>
      </c>
      <c r="O367" s="2">
        <v>62</v>
      </c>
      <c r="P367" s="8">
        <f t="shared" si="27"/>
        <v>7994</v>
      </c>
      <c r="Q367" s="8">
        <f t="shared" si="28"/>
        <v>300</v>
      </c>
      <c r="R367" s="2" t="s">
        <v>28</v>
      </c>
      <c r="S367" s="24">
        <f t="shared" si="29"/>
        <v>0.05</v>
      </c>
    </row>
    <row r="368" spans="1:19" x14ac:dyDescent="0.25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VLOOKUP(F368,'Customer Info'!$A:$B,2,0)</f>
        <v>Jonathan</v>
      </c>
      <c r="H368" s="6" t="str">
        <f>VLOOKUP(F368,'Customer Info'!$A$1:$C$501,3,0)</f>
        <v>Howell</v>
      </c>
      <c r="I368" s="6" t="str">
        <f>VLOOKUP(F368,Customer,5,0)</f>
        <v>Guangshui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3832</v>
      </c>
      <c r="O368" s="2">
        <v>96</v>
      </c>
      <c r="P368" s="8">
        <f t="shared" si="27"/>
        <v>3928</v>
      </c>
      <c r="Q368" s="8">
        <f t="shared" si="28"/>
        <v>144</v>
      </c>
      <c r="R368" s="2" t="s">
        <v>28</v>
      </c>
      <c r="S368" s="24">
        <f t="shared" si="29"/>
        <v>0.02</v>
      </c>
    </row>
    <row r="369" spans="1:19" x14ac:dyDescent="0.25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VLOOKUP(F369,'Customer Info'!$A:$B,2,0)</f>
        <v>Tamara</v>
      </c>
      <c r="H369" s="6" t="str">
        <f>VLOOKUP(F369,'Customer Info'!$A$1:$C$501,3,0)</f>
        <v>Chand</v>
      </c>
      <c r="I369" s="6" t="str">
        <f>VLOOKUP(F369,Customer,5,0)</f>
        <v>Canberra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2612</v>
      </c>
      <c r="O369" s="2">
        <v>63</v>
      </c>
      <c r="P369" s="8">
        <f t="shared" si="27"/>
        <v>2675</v>
      </c>
      <c r="Q369" s="8">
        <f t="shared" si="28"/>
        <v>218</v>
      </c>
      <c r="R369" s="2" t="s">
        <v>28</v>
      </c>
      <c r="S369" s="24">
        <f t="shared" si="29"/>
        <v>0.02</v>
      </c>
    </row>
    <row r="370" spans="1:19" x14ac:dyDescent="0.25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VLOOKUP(F370,'Customer Info'!$A:$B,2,0)</f>
        <v>Tim</v>
      </c>
      <c r="H370" s="6" t="str">
        <f>VLOOKUP(F370,'Customer Info'!$A$1:$C$501,3,0)</f>
        <v>Brockman</v>
      </c>
      <c r="I370" s="6" t="str">
        <f>VLOOKUP(F370,Customer,5,0)</f>
        <v>Toowoomba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160</v>
      </c>
      <c r="O370" s="2">
        <v>10</v>
      </c>
      <c r="P370" s="8">
        <f t="shared" si="27"/>
        <v>170</v>
      </c>
      <c r="Q370" s="8">
        <f t="shared" si="28"/>
        <v>10</v>
      </c>
      <c r="R370" s="2" t="s">
        <v>50</v>
      </c>
      <c r="S370" s="24">
        <f t="shared" si="29"/>
        <v>0.02</v>
      </c>
    </row>
    <row r="371" spans="1:19" x14ac:dyDescent="0.25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VLOOKUP(F371,'Customer Info'!$A:$B,2,0)</f>
        <v>Ken</v>
      </c>
      <c r="H371" s="6" t="str">
        <f>VLOOKUP(F371,'Customer Info'!$A$1:$C$501,3,0)</f>
        <v>Heidel</v>
      </c>
      <c r="I371" s="6" t="str">
        <f>VLOOKUP(F371,Customer,5,0)</f>
        <v>Tegal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2823</v>
      </c>
      <c r="O371" s="2">
        <v>100</v>
      </c>
      <c r="P371" s="8">
        <f t="shared" si="27"/>
        <v>2923</v>
      </c>
      <c r="Q371" s="8">
        <f t="shared" si="28"/>
        <v>108</v>
      </c>
      <c r="R371" s="2" t="s">
        <v>28</v>
      </c>
      <c r="S371" s="24">
        <f t="shared" si="29"/>
        <v>0.02</v>
      </c>
    </row>
    <row r="372" spans="1:19" x14ac:dyDescent="0.25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VLOOKUP(F372,'Customer Info'!$A:$B,2,0)</f>
        <v>Adrian</v>
      </c>
      <c r="H372" s="6" t="str">
        <f>VLOOKUP(F372,'Customer Info'!$A$1:$C$501,3,0)</f>
        <v>Barton</v>
      </c>
      <c r="I372" s="6" t="str">
        <f>VLOOKUP(F372,Customer,5,0)</f>
        <v>Zigong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16236</v>
      </c>
      <c r="O372" s="2">
        <v>48</v>
      </c>
      <c r="P372" s="8">
        <f t="shared" si="27"/>
        <v>16284</v>
      </c>
      <c r="Q372" s="8">
        <f t="shared" si="28"/>
        <v>918</v>
      </c>
      <c r="R372" s="2" t="s">
        <v>28</v>
      </c>
      <c r="S372" s="24">
        <f t="shared" si="29"/>
        <v>0.05</v>
      </c>
    </row>
    <row r="373" spans="1:19" x14ac:dyDescent="0.25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VLOOKUP(F373,'Customer Info'!$A:$B,2,0)</f>
        <v>Darren</v>
      </c>
      <c r="H373" s="6" t="str">
        <f>VLOOKUP(F373,'Customer Info'!$A$1:$C$501,3,0)</f>
        <v>Budd</v>
      </c>
      <c r="I373" s="6" t="str">
        <f>VLOOKUP(F373,Customer,5,0)</f>
        <v>Perth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2661</v>
      </c>
      <c r="O373" s="2">
        <v>43</v>
      </c>
      <c r="P373" s="8">
        <f t="shared" si="27"/>
        <v>2704</v>
      </c>
      <c r="Q373" s="8">
        <f t="shared" si="28"/>
        <v>219</v>
      </c>
      <c r="R373" s="2" t="s">
        <v>28</v>
      </c>
      <c r="S373" s="24">
        <f t="shared" si="29"/>
        <v>0.02</v>
      </c>
    </row>
    <row r="374" spans="1:19" x14ac:dyDescent="0.25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VLOOKUP(F374,'Customer Info'!$A:$B,2,0)</f>
        <v>Benjamin</v>
      </c>
      <c r="H374" s="6" t="str">
        <f>VLOOKUP(F374,'Customer Info'!$A$1:$C$501,3,0)</f>
        <v>Patterson</v>
      </c>
      <c r="I374" s="6" t="str">
        <f>VLOOKUP(F374,Customer,5,0)</f>
        <v>Wollongong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23766</v>
      </c>
      <c r="O374" s="2">
        <v>54</v>
      </c>
      <c r="P374" s="8">
        <f t="shared" si="27"/>
        <v>23820</v>
      </c>
      <c r="Q374" s="8">
        <f t="shared" si="28"/>
        <v>1782</v>
      </c>
      <c r="R374" s="2" t="s">
        <v>56</v>
      </c>
      <c r="S374" s="24">
        <f t="shared" si="29"/>
        <v>0.05</v>
      </c>
    </row>
    <row r="375" spans="1:19" x14ac:dyDescent="0.25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VLOOKUP(F375,'Customer Info'!$A:$B,2,0)</f>
        <v>Joy</v>
      </c>
      <c r="H375" s="6" t="str">
        <f>VLOOKUP(F375,'Customer Info'!$A$1:$C$501,3,0)</f>
        <v>Bell</v>
      </c>
      <c r="I375" s="6" t="str">
        <f>VLOOKUP(F375,Customer,5,0)</f>
        <v>Tongchuan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29705</v>
      </c>
      <c r="O375" s="2">
        <v>67</v>
      </c>
      <c r="P375" s="8">
        <f t="shared" si="27"/>
        <v>29772</v>
      </c>
      <c r="Q375" s="8">
        <f t="shared" si="28"/>
        <v>570</v>
      </c>
      <c r="R375" s="2" t="s">
        <v>50</v>
      </c>
      <c r="S375" s="24">
        <f t="shared" si="29"/>
        <v>7.0000000000000007E-2</v>
      </c>
    </row>
    <row r="376" spans="1:19" x14ac:dyDescent="0.25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VLOOKUP(F376,'Customer Info'!$A:$B,2,0)</f>
        <v>Laurel</v>
      </c>
      <c r="H376" s="6" t="str">
        <f>VLOOKUP(F376,'Customer Info'!$A$1:$C$501,3,0)</f>
        <v>Elliston</v>
      </c>
      <c r="I376" s="6" t="str">
        <f>VLOOKUP(F376,Customer,5,0)</f>
        <v>Herten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4156</v>
      </c>
      <c r="O376" s="2">
        <v>29</v>
      </c>
      <c r="P376" s="8">
        <f t="shared" si="27"/>
        <v>4185</v>
      </c>
      <c r="Q376" s="8">
        <f t="shared" si="28"/>
        <v>340</v>
      </c>
      <c r="R376" s="2" t="s">
        <v>50</v>
      </c>
      <c r="S376" s="24">
        <f t="shared" si="29"/>
        <v>0.02</v>
      </c>
    </row>
    <row r="377" spans="1:19" x14ac:dyDescent="0.25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VLOOKUP(F377,'Customer Info'!$A:$B,2,0)</f>
        <v>Tom</v>
      </c>
      <c r="H377" s="6" t="str">
        <f>VLOOKUP(F377,'Customer Info'!$A$1:$C$501,3,0)</f>
        <v>Zandusky</v>
      </c>
      <c r="I377" s="6" t="str">
        <f>VLOOKUP(F377,Customer,5,0)</f>
        <v>Hobart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9568</v>
      </c>
      <c r="O377" s="2">
        <v>25</v>
      </c>
      <c r="P377" s="8">
        <f t="shared" si="27"/>
        <v>9593</v>
      </c>
      <c r="Q377" s="8">
        <f t="shared" si="28"/>
        <v>532</v>
      </c>
      <c r="R377" s="2" t="s">
        <v>28</v>
      </c>
      <c r="S377" s="24">
        <f t="shared" si="29"/>
        <v>0.05</v>
      </c>
    </row>
    <row r="378" spans="1:19" x14ac:dyDescent="0.25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VLOOKUP(F378,'Customer Info'!$A:$B,2,0)</f>
        <v>Philisse</v>
      </c>
      <c r="H378" s="6" t="str">
        <f>VLOOKUP(F378,'Customer Info'!$A$1:$C$501,3,0)</f>
        <v>Overcash</v>
      </c>
      <c r="I378" s="6" t="str">
        <f>VLOOKUP(F378,Customer,5,0)</f>
        <v>Devonport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59</v>
      </c>
      <c r="O378" s="2">
        <v>10</v>
      </c>
      <c r="P378" s="8">
        <f t="shared" si="27"/>
        <v>69</v>
      </c>
      <c r="Q378" s="8">
        <f t="shared" si="28"/>
        <v>4</v>
      </c>
      <c r="R378" s="2" t="s">
        <v>28</v>
      </c>
      <c r="S378" s="24">
        <f t="shared" si="29"/>
        <v>0.02</v>
      </c>
    </row>
    <row r="379" spans="1:19" x14ac:dyDescent="0.25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VLOOKUP(F379,'Customer Info'!$A:$B,2,0)</f>
        <v>Benjamin</v>
      </c>
      <c r="H379" s="6" t="str">
        <f>VLOOKUP(F379,'Customer Info'!$A$1:$C$501,3,0)</f>
        <v>Patterson</v>
      </c>
      <c r="I379" s="6" t="str">
        <f>VLOOKUP(F379,Customer,5,0)</f>
        <v>Wollongong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5240</v>
      </c>
      <c r="O379" s="2">
        <v>82</v>
      </c>
      <c r="P379" s="8">
        <f t="shared" si="27"/>
        <v>5322</v>
      </c>
      <c r="Q379" s="8">
        <f t="shared" si="28"/>
        <v>345</v>
      </c>
      <c r="R379" s="2" t="s">
        <v>50</v>
      </c>
      <c r="S379" s="24">
        <f t="shared" si="29"/>
        <v>0.05</v>
      </c>
    </row>
    <row r="380" spans="1:19" x14ac:dyDescent="0.25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VLOOKUP(F380,'Customer Info'!$A:$B,2,0)</f>
        <v>Bobby</v>
      </c>
      <c r="H380" s="6" t="str">
        <f>VLOOKUP(F380,'Customer Info'!$A$1:$C$501,3,0)</f>
        <v>Odegard</v>
      </c>
      <c r="I380" s="6" t="str">
        <f>VLOOKUP(F380,Customer,5,0)</f>
        <v>Adelaide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7205</v>
      </c>
      <c r="O380" s="2">
        <v>99</v>
      </c>
      <c r="P380" s="8">
        <f t="shared" si="27"/>
        <v>7304</v>
      </c>
      <c r="Q380" s="8">
        <f t="shared" si="28"/>
        <v>405</v>
      </c>
      <c r="R380" s="2" t="s">
        <v>28</v>
      </c>
      <c r="S380" s="24">
        <f t="shared" si="29"/>
        <v>0.05</v>
      </c>
    </row>
    <row r="381" spans="1:19" x14ac:dyDescent="0.25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VLOOKUP(F381,'Customer Info'!$A:$B,2,0)</f>
        <v>Helen</v>
      </c>
      <c r="H381" s="6" t="str">
        <f>VLOOKUP(F381,'Customer Info'!$A$1:$C$501,3,0)</f>
        <v>Abelman</v>
      </c>
      <c r="I381" s="6" t="str">
        <f>VLOOKUP(F381,Customer,5,0)</f>
        <v>Mangalore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8267</v>
      </c>
      <c r="O381" s="2">
        <v>84</v>
      </c>
      <c r="P381" s="8">
        <f t="shared" si="27"/>
        <v>8351</v>
      </c>
      <c r="Q381" s="8">
        <f t="shared" si="28"/>
        <v>315</v>
      </c>
      <c r="R381" s="2" t="s">
        <v>50</v>
      </c>
      <c r="S381" s="24">
        <f t="shared" si="29"/>
        <v>0.05</v>
      </c>
    </row>
    <row r="382" spans="1:19" x14ac:dyDescent="0.25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VLOOKUP(F382,'Customer Info'!$A:$B,2,0)</f>
        <v>Anthony</v>
      </c>
      <c r="H382" s="6" t="str">
        <f>VLOOKUP(F382,'Customer Info'!$A$1:$C$501,3,0)</f>
        <v>Garverick</v>
      </c>
      <c r="I382" s="6" t="str">
        <f>VLOOKUP(F382,Customer,5,0)</f>
        <v>Delhi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18747</v>
      </c>
      <c r="O382" s="2">
        <v>25</v>
      </c>
      <c r="P382" s="8">
        <f t="shared" si="27"/>
        <v>18772</v>
      </c>
      <c r="Q382" s="8">
        <f t="shared" si="28"/>
        <v>711</v>
      </c>
      <c r="R382" s="2" t="s">
        <v>28</v>
      </c>
      <c r="S382" s="24">
        <f t="shared" si="29"/>
        <v>0.05</v>
      </c>
    </row>
    <row r="383" spans="1:19" x14ac:dyDescent="0.25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VLOOKUP(F383,'Customer Info'!$A:$B,2,0)</f>
        <v>Duane</v>
      </c>
      <c r="H383" s="6" t="str">
        <f>VLOOKUP(F383,'Customer Info'!$A$1:$C$501,3,0)</f>
        <v>Huffman</v>
      </c>
      <c r="I383" s="6" t="str">
        <f>VLOOKUP(F383,Customer,5,0)</f>
        <v>Perth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6578</v>
      </c>
      <c r="O383" s="2">
        <v>23</v>
      </c>
      <c r="P383" s="8">
        <f t="shared" si="27"/>
        <v>6601</v>
      </c>
      <c r="Q383" s="8">
        <f t="shared" si="28"/>
        <v>368</v>
      </c>
      <c r="R383" s="2" t="s">
        <v>50</v>
      </c>
      <c r="S383" s="24">
        <f t="shared" si="29"/>
        <v>0.05</v>
      </c>
    </row>
    <row r="384" spans="1:19" x14ac:dyDescent="0.25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VLOOKUP(F384,'Customer Info'!$A:$B,2,0)</f>
        <v>Meg</v>
      </c>
      <c r="H384" s="6" t="str">
        <f>VLOOKUP(F384,'Customer Info'!$A$1:$C$501,3,0)</f>
        <v>Tillman</v>
      </c>
      <c r="I384" s="6" t="str">
        <f>VLOOKUP(F384,Customer,5,0)</f>
        <v>Melbourne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12468</v>
      </c>
      <c r="O384" s="2">
        <v>89</v>
      </c>
      <c r="P384" s="8">
        <f t="shared" si="27"/>
        <v>12557</v>
      </c>
      <c r="Q384" s="8">
        <f t="shared" si="28"/>
        <v>1242</v>
      </c>
      <c r="R384" s="2" t="s">
        <v>26</v>
      </c>
      <c r="S384" s="24">
        <f t="shared" si="29"/>
        <v>0.05</v>
      </c>
    </row>
    <row r="385" spans="1:19" x14ac:dyDescent="0.25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VLOOKUP(F385,'Customer Info'!$A:$B,2,0)</f>
        <v>Russell</v>
      </c>
      <c r="H385" s="6" t="str">
        <f>VLOOKUP(F385,'Customer Info'!$A$1:$C$501,3,0)</f>
        <v>Applegate</v>
      </c>
      <c r="I385" s="6" t="str">
        <f>VLOOKUP(F385,Customer,5,0)</f>
        <v>Gorakhpur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35544</v>
      </c>
      <c r="O385" s="2">
        <v>39</v>
      </c>
      <c r="P385" s="8">
        <f t="shared" si="27"/>
        <v>35583</v>
      </c>
      <c r="Q385" s="8">
        <f t="shared" si="28"/>
        <v>2912</v>
      </c>
      <c r="R385" s="2" t="s">
        <v>50</v>
      </c>
      <c r="S385" s="24">
        <f t="shared" si="29"/>
        <v>7.0000000000000007E-2</v>
      </c>
    </row>
    <row r="386" spans="1:19" x14ac:dyDescent="0.25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VLOOKUP(F386,'Customer Info'!$A:$B,2,0)</f>
        <v>Jack</v>
      </c>
      <c r="H386" s="6" t="str">
        <f>VLOOKUP(F386,'Customer Info'!$A$1:$C$501,3,0)</f>
        <v>Lebron</v>
      </c>
      <c r="I386" s="6" t="str">
        <f>VLOOKUP(F386,Customer,5,0)</f>
        <v>Erftstadt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288</v>
      </c>
      <c r="O386" s="2">
        <v>30</v>
      </c>
      <c r="P386" s="8">
        <f t="shared" si="27"/>
        <v>318</v>
      </c>
      <c r="Q386" s="8">
        <f t="shared" si="28"/>
        <v>24</v>
      </c>
      <c r="R386" s="2" t="s">
        <v>26</v>
      </c>
      <c r="S386" s="24">
        <f t="shared" si="29"/>
        <v>0.02</v>
      </c>
    </row>
    <row r="387" spans="1:19" x14ac:dyDescent="0.25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VLOOKUP(F387,'Customer Info'!$A:$B,2,0)</f>
        <v>Helen</v>
      </c>
      <c r="H387" s="6" t="str">
        <f>VLOOKUP(F387,'Customer Info'!$A$1:$C$501,3,0)</f>
        <v>Abelman</v>
      </c>
      <c r="I387" s="6" t="str">
        <f>VLOOKUP(F387,Customer,5,0)</f>
        <v>Berlin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1362</v>
      </c>
      <c r="O387" s="2">
        <v>91</v>
      </c>
      <c r="P387" s="8">
        <f t="shared" si="27"/>
        <v>1453</v>
      </c>
      <c r="Q387" s="8">
        <f t="shared" si="28"/>
        <v>78</v>
      </c>
      <c r="R387" s="2" t="s">
        <v>28</v>
      </c>
      <c r="S387" s="24">
        <f t="shared" si="29"/>
        <v>0.02</v>
      </c>
    </row>
    <row r="388" spans="1:19" x14ac:dyDescent="0.25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VLOOKUP(F388,'Customer Info'!$A:$B,2,0)</f>
        <v>Valerie</v>
      </c>
      <c r="H388" s="6" t="str">
        <f>VLOOKUP(F388,'Customer Info'!$A$1:$C$501,3,0)</f>
        <v>Mitchum</v>
      </c>
      <c r="I388" s="6" t="str">
        <f>VLOOKUP(F388,Customer,5,0)</f>
        <v>Chengdu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348</v>
      </c>
      <c r="O388" s="2">
        <v>10</v>
      </c>
      <c r="P388" s="8">
        <f t="shared" si="27"/>
        <v>358</v>
      </c>
      <c r="Q388" s="8">
        <f t="shared" si="28"/>
        <v>28</v>
      </c>
      <c r="R388" s="2" t="s">
        <v>50</v>
      </c>
      <c r="S388" s="24">
        <f t="shared" si="29"/>
        <v>0.02</v>
      </c>
    </row>
    <row r="389" spans="1:19" x14ac:dyDescent="0.25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VLOOKUP(F389,'Customer Info'!$A:$B,2,0)</f>
        <v>Eric</v>
      </c>
      <c r="H389" s="6" t="str">
        <f>VLOOKUP(F389,'Customer Info'!$A$1:$C$501,3,0)</f>
        <v>Barreto</v>
      </c>
      <c r="I389" s="6" t="str">
        <f>VLOOKUP(F389,Customer,5,0)</f>
        <v>Liaoyang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52428</v>
      </c>
      <c r="O389" s="2">
        <v>66</v>
      </c>
      <c r="P389" s="8">
        <f t="shared" si="27"/>
        <v>52494</v>
      </c>
      <c r="Q389" s="8">
        <f t="shared" si="28"/>
        <v>3456</v>
      </c>
      <c r="R389" s="2" t="s">
        <v>28</v>
      </c>
      <c r="S389" s="24">
        <f t="shared" si="29"/>
        <v>0.09</v>
      </c>
    </row>
    <row r="390" spans="1:19" x14ac:dyDescent="0.25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VLOOKUP(F390,'Customer Info'!$A:$B,2,0)</f>
        <v>Greg</v>
      </c>
      <c r="H390" s="6" t="str">
        <f>VLOOKUP(F390,'Customer Info'!$A$1:$C$501,3,0)</f>
        <v>Hansen</v>
      </c>
      <c r="I390" s="6" t="str">
        <f>VLOOKUP(F390,Customer,5,0)</f>
        <v>Canberra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2790</v>
      </c>
      <c r="O390" s="2">
        <v>100</v>
      </c>
      <c r="P390" s="8">
        <f t="shared" si="27"/>
        <v>2890</v>
      </c>
      <c r="Q390" s="8">
        <f t="shared" si="28"/>
        <v>233</v>
      </c>
      <c r="R390" s="2" t="s">
        <v>28</v>
      </c>
      <c r="S390" s="24">
        <f t="shared" si="29"/>
        <v>0.02</v>
      </c>
    </row>
    <row r="391" spans="1:19" x14ac:dyDescent="0.25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VLOOKUP(F391,'Customer Info'!$A:$B,2,0)</f>
        <v>Helen</v>
      </c>
      <c r="H391" s="6" t="str">
        <f>VLOOKUP(F391,'Customer Info'!$A$1:$C$501,3,0)</f>
        <v>Abelman</v>
      </c>
      <c r="I391" s="6" t="str">
        <f>VLOOKUP(F391,Customer,5,0)</f>
        <v>Mangalore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5748</v>
      </c>
      <c r="O391" s="2">
        <v>39</v>
      </c>
      <c r="P391" s="8">
        <f t="shared" si="27"/>
        <v>5787</v>
      </c>
      <c r="Q391" s="8">
        <f t="shared" si="28"/>
        <v>216</v>
      </c>
      <c r="R391" s="2" t="s">
        <v>28</v>
      </c>
      <c r="S391" s="24">
        <f t="shared" si="29"/>
        <v>0.05</v>
      </c>
    </row>
    <row r="392" spans="1:19" x14ac:dyDescent="0.25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VLOOKUP(F392,'Customer Info'!$A:$B,2,0)</f>
        <v>Hilary</v>
      </c>
      <c r="H392" s="6" t="str">
        <f>VLOOKUP(F392,'Customer Info'!$A$1:$C$501,3,0)</f>
        <v>Holden</v>
      </c>
      <c r="I392" s="6" t="str">
        <f>VLOOKUP(F392,Customer,5,0)</f>
        <v>Mysore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6106</v>
      </c>
      <c r="O392" s="2">
        <v>38</v>
      </c>
      <c r="P392" s="8">
        <f t="shared" si="27"/>
        <v>6144</v>
      </c>
      <c r="Q392" s="8">
        <f t="shared" si="28"/>
        <v>232</v>
      </c>
      <c r="R392" s="2" t="s">
        <v>28</v>
      </c>
      <c r="S392" s="24">
        <f t="shared" si="29"/>
        <v>0.05</v>
      </c>
    </row>
    <row r="393" spans="1:19" x14ac:dyDescent="0.25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VLOOKUP(F393,'Customer Info'!$A:$B,2,0)</f>
        <v>Dorothy</v>
      </c>
      <c r="H393" s="6" t="str">
        <f>VLOOKUP(F393,'Customer Info'!$A$1:$C$501,3,0)</f>
        <v>Badders</v>
      </c>
      <c r="I393" s="6" t="str">
        <f>VLOOKUP(F393,Customer,5,0)</f>
        <v>Nanning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47532</v>
      </c>
      <c r="O393" s="2">
        <v>26</v>
      </c>
      <c r="P393" s="8">
        <f t="shared" si="27"/>
        <v>47558</v>
      </c>
      <c r="Q393" s="8">
        <f t="shared" si="28"/>
        <v>3564</v>
      </c>
      <c r="R393" s="2" t="s">
        <v>28</v>
      </c>
      <c r="S393" s="24">
        <f t="shared" si="29"/>
        <v>7.0000000000000007E-2</v>
      </c>
    </row>
    <row r="394" spans="1:19" x14ac:dyDescent="0.25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VLOOKUP(F394,'Customer Info'!$A:$B,2,0)</f>
        <v>Logan</v>
      </c>
      <c r="H394" s="6" t="str">
        <f>VLOOKUP(F394,'Customer Info'!$A$1:$C$501,3,0)</f>
        <v>Haushalter</v>
      </c>
      <c r="I394" s="6" t="str">
        <f>VLOOKUP(F394,Customer,5,0)</f>
        <v>Canberra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14424</v>
      </c>
      <c r="O394" s="2">
        <v>68</v>
      </c>
      <c r="P394" s="8">
        <f t="shared" si="27"/>
        <v>14492</v>
      </c>
      <c r="Q394" s="8">
        <f t="shared" si="28"/>
        <v>1065</v>
      </c>
      <c r="R394" s="2" t="s">
        <v>56</v>
      </c>
      <c r="S394" s="24">
        <f t="shared" si="29"/>
        <v>0.05</v>
      </c>
    </row>
    <row r="395" spans="1:19" x14ac:dyDescent="0.25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VLOOKUP(F395,'Customer Info'!$A:$B,2,0)</f>
        <v>Dan</v>
      </c>
      <c r="H395" s="6" t="str">
        <f>VLOOKUP(F395,'Customer Info'!$A$1:$C$501,3,0)</f>
        <v>Campbell</v>
      </c>
      <c r="I395" s="6" t="str">
        <f>VLOOKUP(F395,Customer,5,0)</f>
        <v>Perth</v>
      </c>
      <c r="J395" s="2">
        <v>751</v>
      </c>
      <c r="K395" s="2">
        <v>696</v>
      </c>
      <c r="L395" s="2">
        <v>2</v>
      </c>
      <c r="M395" s="7">
        <f t="shared" ref="M395:M458" si="30">K395*L395</f>
        <v>1392</v>
      </c>
      <c r="N395" s="7">
        <f t="shared" ref="N395:N458" si="31">J395*L395</f>
        <v>1502</v>
      </c>
      <c r="O395" s="2">
        <v>98</v>
      </c>
      <c r="P395" s="8">
        <f t="shared" ref="P395:P458" si="32">N395+O395</f>
        <v>1600</v>
      </c>
      <c r="Q395" s="8">
        <f t="shared" ref="Q395:Q458" si="33">N395-M395</f>
        <v>110</v>
      </c>
      <c r="R395" s="2" t="s">
        <v>26</v>
      </c>
      <c r="S395" s="24">
        <f t="shared" ref="S395:S458" si="34">VLOOKUP(N395,$T$1:$U$7,2,TRUE)</f>
        <v>0.02</v>
      </c>
    </row>
    <row r="396" spans="1:19" x14ac:dyDescent="0.25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VLOOKUP(F396,'Customer Info'!$A:$B,2,0)</f>
        <v>Stewart</v>
      </c>
      <c r="H396" s="6" t="str">
        <f>VLOOKUP(F396,'Customer Info'!$A$1:$C$501,3,0)</f>
        <v>Visinsky</v>
      </c>
      <c r="I396" s="6" t="str">
        <f>VLOOKUP(F396,Customer,5,0)</f>
        <v>Shenyang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8">
        <f t="shared" si="32"/>
        <v>17825</v>
      </c>
      <c r="Q396" s="8">
        <f t="shared" si="33"/>
        <v>1456</v>
      </c>
      <c r="R396" s="2" t="s">
        <v>56</v>
      </c>
      <c r="S396" s="24">
        <f t="shared" si="34"/>
        <v>0.05</v>
      </c>
    </row>
    <row r="397" spans="1:19" x14ac:dyDescent="0.25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VLOOKUP(F397,'Customer Info'!$A:$B,2,0)</f>
        <v>Nat</v>
      </c>
      <c r="H397" s="6" t="str">
        <f>VLOOKUP(F397,'Customer Info'!$A$1:$C$501,3,0)</f>
        <v>Carroll</v>
      </c>
      <c r="I397" s="6" t="str">
        <f>VLOOKUP(F397,Customer,5,0)</f>
        <v>Shanghai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8">
        <f t="shared" si="32"/>
        <v>13771</v>
      </c>
      <c r="Q397" s="8">
        <f t="shared" si="33"/>
        <v>394</v>
      </c>
      <c r="R397" s="2" t="s">
        <v>28</v>
      </c>
      <c r="S397" s="24">
        <f t="shared" si="34"/>
        <v>0.05</v>
      </c>
    </row>
    <row r="398" spans="1:19" x14ac:dyDescent="0.25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VLOOKUP(F398,'Customer Info'!$A:$B,2,0)</f>
        <v>Nat</v>
      </c>
      <c r="H398" s="6" t="str">
        <f>VLOOKUP(F398,'Customer Info'!$A$1:$C$501,3,0)</f>
        <v>Carroll</v>
      </c>
      <c r="I398" s="6" t="str">
        <f>VLOOKUP(F398,Customer,5,0)</f>
        <v>Shanghai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8">
        <f t="shared" si="32"/>
        <v>370</v>
      </c>
      <c r="Q398" s="8">
        <f t="shared" si="33"/>
        <v>30</v>
      </c>
      <c r="R398" s="2" t="s">
        <v>28</v>
      </c>
      <c r="S398" s="24">
        <f t="shared" si="34"/>
        <v>0.02</v>
      </c>
    </row>
    <row r="399" spans="1:19" x14ac:dyDescent="0.25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VLOOKUP(F399,'Customer Info'!$A:$B,2,0)</f>
        <v>Brendan</v>
      </c>
      <c r="H399" s="6" t="str">
        <f>VLOOKUP(F399,'Customer Info'!$A$1:$C$501,3,0)</f>
        <v>Murry</v>
      </c>
      <c r="I399" s="6" t="str">
        <f>VLOOKUP(F399,Customer,5,0)</f>
        <v>Schwerin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8">
        <f t="shared" si="32"/>
        <v>17303</v>
      </c>
      <c r="Q399" s="8">
        <f t="shared" si="33"/>
        <v>1720</v>
      </c>
      <c r="R399" s="2" t="s">
        <v>26</v>
      </c>
      <c r="S399" s="24">
        <f t="shared" si="34"/>
        <v>0.05</v>
      </c>
    </row>
    <row r="400" spans="1:19" x14ac:dyDescent="0.25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VLOOKUP(F400,'Customer Info'!$A:$B,2,0)</f>
        <v>Kelly</v>
      </c>
      <c r="H400" s="6" t="str">
        <f>VLOOKUP(F400,'Customer Info'!$A$1:$C$501,3,0)</f>
        <v>Collister</v>
      </c>
      <c r="I400" s="6" t="str">
        <f>VLOOKUP(F400,Customer,5,0)</f>
        <v>Tangshan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21636</v>
      </c>
      <c r="O400" s="2">
        <v>96</v>
      </c>
      <c r="P400" s="8">
        <f t="shared" si="32"/>
        <v>21732</v>
      </c>
      <c r="Q400" s="8">
        <f t="shared" si="33"/>
        <v>1425</v>
      </c>
      <c r="R400" s="2" t="s">
        <v>28</v>
      </c>
      <c r="S400" s="24">
        <f t="shared" si="34"/>
        <v>0.05</v>
      </c>
    </row>
    <row r="401" spans="1:19" x14ac:dyDescent="0.25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VLOOKUP(F401,'Customer Info'!$A:$B,2,0)</f>
        <v>Magdelene</v>
      </c>
      <c r="H401" s="6" t="str">
        <f>VLOOKUP(F401,'Customer Info'!$A$1:$C$501,3,0)</f>
        <v>Morse</v>
      </c>
      <c r="I401" s="6" t="str">
        <f>VLOOKUP(F401,Customer,5,0)</f>
        <v>Berlin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4084</v>
      </c>
      <c r="O401" s="2">
        <v>97</v>
      </c>
      <c r="P401" s="8">
        <f t="shared" si="32"/>
        <v>4181</v>
      </c>
      <c r="Q401" s="8">
        <f t="shared" si="33"/>
        <v>154</v>
      </c>
      <c r="R401" s="2" t="s">
        <v>28</v>
      </c>
      <c r="S401" s="24">
        <f t="shared" si="34"/>
        <v>0.02</v>
      </c>
    </row>
    <row r="402" spans="1:19" x14ac:dyDescent="0.25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VLOOKUP(F402,'Customer Info'!$A:$B,2,0)</f>
        <v>Julie</v>
      </c>
      <c r="H402" s="6" t="str">
        <f>VLOOKUP(F402,'Customer Info'!$A$1:$C$501,3,0)</f>
        <v>Creighton</v>
      </c>
      <c r="I402" s="6" t="str">
        <f>VLOOKUP(F402,Customer,5,0)</f>
        <v>Bandung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11496</v>
      </c>
      <c r="O402" s="2">
        <v>23</v>
      </c>
      <c r="P402" s="8">
        <f t="shared" si="32"/>
        <v>11519</v>
      </c>
      <c r="Q402" s="8">
        <f t="shared" si="33"/>
        <v>1164</v>
      </c>
      <c r="R402" s="2" t="s">
        <v>28</v>
      </c>
      <c r="S402" s="24">
        <f t="shared" si="34"/>
        <v>0.05</v>
      </c>
    </row>
    <row r="403" spans="1:19" x14ac:dyDescent="0.25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VLOOKUP(F403,'Customer Info'!$A:$B,2,0)</f>
        <v>Brooke</v>
      </c>
      <c r="H403" s="6" t="str">
        <f>VLOOKUP(F403,'Customer Info'!$A$1:$C$501,3,0)</f>
        <v>Gillingham</v>
      </c>
      <c r="I403" s="6" t="str">
        <f>VLOOKUP(F403,Customer,5,0)</f>
        <v>Geraldton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3309</v>
      </c>
      <c r="O403" s="2">
        <v>29</v>
      </c>
      <c r="P403" s="8">
        <f t="shared" si="32"/>
        <v>3338</v>
      </c>
      <c r="Q403" s="8">
        <f t="shared" si="33"/>
        <v>219</v>
      </c>
      <c r="R403" s="2" t="s">
        <v>28</v>
      </c>
      <c r="S403" s="24">
        <f t="shared" si="34"/>
        <v>0.02</v>
      </c>
    </row>
    <row r="404" spans="1:19" x14ac:dyDescent="0.25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VLOOKUP(F404,'Customer Info'!$A:$B,2,0)</f>
        <v>Tim</v>
      </c>
      <c r="H404" s="6" t="str">
        <f>VLOOKUP(F404,'Customer Info'!$A$1:$C$501,3,0)</f>
        <v>Brockman</v>
      </c>
      <c r="I404" s="6" t="str">
        <f>VLOOKUP(F404,Customer,5,0)</f>
        <v>Toowoomba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170</v>
      </c>
      <c r="O404" s="2">
        <v>30</v>
      </c>
      <c r="P404" s="8">
        <f t="shared" si="32"/>
        <v>200</v>
      </c>
      <c r="Q404" s="8">
        <f t="shared" si="33"/>
        <v>17</v>
      </c>
      <c r="R404" s="2" t="s">
        <v>26</v>
      </c>
      <c r="S404" s="24">
        <f t="shared" si="34"/>
        <v>0.02</v>
      </c>
    </row>
    <row r="405" spans="1:19" x14ac:dyDescent="0.25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VLOOKUP(F405,'Customer Info'!$A:$B,2,0)</f>
        <v>Michelle</v>
      </c>
      <c r="H405" s="6" t="str">
        <f>VLOOKUP(F405,'Customer Info'!$A$1:$C$501,3,0)</f>
        <v>Tran</v>
      </c>
      <c r="I405" s="6" t="str">
        <f>VLOOKUP(F405,Customer,5,0)</f>
        <v>Mount Gambier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3238</v>
      </c>
      <c r="O405" s="2">
        <v>75</v>
      </c>
      <c r="P405" s="8">
        <f t="shared" si="32"/>
        <v>3313</v>
      </c>
      <c r="Q405" s="8">
        <f t="shared" si="33"/>
        <v>354</v>
      </c>
      <c r="R405" s="2" t="s">
        <v>56</v>
      </c>
      <c r="S405" s="24">
        <f t="shared" si="34"/>
        <v>0.02</v>
      </c>
    </row>
    <row r="406" spans="1:19" x14ac:dyDescent="0.25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VLOOKUP(F406,'Customer Info'!$A:$B,2,0)</f>
        <v>Dave</v>
      </c>
      <c r="H406" s="6" t="str">
        <f>VLOOKUP(F406,'Customer Info'!$A$1:$C$501,3,0)</f>
        <v>Hallsten</v>
      </c>
      <c r="I406" s="6" t="str">
        <f>VLOOKUP(F406,Customer,5,0)</f>
        <v>Coimbatore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8183</v>
      </c>
      <c r="O406" s="2">
        <v>77</v>
      </c>
      <c r="P406" s="8">
        <f t="shared" si="32"/>
        <v>8260</v>
      </c>
      <c r="Q406" s="8">
        <f t="shared" si="33"/>
        <v>462</v>
      </c>
      <c r="R406" s="2" t="s">
        <v>28</v>
      </c>
      <c r="S406" s="24">
        <f t="shared" si="34"/>
        <v>0.05</v>
      </c>
    </row>
    <row r="407" spans="1:19" x14ac:dyDescent="0.25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VLOOKUP(F407,'Customer Info'!$A:$B,2,0)</f>
        <v>Michael</v>
      </c>
      <c r="H407" s="6" t="str">
        <f>VLOOKUP(F407,'Customer Info'!$A$1:$C$501,3,0)</f>
        <v>Moore</v>
      </c>
      <c r="I407" s="6" t="str">
        <f>VLOOKUP(F407,Customer,5,0)</f>
        <v>Medan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700</v>
      </c>
      <c r="O407" s="2">
        <v>10</v>
      </c>
      <c r="P407" s="8">
        <f t="shared" si="32"/>
        <v>710</v>
      </c>
      <c r="Q407" s="8">
        <f t="shared" si="33"/>
        <v>35</v>
      </c>
      <c r="R407" s="2" t="s">
        <v>28</v>
      </c>
      <c r="S407" s="24">
        <f t="shared" si="34"/>
        <v>0.02</v>
      </c>
    </row>
    <row r="408" spans="1:19" x14ac:dyDescent="0.25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VLOOKUP(F408,'Customer Info'!$A:$B,2,0)</f>
        <v>Eileen</v>
      </c>
      <c r="H408" s="6" t="str">
        <f>VLOOKUP(F408,'Customer Info'!$A$1:$C$501,3,0)</f>
        <v>Kiefer</v>
      </c>
      <c r="I408" s="6" t="str">
        <f>VLOOKUP(F408,Customer,5,0)</f>
        <v>Hamm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7623</v>
      </c>
      <c r="O408" s="2">
        <v>41</v>
      </c>
      <c r="P408" s="8">
        <f t="shared" si="32"/>
        <v>7664</v>
      </c>
      <c r="Q408" s="8">
        <f t="shared" si="33"/>
        <v>559</v>
      </c>
      <c r="R408" s="2" t="s">
        <v>50</v>
      </c>
      <c r="S408" s="24">
        <f t="shared" si="34"/>
        <v>0.05</v>
      </c>
    </row>
    <row r="409" spans="1:19" x14ac:dyDescent="0.25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VLOOKUP(F409,'Customer Info'!$A:$B,2,0)</f>
        <v>Harold</v>
      </c>
      <c r="H409" s="6" t="str">
        <f>VLOOKUP(F409,'Customer Info'!$A$1:$C$501,3,0)</f>
        <v>Dahlen</v>
      </c>
      <c r="I409" s="6" t="str">
        <f>VLOOKUP(F409,Customer,5,0)</f>
        <v>Jakarta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4798</v>
      </c>
      <c r="O409" s="2">
        <v>48</v>
      </c>
      <c r="P409" s="8">
        <f t="shared" si="32"/>
        <v>4846</v>
      </c>
      <c r="Q409" s="8">
        <f t="shared" si="33"/>
        <v>350</v>
      </c>
      <c r="R409" s="2" t="s">
        <v>26</v>
      </c>
      <c r="S409" s="24">
        <f t="shared" si="34"/>
        <v>0.02</v>
      </c>
    </row>
    <row r="410" spans="1:19" x14ac:dyDescent="0.25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VLOOKUP(F410,'Customer Info'!$A:$B,2,0)</f>
        <v>Anemone</v>
      </c>
      <c r="H410" s="6" t="str">
        <f>VLOOKUP(F410,'Customer Info'!$A$1:$C$501,3,0)</f>
        <v>Ratner</v>
      </c>
      <c r="I410" s="6" t="str">
        <f>VLOOKUP(F410,Customer,5,0)</f>
        <v>Pune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4884</v>
      </c>
      <c r="O410" s="2">
        <v>83</v>
      </c>
      <c r="P410" s="8">
        <f t="shared" si="32"/>
        <v>4967</v>
      </c>
      <c r="Q410" s="8">
        <f t="shared" si="33"/>
        <v>276</v>
      </c>
      <c r="R410" s="2" t="s">
        <v>50</v>
      </c>
      <c r="S410" s="24">
        <f t="shared" si="34"/>
        <v>0.02</v>
      </c>
    </row>
    <row r="411" spans="1:19" x14ac:dyDescent="0.25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VLOOKUP(F411,'Customer Info'!$A:$B,2,0)</f>
        <v>Michael</v>
      </c>
      <c r="H411" s="6" t="str">
        <f>VLOOKUP(F411,'Customer Info'!$A$1:$C$501,3,0)</f>
        <v>Nguyen</v>
      </c>
      <c r="I411" s="6" t="str">
        <f>VLOOKUP(F411,Customer,5,0)</f>
        <v>Berlin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21175</v>
      </c>
      <c r="O411" s="2">
        <v>35</v>
      </c>
      <c r="P411" s="8">
        <f t="shared" si="32"/>
        <v>21210</v>
      </c>
      <c r="Q411" s="8">
        <f t="shared" si="33"/>
        <v>1001</v>
      </c>
      <c r="R411" s="2" t="s">
        <v>50</v>
      </c>
      <c r="S411" s="24">
        <f t="shared" si="34"/>
        <v>0.05</v>
      </c>
    </row>
    <row r="412" spans="1:19" x14ac:dyDescent="0.25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VLOOKUP(F412,'Customer Info'!$A:$B,2,0)</f>
        <v>Brian</v>
      </c>
      <c r="H412" s="6" t="str">
        <f>VLOOKUP(F412,'Customer Info'!$A$1:$C$501,3,0)</f>
        <v>Stugart</v>
      </c>
      <c r="I412" s="6" t="str">
        <f>VLOOKUP(F412,Customer,5,0)</f>
        <v>Jakarta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2037</v>
      </c>
      <c r="O412" s="2">
        <v>35</v>
      </c>
      <c r="P412" s="8">
        <f t="shared" si="32"/>
        <v>2072</v>
      </c>
      <c r="Q412" s="8">
        <f t="shared" si="33"/>
        <v>75</v>
      </c>
      <c r="R412" s="2" t="s">
        <v>28</v>
      </c>
      <c r="S412" s="24">
        <f t="shared" si="34"/>
        <v>0.02</v>
      </c>
    </row>
    <row r="413" spans="1:19" x14ac:dyDescent="0.25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VLOOKUP(F413,'Customer Info'!$A:$B,2,0)</f>
        <v>Craig</v>
      </c>
      <c r="H413" s="6" t="str">
        <f>VLOOKUP(F413,'Customer Info'!$A$1:$C$501,3,0)</f>
        <v>Carreira</v>
      </c>
      <c r="I413" s="6" t="str">
        <f>VLOOKUP(F413,Customer,5,0)</f>
        <v>Worms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2501</v>
      </c>
      <c r="O413" s="2">
        <v>57</v>
      </c>
      <c r="P413" s="8">
        <f t="shared" si="32"/>
        <v>2558</v>
      </c>
      <c r="Q413" s="8">
        <f t="shared" si="33"/>
        <v>140</v>
      </c>
      <c r="R413" s="2" t="s">
        <v>26</v>
      </c>
      <c r="S413" s="24">
        <f t="shared" si="34"/>
        <v>0.02</v>
      </c>
    </row>
    <row r="414" spans="1:19" x14ac:dyDescent="0.25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VLOOKUP(F414,'Customer Info'!$A:$B,2,0)</f>
        <v>Ben</v>
      </c>
      <c r="H414" s="6" t="str">
        <f>VLOOKUP(F414,'Customer Info'!$A$1:$C$501,3,0)</f>
        <v>Peterman</v>
      </c>
      <c r="I414" s="6" t="str">
        <f>VLOOKUP(F414,Customer,5,0)</f>
        <v>Bielefeld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525</v>
      </c>
      <c r="O414" s="2">
        <v>30</v>
      </c>
      <c r="P414" s="8">
        <f t="shared" si="32"/>
        <v>555</v>
      </c>
      <c r="Q414" s="8">
        <f t="shared" si="33"/>
        <v>51</v>
      </c>
      <c r="R414" s="2" t="s">
        <v>50</v>
      </c>
      <c r="S414" s="24">
        <f t="shared" si="34"/>
        <v>0.02</v>
      </c>
    </row>
    <row r="415" spans="1:19" x14ac:dyDescent="0.25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VLOOKUP(F415,'Customer Info'!$A:$B,2,0)</f>
        <v>Harold</v>
      </c>
      <c r="H415" s="6" t="str">
        <f>VLOOKUP(F415,'Customer Info'!$A$1:$C$501,3,0)</f>
        <v>Engle</v>
      </c>
      <c r="I415" s="6" t="str">
        <f>VLOOKUP(F415,Customer,5,0)</f>
        <v>Chennai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1253</v>
      </c>
      <c r="O415" s="2">
        <v>30</v>
      </c>
      <c r="P415" s="8">
        <f t="shared" si="32"/>
        <v>1283</v>
      </c>
      <c r="Q415" s="8">
        <f t="shared" si="33"/>
        <v>91</v>
      </c>
      <c r="R415" s="2" t="s">
        <v>28</v>
      </c>
      <c r="S415" s="24">
        <f t="shared" si="34"/>
        <v>0.02</v>
      </c>
    </row>
    <row r="416" spans="1:19" x14ac:dyDescent="0.25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VLOOKUP(F416,'Customer Info'!$A:$B,2,0)</f>
        <v>Karen</v>
      </c>
      <c r="H416" s="6" t="str">
        <f>VLOOKUP(F416,'Customer Info'!$A$1:$C$501,3,0)</f>
        <v>Daniels</v>
      </c>
      <c r="I416" s="6" t="str">
        <f>VLOOKUP(F416,Customer,5,0)</f>
        <v>Jiutai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11445</v>
      </c>
      <c r="O416" s="2">
        <v>41</v>
      </c>
      <c r="P416" s="8">
        <f t="shared" si="32"/>
        <v>11486</v>
      </c>
      <c r="Q416" s="8">
        <f t="shared" si="33"/>
        <v>434</v>
      </c>
      <c r="R416" s="2" t="s">
        <v>28</v>
      </c>
      <c r="S416" s="24">
        <f t="shared" si="34"/>
        <v>0.05</v>
      </c>
    </row>
    <row r="417" spans="1:19" x14ac:dyDescent="0.25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VLOOKUP(F417,'Customer Info'!$A:$B,2,0)</f>
        <v>Dianna</v>
      </c>
      <c r="H417" s="6" t="str">
        <f>VLOOKUP(F417,'Customer Info'!$A$1:$C$501,3,0)</f>
        <v>Vittorini</v>
      </c>
      <c r="I417" s="6" t="str">
        <f>VLOOKUP(F417,Customer,5,0)</f>
        <v>Cottbus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19384</v>
      </c>
      <c r="O417" s="2">
        <v>94</v>
      </c>
      <c r="P417" s="8">
        <f t="shared" si="32"/>
        <v>19478</v>
      </c>
      <c r="Q417" s="8">
        <f t="shared" si="33"/>
        <v>1416</v>
      </c>
      <c r="R417" s="2" t="s">
        <v>28</v>
      </c>
      <c r="S417" s="24">
        <f t="shared" si="34"/>
        <v>0.05</v>
      </c>
    </row>
    <row r="418" spans="1:19" x14ac:dyDescent="0.25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VLOOKUP(F418,'Customer Info'!$A:$B,2,0)</f>
        <v>David</v>
      </c>
      <c r="H418" s="6" t="str">
        <f>VLOOKUP(F418,'Customer Info'!$A$1:$C$501,3,0)</f>
        <v>Smith</v>
      </c>
      <c r="I418" s="6" t="str">
        <f>VLOOKUP(F418,Customer,5,0)</f>
        <v>Surat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15708</v>
      </c>
      <c r="O418" s="2">
        <v>77</v>
      </c>
      <c r="P418" s="8">
        <f t="shared" si="32"/>
        <v>15785</v>
      </c>
      <c r="Q418" s="8">
        <f t="shared" si="33"/>
        <v>707</v>
      </c>
      <c r="R418" s="2" t="s">
        <v>50</v>
      </c>
      <c r="S418" s="24">
        <f t="shared" si="34"/>
        <v>0.05</v>
      </c>
    </row>
    <row r="419" spans="1:19" x14ac:dyDescent="0.25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VLOOKUP(F419,'Customer Info'!$A:$B,2,0)</f>
        <v>Jim</v>
      </c>
      <c r="H419" s="6" t="str">
        <f>VLOOKUP(F419,'Customer Info'!$A$1:$C$501,3,0)</f>
        <v>Epp</v>
      </c>
      <c r="I419" s="6" t="str">
        <f>VLOOKUP(F419,Customer,5,0)</f>
        <v>Qingdao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5052</v>
      </c>
      <c r="O419" s="2">
        <v>84</v>
      </c>
      <c r="P419" s="8">
        <f t="shared" si="32"/>
        <v>5136</v>
      </c>
      <c r="Q419" s="8">
        <f t="shared" si="33"/>
        <v>236</v>
      </c>
      <c r="R419" s="2" t="s">
        <v>50</v>
      </c>
      <c r="S419" s="24">
        <f t="shared" si="34"/>
        <v>0.05</v>
      </c>
    </row>
    <row r="420" spans="1:19" x14ac:dyDescent="0.25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VLOOKUP(F420,'Customer Info'!$A:$B,2,0)</f>
        <v>Roger</v>
      </c>
      <c r="H420" s="6" t="str">
        <f>VLOOKUP(F420,'Customer Info'!$A$1:$C$501,3,0)</f>
        <v>Demir</v>
      </c>
      <c r="I420" s="6" t="str">
        <f>VLOOKUP(F420,Customer,5,0)</f>
        <v>Wollongong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932</v>
      </c>
      <c r="O420" s="2">
        <v>87</v>
      </c>
      <c r="P420" s="8">
        <f t="shared" si="32"/>
        <v>1019</v>
      </c>
      <c r="Q420" s="8">
        <f t="shared" si="33"/>
        <v>94</v>
      </c>
      <c r="R420" s="2" t="s">
        <v>28</v>
      </c>
      <c r="S420" s="24">
        <f t="shared" si="34"/>
        <v>0.02</v>
      </c>
    </row>
    <row r="421" spans="1:19" x14ac:dyDescent="0.25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VLOOKUP(F421,'Customer Info'!$A:$B,2,0)</f>
        <v>Toby</v>
      </c>
      <c r="H421" s="6" t="str">
        <f>VLOOKUP(F421,'Customer Info'!$A$1:$C$501,3,0)</f>
        <v>Gnade</v>
      </c>
      <c r="I421" s="6" t="str">
        <f>VLOOKUP(F421,Customer,5,0)</f>
        <v>Wagga Wagga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1113</v>
      </c>
      <c r="O421" s="2">
        <v>89</v>
      </c>
      <c r="P421" s="8">
        <f t="shared" si="32"/>
        <v>1202</v>
      </c>
      <c r="Q421" s="8">
        <f t="shared" si="33"/>
        <v>73</v>
      </c>
      <c r="R421" s="2" t="s">
        <v>50</v>
      </c>
      <c r="S421" s="24">
        <f t="shared" si="34"/>
        <v>0.02</v>
      </c>
    </row>
    <row r="422" spans="1:19" x14ac:dyDescent="0.25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VLOOKUP(F422,'Customer Info'!$A:$B,2,0)</f>
        <v>Vivek</v>
      </c>
      <c r="H422" s="6" t="str">
        <f>VLOOKUP(F422,'Customer Info'!$A$1:$C$501,3,0)</f>
        <v>Sundaresam</v>
      </c>
      <c r="I422" s="6" t="str">
        <f>VLOOKUP(F422,Customer,5,0)</f>
        <v>Hamburg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1833</v>
      </c>
      <c r="O422" s="2">
        <v>30</v>
      </c>
      <c r="P422" s="8">
        <f t="shared" si="32"/>
        <v>1863</v>
      </c>
      <c r="Q422" s="8">
        <f t="shared" si="33"/>
        <v>130</v>
      </c>
      <c r="R422" s="2" t="s">
        <v>28</v>
      </c>
      <c r="S422" s="24">
        <f t="shared" si="34"/>
        <v>0.02</v>
      </c>
    </row>
    <row r="423" spans="1:19" x14ac:dyDescent="0.25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VLOOKUP(F423,'Customer Info'!$A:$B,2,0)</f>
        <v>Brooke</v>
      </c>
      <c r="H423" s="6" t="str">
        <f>VLOOKUP(F423,'Customer Info'!$A$1:$C$501,3,0)</f>
        <v>Gillingham</v>
      </c>
      <c r="I423" s="6" t="str">
        <f>VLOOKUP(F423,Customer,5,0)</f>
        <v>Geraldton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1670</v>
      </c>
      <c r="O423" s="2">
        <v>96</v>
      </c>
      <c r="P423" s="8">
        <f t="shared" si="32"/>
        <v>1766</v>
      </c>
      <c r="Q423" s="8">
        <f t="shared" si="33"/>
        <v>78</v>
      </c>
      <c r="R423" s="2" t="s">
        <v>28</v>
      </c>
      <c r="S423" s="24">
        <f t="shared" si="34"/>
        <v>0.02</v>
      </c>
    </row>
    <row r="424" spans="1:19" x14ac:dyDescent="0.25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VLOOKUP(F424,'Customer Info'!$A:$B,2,0)</f>
        <v>Valerie</v>
      </c>
      <c r="H424" s="6" t="str">
        <f>VLOOKUP(F424,'Customer Info'!$A$1:$C$501,3,0)</f>
        <v>Takahito</v>
      </c>
      <c r="I424" s="6" t="str">
        <f>VLOOKUP(F424,Customer,5,0)</f>
        <v>Surat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8118</v>
      </c>
      <c r="O424" s="2">
        <v>79</v>
      </c>
      <c r="P424" s="8">
        <f t="shared" si="32"/>
        <v>8197</v>
      </c>
      <c r="Q424" s="8">
        <f t="shared" si="33"/>
        <v>459</v>
      </c>
      <c r="R424" s="2" t="s">
        <v>26</v>
      </c>
      <c r="S424" s="24">
        <f t="shared" si="34"/>
        <v>0.05</v>
      </c>
    </row>
    <row r="425" spans="1:19" x14ac:dyDescent="0.25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VLOOKUP(F425,'Customer Info'!$A:$B,2,0)</f>
        <v>Evan</v>
      </c>
      <c r="H425" s="6" t="str">
        <f>VLOOKUP(F425,'Customer Info'!$A$1:$C$501,3,0)</f>
        <v>Bailliet</v>
      </c>
      <c r="I425" s="6" t="str">
        <f>VLOOKUP(F425,Customer,5,0)</f>
        <v>Brisbane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2492</v>
      </c>
      <c r="O425" s="2">
        <v>22</v>
      </c>
      <c r="P425" s="8">
        <f t="shared" si="32"/>
        <v>2514</v>
      </c>
      <c r="Q425" s="8">
        <f t="shared" si="33"/>
        <v>164</v>
      </c>
      <c r="R425" s="2" t="s">
        <v>28</v>
      </c>
      <c r="S425" s="24">
        <f t="shared" si="34"/>
        <v>0.02</v>
      </c>
    </row>
    <row r="426" spans="1:19" x14ac:dyDescent="0.25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VLOOKUP(F426,'Customer Info'!$A:$B,2,0)</f>
        <v>Yana</v>
      </c>
      <c r="H426" s="6" t="str">
        <f>VLOOKUP(F426,'Customer Info'!$A$1:$C$501,3,0)</f>
        <v>Sorensen</v>
      </c>
      <c r="I426" s="6" t="str">
        <f>VLOOKUP(F426,Customer,5,0)</f>
        <v>Hangzhou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16984</v>
      </c>
      <c r="O426" s="2">
        <v>77</v>
      </c>
      <c r="P426" s="8">
        <f t="shared" si="32"/>
        <v>17061</v>
      </c>
      <c r="Q426" s="8">
        <f t="shared" si="33"/>
        <v>1556</v>
      </c>
      <c r="R426" s="2" t="s">
        <v>28</v>
      </c>
      <c r="S426" s="24">
        <f t="shared" si="34"/>
        <v>0.05</v>
      </c>
    </row>
    <row r="427" spans="1:19" x14ac:dyDescent="0.25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VLOOKUP(F427,'Customer Info'!$A:$B,2,0)</f>
        <v>Bill</v>
      </c>
      <c r="H427" s="6" t="str">
        <f>VLOOKUP(F427,'Customer Info'!$A$1:$C$501,3,0)</f>
        <v>Eplett</v>
      </c>
      <c r="I427" s="6" t="str">
        <f>VLOOKUP(F427,Customer,5,0)</f>
        <v>Newcastle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44345</v>
      </c>
      <c r="O427" s="2">
        <v>88</v>
      </c>
      <c r="P427" s="8">
        <f t="shared" si="32"/>
        <v>44433</v>
      </c>
      <c r="Q427" s="8">
        <f t="shared" si="33"/>
        <v>4815</v>
      </c>
      <c r="R427" s="2" t="s">
        <v>28</v>
      </c>
      <c r="S427" s="24">
        <f t="shared" si="34"/>
        <v>7.0000000000000007E-2</v>
      </c>
    </row>
    <row r="428" spans="1:19" x14ac:dyDescent="0.25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VLOOKUP(F428,'Customer Info'!$A:$B,2,0)</f>
        <v>Lisa</v>
      </c>
      <c r="H428" s="6" t="str">
        <f>VLOOKUP(F428,'Customer Info'!$A$1:$C$501,3,0)</f>
        <v>DeCherney</v>
      </c>
      <c r="I428" s="6" t="str">
        <f>VLOOKUP(F428,Customer,5,0)</f>
        <v>Ningbo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9625</v>
      </c>
      <c r="O428" s="2">
        <v>30</v>
      </c>
      <c r="P428" s="8">
        <f t="shared" si="32"/>
        <v>9655</v>
      </c>
      <c r="Q428" s="8">
        <f t="shared" si="33"/>
        <v>455</v>
      </c>
      <c r="R428" s="2" t="s">
        <v>28</v>
      </c>
      <c r="S428" s="24">
        <f t="shared" si="34"/>
        <v>0.05</v>
      </c>
    </row>
    <row r="429" spans="1:19" x14ac:dyDescent="0.25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VLOOKUP(F429,'Customer Info'!$A:$B,2,0)</f>
        <v>Resi</v>
      </c>
      <c r="H429" s="6" t="str">
        <f>VLOOKUP(F429,'Customer Info'!$A$1:$C$501,3,0)</f>
        <v>Pšlking</v>
      </c>
      <c r="I429" s="6" t="str">
        <f>VLOOKUP(F429,Customer,5,0)</f>
        <v>Gelsenkirchen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3174</v>
      </c>
      <c r="O429" s="2">
        <v>93</v>
      </c>
      <c r="P429" s="8">
        <f t="shared" si="32"/>
        <v>3267</v>
      </c>
      <c r="Q429" s="8">
        <f t="shared" si="33"/>
        <v>318</v>
      </c>
      <c r="R429" s="2" t="s">
        <v>28</v>
      </c>
      <c r="S429" s="24">
        <f t="shared" si="34"/>
        <v>0.02</v>
      </c>
    </row>
    <row r="430" spans="1:19" x14ac:dyDescent="0.25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VLOOKUP(F430,'Customer Info'!$A:$B,2,0)</f>
        <v>Natalie</v>
      </c>
      <c r="H430" s="6" t="str">
        <f>VLOOKUP(F430,'Customer Info'!$A$1:$C$501,3,0)</f>
        <v>Webber</v>
      </c>
      <c r="I430" s="6" t="str">
        <f>VLOOKUP(F430,Customer,5,0)</f>
        <v>Ningbo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9692</v>
      </c>
      <c r="O430" s="2">
        <v>93</v>
      </c>
      <c r="P430" s="8">
        <f t="shared" si="32"/>
        <v>9785</v>
      </c>
      <c r="Q430" s="8">
        <f t="shared" si="33"/>
        <v>708</v>
      </c>
      <c r="R430" s="2" t="s">
        <v>26</v>
      </c>
      <c r="S430" s="24">
        <f t="shared" si="34"/>
        <v>0.05</v>
      </c>
    </row>
    <row r="431" spans="1:19" x14ac:dyDescent="0.25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VLOOKUP(F431,'Customer Info'!$A:$B,2,0)</f>
        <v>Ann</v>
      </c>
      <c r="H431" s="6" t="str">
        <f>VLOOKUP(F431,'Customer Info'!$A$1:$C$501,3,0)</f>
        <v>Chong</v>
      </c>
      <c r="I431" s="6" t="str">
        <f>VLOOKUP(F431,Customer,5,0)</f>
        <v>Sydney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13024</v>
      </c>
      <c r="O431" s="2">
        <v>77</v>
      </c>
      <c r="P431" s="8">
        <f t="shared" si="32"/>
        <v>13101</v>
      </c>
      <c r="Q431" s="8">
        <f t="shared" si="33"/>
        <v>848</v>
      </c>
      <c r="R431" s="2" t="s">
        <v>26</v>
      </c>
      <c r="S431" s="24">
        <f t="shared" si="34"/>
        <v>0.05</v>
      </c>
    </row>
    <row r="432" spans="1:19" x14ac:dyDescent="0.25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VLOOKUP(F432,'Customer Info'!$A:$B,2,0)</f>
        <v>Hunter</v>
      </c>
      <c r="H432" s="6" t="str">
        <f>VLOOKUP(F432,'Customer Info'!$A$1:$C$501,3,0)</f>
        <v>Lopez</v>
      </c>
      <c r="I432" s="6" t="str">
        <f>VLOOKUP(F432,Customer,5,0)</f>
        <v>Wollongong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1050</v>
      </c>
      <c r="O432" s="2">
        <v>30</v>
      </c>
      <c r="P432" s="8">
        <f t="shared" si="32"/>
        <v>1080</v>
      </c>
      <c r="Q432" s="8">
        <f t="shared" si="33"/>
        <v>102</v>
      </c>
      <c r="R432" s="2" t="s">
        <v>50</v>
      </c>
      <c r="S432" s="24">
        <f t="shared" si="34"/>
        <v>0.02</v>
      </c>
    </row>
    <row r="433" spans="1:19" x14ac:dyDescent="0.25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VLOOKUP(F433,'Customer Info'!$A:$B,2,0)</f>
        <v>Cathy</v>
      </c>
      <c r="H433" s="6" t="str">
        <f>VLOOKUP(F433,'Customer Info'!$A$1:$C$501,3,0)</f>
        <v>Hwang</v>
      </c>
      <c r="I433" s="6" t="str">
        <f>VLOOKUP(F433,Customer,5,0)</f>
        <v>Trier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4888</v>
      </c>
      <c r="O433" s="2">
        <v>54</v>
      </c>
      <c r="P433" s="8">
        <f t="shared" si="32"/>
        <v>4942</v>
      </c>
      <c r="Q433" s="8">
        <f t="shared" si="33"/>
        <v>140</v>
      </c>
      <c r="R433" s="2" t="s">
        <v>28</v>
      </c>
      <c r="S433" s="24">
        <f t="shared" si="34"/>
        <v>0.02</v>
      </c>
    </row>
    <row r="434" spans="1:19" x14ac:dyDescent="0.25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VLOOKUP(F434,'Customer Info'!$A:$B,2,0)</f>
        <v>Erica</v>
      </c>
      <c r="H434" s="6" t="str">
        <f>VLOOKUP(F434,'Customer Info'!$A$1:$C$501,3,0)</f>
        <v>Hernandez</v>
      </c>
      <c r="I434" s="6" t="str">
        <f>VLOOKUP(F434,Customer,5,0)</f>
        <v>Gold Coast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4761</v>
      </c>
      <c r="O434" s="2">
        <v>29</v>
      </c>
      <c r="P434" s="8">
        <f t="shared" si="32"/>
        <v>4790</v>
      </c>
      <c r="Q434" s="8">
        <f t="shared" si="33"/>
        <v>477</v>
      </c>
      <c r="R434" s="2" t="s">
        <v>28</v>
      </c>
      <c r="S434" s="24">
        <f t="shared" si="34"/>
        <v>0.02</v>
      </c>
    </row>
    <row r="435" spans="1:19" x14ac:dyDescent="0.25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VLOOKUP(F435,'Customer Info'!$A:$B,2,0)</f>
        <v>Randy</v>
      </c>
      <c r="H435" s="6" t="str">
        <f>VLOOKUP(F435,'Customer Info'!$A$1:$C$501,3,0)</f>
        <v>Ferguson</v>
      </c>
      <c r="I435" s="6" t="str">
        <f>VLOOKUP(F435,Customer,5,0)</f>
        <v>Adelaide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423</v>
      </c>
      <c r="O435" s="2">
        <v>30</v>
      </c>
      <c r="P435" s="8">
        <f t="shared" si="32"/>
        <v>453</v>
      </c>
      <c r="Q435" s="8">
        <f t="shared" si="33"/>
        <v>30</v>
      </c>
      <c r="R435" s="2" t="s">
        <v>28</v>
      </c>
      <c r="S435" s="24">
        <f t="shared" si="34"/>
        <v>0.02</v>
      </c>
    </row>
    <row r="436" spans="1:19" x14ac:dyDescent="0.25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VLOOKUP(F436,'Customer Info'!$A:$B,2,0)</f>
        <v>Kristina</v>
      </c>
      <c r="H436" s="6" t="str">
        <f>VLOOKUP(F436,'Customer Info'!$A$1:$C$501,3,0)</f>
        <v>Nunn</v>
      </c>
      <c r="I436" s="6" t="str">
        <f>VLOOKUP(F436,Customer,5,0)</f>
        <v>Jakarta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3302</v>
      </c>
      <c r="O436" s="2">
        <v>30</v>
      </c>
      <c r="P436" s="8">
        <f t="shared" si="32"/>
        <v>3332</v>
      </c>
      <c r="Q436" s="8">
        <f t="shared" si="33"/>
        <v>94</v>
      </c>
      <c r="R436" s="2" t="s">
        <v>28</v>
      </c>
      <c r="S436" s="24">
        <f t="shared" si="34"/>
        <v>0.02</v>
      </c>
    </row>
    <row r="437" spans="1:19" x14ac:dyDescent="0.25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VLOOKUP(F437,'Customer Info'!$A:$B,2,0)</f>
        <v>James</v>
      </c>
      <c r="H437" s="6" t="str">
        <f>VLOOKUP(F437,'Customer Info'!$A$1:$C$501,3,0)</f>
        <v>Lanier</v>
      </c>
      <c r="I437" s="6" t="str">
        <f>VLOOKUP(F437,Customer,5,0)</f>
        <v>Dortmund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1088</v>
      </c>
      <c r="O437" s="2">
        <v>30</v>
      </c>
      <c r="P437" s="8">
        <f t="shared" si="32"/>
        <v>1118</v>
      </c>
      <c r="Q437" s="8">
        <f t="shared" si="33"/>
        <v>48</v>
      </c>
      <c r="R437" s="2" t="s">
        <v>50</v>
      </c>
      <c r="S437" s="24">
        <f t="shared" si="34"/>
        <v>0.02</v>
      </c>
    </row>
    <row r="438" spans="1:19" x14ac:dyDescent="0.25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VLOOKUP(F438,'Customer Info'!$A:$B,2,0)</f>
        <v>Darren</v>
      </c>
      <c r="H438" s="6" t="str">
        <f>VLOOKUP(F438,'Customer Info'!$A$1:$C$501,3,0)</f>
        <v>Budd</v>
      </c>
      <c r="I438" s="6" t="str">
        <f>VLOOKUP(F438,Customer,5,0)</f>
        <v>Regensburg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6726</v>
      </c>
      <c r="O438" s="2">
        <v>60</v>
      </c>
      <c r="P438" s="8">
        <f t="shared" si="32"/>
        <v>6786</v>
      </c>
      <c r="Q438" s="8">
        <f t="shared" si="33"/>
        <v>501</v>
      </c>
      <c r="R438" s="2" t="s">
        <v>28</v>
      </c>
      <c r="S438" s="24">
        <f t="shared" si="34"/>
        <v>0.05</v>
      </c>
    </row>
    <row r="439" spans="1:19" x14ac:dyDescent="0.25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VLOOKUP(F439,'Customer Info'!$A:$B,2,0)</f>
        <v>Dave</v>
      </c>
      <c r="H439" s="6" t="str">
        <f>VLOOKUP(F439,'Customer Info'!$A$1:$C$501,3,0)</f>
        <v>Poirier</v>
      </c>
      <c r="I439" s="6" t="str">
        <f>VLOOKUP(F439,Customer,5,0)</f>
        <v>Changchun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37712</v>
      </c>
      <c r="O439" s="2">
        <v>75</v>
      </c>
      <c r="P439" s="8">
        <f t="shared" si="32"/>
        <v>37787</v>
      </c>
      <c r="Q439" s="8">
        <f t="shared" si="33"/>
        <v>3128</v>
      </c>
      <c r="R439" s="2" t="s">
        <v>28</v>
      </c>
      <c r="S439" s="24">
        <f t="shared" si="34"/>
        <v>7.0000000000000007E-2</v>
      </c>
    </row>
    <row r="440" spans="1:19" x14ac:dyDescent="0.25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VLOOKUP(F440,'Customer Info'!$A:$B,2,0)</f>
        <v>Kristina</v>
      </c>
      <c r="H440" s="6" t="str">
        <f>VLOOKUP(F440,'Customer Info'!$A$1:$C$501,3,0)</f>
        <v>Nunn</v>
      </c>
      <c r="I440" s="6" t="str">
        <f>VLOOKUP(F440,Customer,5,0)</f>
        <v>Sydney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30632</v>
      </c>
      <c r="O440" s="2">
        <v>56</v>
      </c>
      <c r="P440" s="8">
        <f t="shared" si="32"/>
        <v>30688</v>
      </c>
      <c r="Q440" s="8">
        <f t="shared" si="33"/>
        <v>2528</v>
      </c>
      <c r="R440" s="2" t="s">
        <v>50</v>
      </c>
      <c r="S440" s="24">
        <f t="shared" si="34"/>
        <v>7.0000000000000007E-2</v>
      </c>
    </row>
    <row r="441" spans="1:19" x14ac:dyDescent="0.25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VLOOKUP(F441,'Customer Info'!$A:$B,2,0)</f>
        <v>Roger</v>
      </c>
      <c r="H441" s="6" t="str">
        <f>VLOOKUP(F441,'Customer Info'!$A$1:$C$501,3,0)</f>
        <v>Barcio</v>
      </c>
      <c r="I441" s="6" t="str">
        <f>VLOOKUP(F441,Customer,5,0)</f>
        <v>Celle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5556</v>
      </c>
      <c r="O441" s="2">
        <v>36</v>
      </c>
      <c r="P441" s="8">
        <f t="shared" si="32"/>
        <v>5592</v>
      </c>
      <c r="Q441" s="8">
        <f t="shared" si="33"/>
        <v>410</v>
      </c>
      <c r="R441" s="2" t="s">
        <v>28</v>
      </c>
      <c r="S441" s="24">
        <f t="shared" si="34"/>
        <v>0.05</v>
      </c>
    </row>
    <row r="442" spans="1:19" x14ac:dyDescent="0.25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VLOOKUP(F442,'Customer Info'!$A:$B,2,0)</f>
        <v>Philisse</v>
      </c>
      <c r="H442" s="6" t="str">
        <f>VLOOKUP(F442,'Customer Info'!$A$1:$C$501,3,0)</f>
        <v>Overcash</v>
      </c>
      <c r="I442" s="6" t="str">
        <f>VLOOKUP(F442,Customer,5,0)</f>
        <v>Devonport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15960</v>
      </c>
      <c r="O442" s="2">
        <v>58</v>
      </c>
      <c r="P442" s="8">
        <f t="shared" si="32"/>
        <v>16018</v>
      </c>
      <c r="Q442" s="8">
        <f t="shared" si="33"/>
        <v>905</v>
      </c>
      <c r="R442" s="2" t="s">
        <v>28</v>
      </c>
      <c r="S442" s="24">
        <f t="shared" si="34"/>
        <v>0.05</v>
      </c>
    </row>
    <row r="443" spans="1:19" x14ac:dyDescent="0.25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VLOOKUP(F443,'Customer Info'!$A:$B,2,0)</f>
        <v>Jennifer</v>
      </c>
      <c r="H443" s="6" t="str">
        <f>VLOOKUP(F443,'Customer Info'!$A$1:$C$501,3,0)</f>
        <v>Halladay</v>
      </c>
      <c r="I443" s="6" t="str">
        <f>VLOOKUP(F443,Customer,5,0)</f>
        <v>Bielefeld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9672</v>
      </c>
      <c r="O443" s="2">
        <v>39</v>
      </c>
      <c r="P443" s="8">
        <f t="shared" si="32"/>
        <v>9711</v>
      </c>
      <c r="Q443" s="8">
        <f t="shared" si="33"/>
        <v>720</v>
      </c>
      <c r="R443" s="2" t="s">
        <v>28</v>
      </c>
      <c r="S443" s="24">
        <f t="shared" si="34"/>
        <v>0.05</v>
      </c>
    </row>
    <row r="444" spans="1:19" x14ac:dyDescent="0.25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VLOOKUP(F444,'Customer Info'!$A:$B,2,0)</f>
        <v>David</v>
      </c>
      <c r="H444" s="6" t="str">
        <f>VLOOKUP(F444,'Customer Info'!$A$1:$C$501,3,0)</f>
        <v>Philippe</v>
      </c>
      <c r="I444" s="6" t="str">
        <f>VLOOKUP(F444,Customer,5,0)</f>
        <v>Hamburg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3270</v>
      </c>
      <c r="O444" s="2">
        <v>93</v>
      </c>
      <c r="P444" s="8">
        <f t="shared" si="32"/>
        <v>3363</v>
      </c>
      <c r="Q444" s="8">
        <f t="shared" si="33"/>
        <v>124</v>
      </c>
      <c r="R444" s="2" t="s">
        <v>50</v>
      </c>
      <c r="S444" s="24">
        <f t="shared" si="34"/>
        <v>0.02</v>
      </c>
    </row>
    <row r="445" spans="1:19" x14ac:dyDescent="0.25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VLOOKUP(F445,'Customer Info'!$A:$B,2,0)</f>
        <v>Troy</v>
      </c>
      <c r="H445" s="6" t="str">
        <f>VLOOKUP(F445,'Customer Info'!$A$1:$C$501,3,0)</f>
        <v>Staebel</v>
      </c>
      <c r="I445" s="6" t="str">
        <f>VLOOKUP(F445,Customer,5,0)</f>
        <v>Canberra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1572</v>
      </c>
      <c r="O445" s="2">
        <v>65</v>
      </c>
      <c r="P445" s="8">
        <f t="shared" si="32"/>
        <v>1637</v>
      </c>
      <c r="Q445" s="8">
        <f t="shared" si="33"/>
        <v>76</v>
      </c>
      <c r="R445" s="2" t="s">
        <v>26</v>
      </c>
      <c r="S445" s="24">
        <f t="shared" si="34"/>
        <v>0.02</v>
      </c>
    </row>
    <row r="446" spans="1:19" x14ac:dyDescent="0.25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VLOOKUP(F446,'Customer Info'!$A:$B,2,0)</f>
        <v>Fred</v>
      </c>
      <c r="H446" s="6" t="str">
        <f>VLOOKUP(F446,'Customer Info'!$A$1:$C$501,3,0)</f>
        <v>Hopkins</v>
      </c>
      <c r="I446" s="6" t="str">
        <f>VLOOKUP(F446,Customer,5,0)</f>
        <v>Sydney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10626</v>
      </c>
      <c r="O446" s="2">
        <v>58</v>
      </c>
      <c r="P446" s="8">
        <f t="shared" si="32"/>
        <v>10684</v>
      </c>
      <c r="Q446" s="8">
        <f t="shared" si="33"/>
        <v>882</v>
      </c>
      <c r="R446" s="2" t="s">
        <v>56</v>
      </c>
      <c r="S446" s="24">
        <f t="shared" si="34"/>
        <v>0.05</v>
      </c>
    </row>
    <row r="447" spans="1:19" x14ac:dyDescent="0.25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VLOOKUP(F447,'Customer Info'!$A:$B,2,0)</f>
        <v>Claire</v>
      </c>
      <c r="H447" s="6" t="str">
        <f>VLOOKUP(F447,'Customer Info'!$A$1:$C$501,3,0)</f>
        <v>Gute</v>
      </c>
      <c r="I447" s="6" t="str">
        <f>VLOOKUP(F447,Customer,5,0)</f>
        <v>Worms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9528</v>
      </c>
      <c r="O447" s="2">
        <v>80</v>
      </c>
      <c r="P447" s="8">
        <f t="shared" si="32"/>
        <v>9608</v>
      </c>
      <c r="Q447" s="8">
        <f t="shared" si="33"/>
        <v>180</v>
      </c>
      <c r="R447" s="2" t="s">
        <v>26</v>
      </c>
      <c r="S447" s="24">
        <f t="shared" si="34"/>
        <v>0.05</v>
      </c>
    </row>
    <row r="448" spans="1:19" x14ac:dyDescent="0.25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VLOOKUP(F448,'Customer Info'!$A:$B,2,0)</f>
        <v>John</v>
      </c>
      <c r="H448" s="6" t="str">
        <f>VLOOKUP(F448,'Customer Info'!$A$1:$C$501,3,0)</f>
        <v>Huston</v>
      </c>
      <c r="I448" s="6" t="str">
        <f>VLOOKUP(F448,Customer,5,0)</f>
        <v>Jena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2206</v>
      </c>
      <c r="O448" s="2">
        <v>22</v>
      </c>
      <c r="P448" s="8">
        <f t="shared" si="32"/>
        <v>2228</v>
      </c>
      <c r="Q448" s="8">
        <f t="shared" si="33"/>
        <v>146</v>
      </c>
      <c r="R448" s="2" t="s">
        <v>28</v>
      </c>
      <c r="S448" s="24">
        <f t="shared" si="34"/>
        <v>0.02</v>
      </c>
    </row>
    <row r="449" spans="1:19" x14ac:dyDescent="0.25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VLOOKUP(F449,'Customer Info'!$A:$B,2,0)</f>
        <v>Rachel</v>
      </c>
      <c r="H449" s="6" t="str">
        <f>VLOOKUP(F449,'Customer Info'!$A$1:$C$501,3,0)</f>
        <v>Payne</v>
      </c>
      <c r="I449" s="6" t="str">
        <f>VLOOKUP(F449,Customer,5,0)</f>
        <v>Mianyang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22435</v>
      </c>
      <c r="O449" s="2">
        <v>62</v>
      </c>
      <c r="P449" s="8">
        <f t="shared" si="32"/>
        <v>22497</v>
      </c>
      <c r="Q449" s="8">
        <f t="shared" si="33"/>
        <v>1430</v>
      </c>
      <c r="R449" s="2" t="s">
        <v>50</v>
      </c>
      <c r="S449" s="24">
        <f t="shared" si="34"/>
        <v>0.05</v>
      </c>
    </row>
    <row r="450" spans="1:19" x14ac:dyDescent="0.25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VLOOKUP(F450,'Customer Info'!$A:$B,2,0)</f>
        <v>Sonia</v>
      </c>
      <c r="H450" s="6" t="str">
        <f>VLOOKUP(F450,'Customer Info'!$A$1:$C$501,3,0)</f>
        <v>Sunley</v>
      </c>
      <c r="I450" s="6" t="str">
        <f>VLOOKUP(F450,Customer,5,0)</f>
        <v>Canberra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6048</v>
      </c>
      <c r="O450" s="2">
        <v>91</v>
      </c>
      <c r="P450" s="8">
        <f t="shared" si="32"/>
        <v>6139</v>
      </c>
      <c r="Q450" s="8">
        <f t="shared" si="33"/>
        <v>60</v>
      </c>
      <c r="R450" s="2" t="s">
        <v>50</v>
      </c>
      <c r="S450" s="24">
        <f t="shared" si="34"/>
        <v>0.05</v>
      </c>
    </row>
    <row r="451" spans="1:19" x14ac:dyDescent="0.25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VLOOKUP(F451,'Customer Info'!$A:$B,2,0)</f>
        <v>Brian</v>
      </c>
      <c r="H451" s="6" t="str">
        <f>VLOOKUP(F451,'Customer Info'!$A$1:$C$501,3,0)</f>
        <v>DeCherney</v>
      </c>
      <c r="I451" s="6" t="str">
        <f>VLOOKUP(F451,Customer,5,0)</f>
        <v>Kendari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5394</v>
      </c>
      <c r="O451" s="2">
        <v>83</v>
      </c>
      <c r="P451" s="8">
        <f t="shared" si="32"/>
        <v>5477</v>
      </c>
      <c r="Q451" s="8">
        <f t="shared" si="33"/>
        <v>398</v>
      </c>
      <c r="R451" s="2" t="s">
        <v>28</v>
      </c>
      <c r="S451" s="24">
        <f t="shared" si="34"/>
        <v>0.05</v>
      </c>
    </row>
    <row r="452" spans="1:19" x14ac:dyDescent="0.25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VLOOKUP(F452,'Customer Info'!$A:$B,2,0)</f>
        <v>Barry</v>
      </c>
      <c r="H452" s="6" t="str">
        <f>VLOOKUP(F452,'Customer Info'!$A$1:$C$501,3,0)</f>
        <v>Franzšsisch</v>
      </c>
      <c r="I452" s="6" t="str">
        <f>VLOOKUP(F452,Customer,5,0)</f>
        <v>Canberra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58756</v>
      </c>
      <c r="O452" s="2">
        <v>48</v>
      </c>
      <c r="P452" s="8">
        <f t="shared" si="32"/>
        <v>58804</v>
      </c>
      <c r="Q452" s="8">
        <f t="shared" si="33"/>
        <v>4932</v>
      </c>
      <c r="R452" s="2" t="s">
        <v>28</v>
      </c>
      <c r="S452" s="24">
        <f t="shared" si="34"/>
        <v>0.09</v>
      </c>
    </row>
    <row r="453" spans="1:19" x14ac:dyDescent="0.25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VLOOKUP(F453,'Customer Info'!$A:$B,2,0)</f>
        <v>Todd</v>
      </c>
      <c r="H453" s="6" t="str">
        <f>VLOOKUP(F453,'Customer Info'!$A$1:$C$501,3,0)</f>
        <v>Sumrall</v>
      </c>
      <c r="I453" s="6" t="str">
        <f>VLOOKUP(F453,Customer,5,0)</f>
        <v>Yangzhou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3850</v>
      </c>
      <c r="O453" s="2">
        <v>56</v>
      </c>
      <c r="P453" s="8">
        <f t="shared" si="32"/>
        <v>3906</v>
      </c>
      <c r="Q453" s="8">
        <f t="shared" si="33"/>
        <v>182</v>
      </c>
      <c r="R453" s="2" t="s">
        <v>28</v>
      </c>
      <c r="S453" s="24">
        <f t="shared" si="34"/>
        <v>0.02</v>
      </c>
    </row>
    <row r="454" spans="1:19" x14ac:dyDescent="0.25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VLOOKUP(F454,'Customer Info'!$A:$B,2,0)</f>
        <v>Dionis</v>
      </c>
      <c r="H454" s="6" t="str">
        <f>VLOOKUP(F454,'Customer Info'!$A$1:$C$501,3,0)</f>
        <v>Lloyd</v>
      </c>
      <c r="I454" s="6" t="str">
        <f>VLOOKUP(F454,Customer,5,0)</f>
        <v>Kamarhati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177</v>
      </c>
      <c r="O454" s="2">
        <v>10</v>
      </c>
      <c r="P454" s="8">
        <f t="shared" si="32"/>
        <v>187</v>
      </c>
      <c r="Q454" s="8">
        <f t="shared" si="33"/>
        <v>12</v>
      </c>
      <c r="R454" s="2" t="s">
        <v>50</v>
      </c>
      <c r="S454" s="24">
        <f t="shared" si="34"/>
        <v>0.02</v>
      </c>
    </row>
    <row r="455" spans="1:19" x14ac:dyDescent="0.25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VLOOKUP(F455,'Customer Info'!$A:$B,2,0)</f>
        <v>Cindy</v>
      </c>
      <c r="H455" s="6" t="str">
        <f>VLOOKUP(F455,'Customer Info'!$A$1:$C$501,3,0)</f>
        <v>Schnelling</v>
      </c>
      <c r="I455" s="6" t="str">
        <f>VLOOKUP(F455,Customer,5,0)</f>
        <v>Balikpapan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387</v>
      </c>
      <c r="O455" s="2">
        <v>30</v>
      </c>
      <c r="P455" s="8">
        <f t="shared" si="32"/>
        <v>417</v>
      </c>
      <c r="Q455" s="8">
        <f t="shared" si="33"/>
        <v>33</v>
      </c>
      <c r="R455" s="2" t="s">
        <v>28</v>
      </c>
      <c r="S455" s="24">
        <f t="shared" si="34"/>
        <v>0.02</v>
      </c>
    </row>
    <row r="456" spans="1:19" x14ac:dyDescent="0.25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VLOOKUP(F456,'Customer Info'!$A:$B,2,0)</f>
        <v>Stuart</v>
      </c>
      <c r="H456" s="6" t="str">
        <f>VLOOKUP(F456,'Customer Info'!$A$1:$C$501,3,0)</f>
        <v>Van</v>
      </c>
      <c r="I456" s="6" t="str">
        <f>VLOOKUP(F456,Customer,5,0)</f>
        <v>Hobart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6132</v>
      </c>
      <c r="O456" s="2">
        <v>66</v>
      </c>
      <c r="P456" s="8">
        <f t="shared" si="32"/>
        <v>6198</v>
      </c>
      <c r="Q456" s="8">
        <f t="shared" si="33"/>
        <v>508</v>
      </c>
      <c r="R456" s="2" t="s">
        <v>50</v>
      </c>
      <c r="S456" s="24">
        <f t="shared" si="34"/>
        <v>0.05</v>
      </c>
    </row>
    <row r="457" spans="1:19" x14ac:dyDescent="0.25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VLOOKUP(F457,'Customer Info'!$A:$B,2,0)</f>
        <v>Tim</v>
      </c>
      <c r="H457" s="6" t="str">
        <f>VLOOKUP(F457,'Customer Info'!$A$1:$C$501,3,0)</f>
        <v>Brockman</v>
      </c>
      <c r="I457" s="6" t="str">
        <f>VLOOKUP(F457,Customer,5,0)</f>
        <v>Toowoomba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3577</v>
      </c>
      <c r="O457" s="2">
        <v>45</v>
      </c>
      <c r="P457" s="8">
        <f t="shared" si="32"/>
        <v>3622</v>
      </c>
      <c r="Q457" s="8">
        <f t="shared" si="33"/>
        <v>301</v>
      </c>
      <c r="R457" s="2" t="s">
        <v>28</v>
      </c>
      <c r="S457" s="24">
        <f t="shared" si="34"/>
        <v>0.02</v>
      </c>
    </row>
    <row r="458" spans="1:19" x14ac:dyDescent="0.25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VLOOKUP(F458,'Customer Info'!$A:$B,2,0)</f>
        <v>Erin</v>
      </c>
      <c r="H458" s="6" t="str">
        <f>VLOOKUP(F458,'Customer Info'!$A$1:$C$501,3,0)</f>
        <v>Smith</v>
      </c>
      <c r="I458" s="6" t="str">
        <f>VLOOKUP(F458,Customer,5,0)</f>
        <v>Bremen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142</v>
      </c>
      <c r="O458" s="2">
        <v>10</v>
      </c>
      <c r="P458" s="8">
        <f t="shared" si="32"/>
        <v>152</v>
      </c>
      <c r="Q458" s="8">
        <f t="shared" si="33"/>
        <v>14</v>
      </c>
      <c r="R458" s="2" t="s">
        <v>28</v>
      </c>
      <c r="S458" s="24">
        <f t="shared" si="34"/>
        <v>0.02</v>
      </c>
    </row>
    <row r="459" spans="1:19" x14ac:dyDescent="0.25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VLOOKUP(F459,'Customer Info'!$A:$B,2,0)</f>
        <v>Anna</v>
      </c>
      <c r="H459" s="6" t="str">
        <f>VLOOKUP(F459,'Customer Info'!$A$1:$C$501,3,0)</f>
        <v>Gayman</v>
      </c>
      <c r="I459" s="6" t="str">
        <f>VLOOKUP(F459,Customer,5,0)</f>
        <v>Surat</v>
      </c>
      <c r="J459" s="2">
        <v>1770</v>
      </c>
      <c r="K459" s="2">
        <v>1592</v>
      </c>
      <c r="L459" s="2">
        <v>14</v>
      </c>
      <c r="M459" s="7">
        <f t="shared" ref="M459:M522" si="35">K459*L459</f>
        <v>22288</v>
      </c>
      <c r="N459" s="7">
        <f t="shared" ref="N459:N522" si="36">J459*L459</f>
        <v>24780</v>
      </c>
      <c r="O459" s="2">
        <v>89</v>
      </c>
      <c r="P459" s="8">
        <f t="shared" ref="P459:P522" si="37">N459+O459</f>
        <v>24869</v>
      </c>
      <c r="Q459" s="8">
        <f t="shared" ref="Q459:Q522" si="38">N459-M459</f>
        <v>2492</v>
      </c>
      <c r="R459" s="2" t="s">
        <v>28</v>
      </c>
      <c r="S459" s="24">
        <f t="shared" ref="S459:S522" si="39">VLOOKUP(N459,$T$1:$U$7,2,TRUE)</f>
        <v>0.05</v>
      </c>
    </row>
    <row r="460" spans="1:19" x14ac:dyDescent="0.25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VLOOKUP(F460,'Customer Info'!$A:$B,2,0)</f>
        <v>Rick</v>
      </c>
      <c r="H460" s="6" t="str">
        <f>VLOOKUP(F460,'Customer Info'!$A$1:$C$501,3,0)</f>
        <v>Duston</v>
      </c>
      <c r="I460" s="6" t="str">
        <f>VLOOKUP(F460,Customer,5,0)</f>
        <v>Bhiwandi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8">
        <f t="shared" si="37"/>
        <v>172675</v>
      </c>
      <c r="Q460" s="8">
        <f t="shared" si="38"/>
        <v>11207</v>
      </c>
      <c r="R460" s="2" t="s">
        <v>50</v>
      </c>
      <c r="S460" s="24">
        <f t="shared" si="39"/>
        <v>0.12</v>
      </c>
    </row>
    <row r="461" spans="1:19" x14ac:dyDescent="0.25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VLOOKUP(F461,'Customer Info'!$A:$B,2,0)</f>
        <v>Allen</v>
      </c>
      <c r="H461" s="6" t="str">
        <f>VLOOKUP(F461,'Customer Info'!$A$1:$C$501,3,0)</f>
        <v>Armold</v>
      </c>
      <c r="I461" s="6" t="str">
        <f>VLOOKUP(F461,Customer,5,0)</f>
        <v>Wuchuan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8">
        <f t="shared" si="37"/>
        <v>172</v>
      </c>
      <c r="Q461" s="8">
        <f t="shared" si="38"/>
        <v>13</v>
      </c>
      <c r="R461" s="2" t="s">
        <v>50</v>
      </c>
      <c r="S461" s="24">
        <f t="shared" si="39"/>
        <v>0.02</v>
      </c>
    </row>
    <row r="462" spans="1:19" x14ac:dyDescent="0.25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VLOOKUP(F462,'Customer Info'!$A:$B,2,0)</f>
        <v>Resi</v>
      </c>
      <c r="H462" s="6" t="str">
        <f>VLOOKUP(F462,'Customer Info'!$A$1:$C$501,3,0)</f>
        <v>Pšlking</v>
      </c>
      <c r="I462" s="6" t="str">
        <f>VLOOKUP(F462,Customer,5,0)</f>
        <v>Gelsenkirchen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8">
        <f t="shared" si="37"/>
        <v>168</v>
      </c>
      <c r="Q462" s="8">
        <f t="shared" si="38"/>
        <v>8</v>
      </c>
      <c r="R462" s="2" t="s">
        <v>28</v>
      </c>
      <c r="S462" s="24">
        <f t="shared" si="39"/>
        <v>0.02</v>
      </c>
    </row>
    <row r="463" spans="1:19" x14ac:dyDescent="0.25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VLOOKUP(F463,'Customer Info'!$A:$B,2,0)</f>
        <v>Brian</v>
      </c>
      <c r="H463" s="6" t="str">
        <f>VLOOKUP(F463,'Customer Info'!$A$1:$C$501,3,0)</f>
        <v>Stugart</v>
      </c>
      <c r="I463" s="6" t="str">
        <f>VLOOKUP(F463,Customer,5,0)</f>
        <v>Jakarta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8">
        <f t="shared" si="37"/>
        <v>32715</v>
      </c>
      <c r="Q463" s="8">
        <f t="shared" si="38"/>
        <v>2740</v>
      </c>
      <c r="R463" s="2" t="s">
        <v>28</v>
      </c>
      <c r="S463" s="24">
        <f t="shared" si="39"/>
        <v>7.0000000000000007E-2</v>
      </c>
    </row>
    <row r="464" spans="1:19" x14ac:dyDescent="0.25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VLOOKUP(F464,'Customer Info'!$A:$B,2,0)</f>
        <v>Lindsay</v>
      </c>
      <c r="H464" s="6" t="str">
        <f>VLOOKUP(F464,'Customer Info'!$A$1:$C$501,3,0)</f>
        <v>Shagiari</v>
      </c>
      <c r="I464" s="6" t="str">
        <f>VLOOKUP(F464,Customer,5,0)</f>
        <v>Canberra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82926</v>
      </c>
      <c r="O464" s="2">
        <v>24</v>
      </c>
      <c r="P464" s="8">
        <f t="shared" si="37"/>
        <v>82950</v>
      </c>
      <c r="Q464" s="8">
        <f t="shared" si="38"/>
        <v>8271</v>
      </c>
      <c r="R464" s="2" t="s">
        <v>28</v>
      </c>
      <c r="S464" s="24">
        <f t="shared" si="39"/>
        <v>0.09</v>
      </c>
    </row>
    <row r="465" spans="1:19" x14ac:dyDescent="0.25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VLOOKUP(F465,'Customer Info'!$A:$B,2,0)</f>
        <v>Dave</v>
      </c>
      <c r="H465" s="6" t="str">
        <f>VLOOKUP(F465,'Customer Info'!$A$1:$C$501,3,0)</f>
        <v>Poirier</v>
      </c>
      <c r="I465" s="6" t="str">
        <f>VLOOKUP(F465,Customer,5,0)</f>
        <v>Changchun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914</v>
      </c>
      <c r="O465" s="2">
        <v>60</v>
      </c>
      <c r="P465" s="8">
        <f t="shared" si="37"/>
        <v>974</v>
      </c>
      <c r="Q465" s="8">
        <f t="shared" si="38"/>
        <v>84</v>
      </c>
      <c r="R465" s="2" t="s">
        <v>50</v>
      </c>
      <c r="S465" s="24">
        <f t="shared" si="39"/>
        <v>0.02</v>
      </c>
    </row>
    <row r="466" spans="1:19" x14ac:dyDescent="0.25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VLOOKUP(F466,'Customer Info'!$A:$B,2,0)</f>
        <v>Neil</v>
      </c>
      <c r="H466" s="6" t="str">
        <f>VLOOKUP(F466,'Customer Info'!$A$1:$C$501,3,0)</f>
        <v>Franzšsisch</v>
      </c>
      <c r="I466" s="6" t="str">
        <f>VLOOKUP(F466,Customer,5,0)</f>
        <v>Mount Isa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145</v>
      </c>
      <c r="O466" s="2">
        <v>30</v>
      </c>
      <c r="P466" s="8">
        <f t="shared" si="37"/>
        <v>175</v>
      </c>
      <c r="Q466" s="8">
        <f t="shared" si="38"/>
        <v>15</v>
      </c>
      <c r="R466" s="2" t="s">
        <v>28</v>
      </c>
      <c r="S466" s="24">
        <f t="shared" si="39"/>
        <v>0.02</v>
      </c>
    </row>
    <row r="467" spans="1:19" x14ac:dyDescent="0.25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VLOOKUP(F467,'Customer Info'!$A:$B,2,0)</f>
        <v>Kristen</v>
      </c>
      <c r="H467" s="6" t="str">
        <f>VLOOKUP(F467,'Customer Info'!$A$1:$C$501,3,0)</f>
        <v>Hastings</v>
      </c>
      <c r="I467" s="6" t="str">
        <f>VLOOKUP(F467,Customer,5,0)</f>
        <v>Shihezi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60</v>
      </c>
      <c r="O467" s="2">
        <v>10</v>
      </c>
      <c r="P467" s="8">
        <f t="shared" si="37"/>
        <v>70</v>
      </c>
      <c r="Q467" s="8">
        <f t="shared" si="38"/>
        <v>5</v>
      </c>
      <c r="R467" s="2" t="s">
        <v>50</v>
      </c>
      <c r="S467" s="24">
        <f t="shared" si="39"/>
        <v>0.02</v>
      </c>
    </row>
    <row r="468" spans="1:19" x14ac:dyDescent="0.25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VLOOKUP(F468,'Customer Info'!$A:$B,2,0)</f>
        <v>Alex</v>
      </c>
      <c r="H468" s="6" t="str">
        <f>VLOOKUP(F468,'Customer Info'!$A$1:$C$501,3,0)</f>
        <v>Avila</v>
      </c>
      <c r="I468" s="6" t="str">
        <f>VLOOKUP(F468,Customer,5,0)</f>
        <v>Newcastle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700</v>
      </c>
      <c r="O468" s="2">
        <v>10</v>
      </c>
      <c r="P468" s="8">
        <f t="shared" si="37"/>
        <v>710</v>
      </c>
      <c r="Q468" s="8">
        <f t="shared" si="38"/>
        <v>35</v>
      </c>
      <c r="R468" s="2" t="s">
        <v>28</v>
      </c>
      <c r="S468" s="24">
        <f t="shared" si="39"/>
        <v>0.02</v>
      </c>
    </row>
    <row r="469" spans="1:19" x14ac:dyDescent="0.25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VLOOKUP(F469,'Customer Info'!$A:$B,2,0)</f>
        <v>Jill</v>
      </c>
      <c r="H469" s="6" t="str">
        <f>VLOOKUP(F469,'Customer Info'!$A$1:$C$501,3,0)</f>
        <v>Fjeld</v>
      </c>
      <c r="I469" s="6" t="str">
        <f>VLOOKUP(F469,Customer,5,0)</f>
        <v>Wollongong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9170</v>
      </c>
      <c r="O469" s="2">
        <v>92</v>
      </c>
      <c r="P469" s="8">
        <f t="shared" si="37"/>
        <v>9262</v>
      </c>
      <c r="Q469" s="8">
        <f t="shared" si="38"/>
        <v>590</v>
      </c>
      <c r="R469" s="2" t="s">
        <v>50</v>
      </c>
      <c r="S469" s="24">
        <f t="shared" si="39"/>
        <v>0.05</v>
      </c>
    </row>
    <row r="470" spans="1:19" x14ac:dyDescent="0.25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VLOOKUP(F470,'Customer Info'!$A:$B,2,0)</f>
        <v>Logan</v>
      </c>
      <c r="H470" s="6" t="str">
        <f>VLOOKUP(F470,'Customer Info'!$A$1:$C$501,3,0)</f>
        <v>Haushalter</v>
      </c>
      <c r="I470" s="6" t="str">
        <f>VLOOKUP(F470,Customer,5,0)</f>
        <v>Canberra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3455</v>
      </c>
      <c r="O470" s="2">
        <v>74</v>
      </c>
      <c r="P470" s="8">
        <f t="shared" si="37"/>
        <v>3529</v>
      </c>
      <c r="Q470" s="8">
        <f t="shared" si="38"/>
        <v>225</v>
      </c>
      <c r="R470" s="2" t="s">
        <v>28</v>
      </c>
      <c r="S470" s="24">
        <f t="shared" si="39"/>
        <v>0.02</v>
      </c>
    </row>
    <row r="471" spans="1:19" x14ac:dyDescent="0.25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VLOOKUP(F471,'Customer Info'!$A:$B,2,0)</f>
        <v>Allen</v>
      </c>
      <c r="H471" s="6" t="str">
        <f>VLOOKUP(F471,'Customer Info'!$A$1:$C$501,3,0)</f>
        <v>Rosenblatt</v>
      </c>
      <c r="I471" s="6" t="str">
        <f>VLOOKUP(F471,Customer,5,0)</f>
        <v>Chaozhou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35364</v>
      </c>
      <c r="O471" s="2">
        <v>25</v>
      </c>
      <c r="P471" s="8">
        <f t="shared" si="37"/>
        <v>35389</v>
      </c>
      <c r="Q471" s="8">
        <f t="shared" si="38"/>
        <v>1638</v>
      </c>
      <c r="R471" s="2" t="s">
        <v>28</v>
      </c>
      <c r="S471" s="24">
        <f t="shared" si="39"/>
        <v>7.0000000000000007E-2</v>
      </c>
    </row>
    <row r="472" spans="1:19" x14ac:dyDescent="0.25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VLOOKUP(F472,'Customer Info'!$A:$B,2,0)</f>
        <v>Quincy</v>
      </c>
      <c r="H472" s="6" t="str">
        <f>VLOOKUP(F472,'Customer Info'!$A$1:$C$501,3,0)</f>
        <v>Jones</v>
      </c>
      <c r="I472" s="6" t="str">
        <f>VLOOKUP(F472,Customer,5,0)</f>
        <v>Gold Coast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498</v>
      </c>
      <c r="O472" s="2">
        <v>30</v>
      </c>
      <c r="P472" s="8">
        <f t="shared" si="37"/>
        <v>528</v>
      </c>
      <c r="Q472" s="8">
        <f t="shared" si="38"/>
        <v>27</v>
      </c>
      <c r="R472" s="2" t="s">
        <v>50</v>
      </c>
      <c r="S472" s="24">
        <f t="shared" si="39"/>
        <v>0.02</v>
      </c>
    </row>
    <row r="473" spans="1:19" x14ac:dyDescent="0.25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VLOOKUP(F473,'Customer Info'!$A:$B,2,0)</f>
        <v>Tim</v>
      </c>
      <c r="H473" s="6" t="str">
        <f>VLOOKUP(F473,'Customer Info'!$A$1:$C$501,3,0)</f>
        <v>Brockman</v>
      </c>
      <c r="I473" s="6" t="str">
        <f>VLOOKUP(F473,Customer,5,0)</f>
        <v>Toowoomba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8370</v>
      </c>
      <c r="O473" s="2">
        <v>34</v>
      </c>
      <c r="P473" s="8">
        <f t="shared" si="37"/>
        <v>8404</v>
      </c>
      <c r="Q473" s="8">
        <f t="shared" si="38"/>
        <v>699</v>
      </c>
      <c r="R473" s="2" t="s">
        <v>50</v>
      </c>
      <c r="S473" s="24">
        <f t="shared" si="39"/>
        <v>0.05</v>
      </c>
    </row>
    <row r="474" spans="1:19" x14ac:dyDescent="0.25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VLOOKUP(F474,'Customer Info'!$A:$B,2,0)</f>
        <v>Christine</v>
      </c>
      <c r="H474" s="6" t="str">
        <f>VLOOKUP(F474,'Customer Info'!$A$1:$C$501,3,0)</f>
        <v>Abelman</v>
      </c>
      <c r="I474" s="6" t="str">
        <f>VLOOKUP(F474,Customer,5,0)</f>
        <v>Nasik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6081</v>
      </c>
      <c r="O474" s="2">
        <v>72</v>
      </c>
      <c r="P474" s="8">
        <f t="shared" si="37"/>
        <v>6153</v>
      </c>
      <c r="Q474" s="8">
        <f t="shared" si="38"/>
        <v>342</v>
      </c>
      <c r="R474" s="2" t="s">
        <v>26</v>
      </c>
      <c r="S474" s="24">
        <f t="shared" si="39"/>
        <v>0.05</v>
      </c>
    </row>
    <row r="475" spans="1:19" x14ac:dyDescent="0.25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VLOOKUP(F475,'Customer Info'!$A:$B,2,0)</f>
        <v>Liz</v>
      </c>
      <c r="H475" s="6" t="str">
        <f>VLOOKUP(F475,'Customer Info'!$A$1:$C$501,3,0)</f>
        <v>Pelletier</v>
      </c>
      <c r="I475" s="6" t="str">
        <f>VLOOKUP(F475,Customer,5,0)</f>
        <v>Zigong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9474</v>
      </c>
      <c r="O475" s="2">
        <v>42</v>
      </c>
      <c r="P475" s="8">
        <f t="shared" si="37"/>
        <v>9516</v>
      </c>
      <c r="Q475" s="8">
        <f t="shared" si="38"/>
        <v>528</v>
      </c>
      <c r="R475" s="2" t="s">
        <v>28</v>
      </c>
      <c r="S475" s="24">
        <f t="shared" si="39"/>
        <v>0.05</v>
      </c>
    </row>
    <row r="476" spans="1:19" x14ac:dyDescent="0.25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VLOOKUP(F476,'Customer Info'!$A:$B,2,0)</f>
        <v>Michelle</v>
      </c>
      <c r="H476" s="6" t="str">
        <f>VLOOKUP(F476,'Customer Info'!$A$1:$C$501,3,0)</f>
        <v>Tran</v>
      </c>
      <c r="I476" s="6" t="str">
        <f>VLOOKUP(F476,Customer,5,0)</f>
        <v>Mount Gambier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1332</v>
      </c>
      <c r="O476" s="2">
        <v>30</v>
      </c>
      <c r="P476" s="8">
        <f t="shared" si="37"/>
        <v>1362</v>
      </c>
      <c r="Q476" s="8">
        <f t="shared" si="38"/>
        <v>123</v>
      </c>
      <c r="R476" s="2" t="s">
        <v>50</v>
      </c>
      <c r="S476" s="24">
        <f t="shared" si="39"/>
        <v>0.02</v>
      </c>
    </row>
    <row r="477" spans="1:19" x14ac:dyDescent="0.25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VLOOKUP(F477,'Customer Info'!$A:$B,2,0)</f>
        <v>Hunter</v>
      </c>
      <c r="H477" s="6" t="str">
        <f>VLOOKUP(F477,'Customer Info'!$A$1:$C$501,3,0)</f>
        <v>Lopez</v>
      </c>
      <c r="I477" s="6" t="str">
        <f>VLOOKUP(F477,Customer,5,0)</f>
        <v>Pekanbaru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174</v>
      </c>
      <c r="O477" s="2">
        <v>10</v>
      </c>
      <c r="P477" s="8">
        <f t="shared" si="37"/>
        <v>184</v>
      </c>
      <c r="Q477" s="8">
        <f t="shared" si="38"/>
        <v>6</v>
      </c>
      <c r="R477" s="2" t="s">
        <v>28</v>
      </c>
      <c r="S477" s="24">
        <f t="shared" si="39"/>
        <v>0.02</v>
      </c>
    </row>
    <row r="478" spans="1:19" x14ac:dyDescent="0.25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VLOOKUP(F478,'Customer Info'!$A:$B,2,0)</f>
        <v>Sung</v>
      </c>
      <c r="H478" s="6" t="str">
        <f>VLOOKUP(F478,'Customer Info'!$A$1:$C$501,3,0)</f>
        <v>Shariari</v>
      </c>
      <c r="I478" s="6" t="str">
        <f>VLOOKUP(F478,Customer,5,0)</f>
        <v>Solapur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9625</v>
      </c>
      <c r="O478" s="2">
        <v>24</v>
      </c>
      <c r="P478" s="8">
        <f t="shared" si="37"/>
        <v>9649</v>
      </c>
      <c r="Q478" s="8">
        <f t="shared" si="38"/>
        <v>455</v>
      </c>
      <c r="R478" s="2" t="s">
        <v>28</v>
      </c>
      <c r="S478" s="24">
        <f t="shared" si="39"/>
        <v>0.05</v>
      </c>
    </row>
    <row r="479" spans="1:19" x14ac:dyDescent="0.25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VLOOKUP(F479,'Customer Info'!$A:$B,2,0)</f>
        <v>Cari</v>
      </c>
      <c r="H479" s="6" t="str">
        <f>VLOOKUP(F479,'Customer Info'!$A$1:$C$501,3,0)</f>
        <v>MacIntyre</v>
      </c>
      <c r="I479" s="6" t="str">
        <f>VLOOKUP(F479,Customer,5,0)</f>
        <v>Suzhou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90408</v>
      </c>
      <c r="O479" s="2">
        <v>35</v>
      </c>
      <c r="P479" s="8">
        <f t="shared" si="37"/>
        <v>90443</v>
      </c>
      <c r="Q479" s="8">
        <f t="shared" si="38"/>
        <v>5136</v>
      </c>
      <c r="R479" s="2" t="s">
        <v>28</v>
      </c>
      <c r="S479" s="24">
        <f t="shared" si="39"/>
        <v>0.09</v>
      </c>
    </row>
    <row r="480" spans="1:19" x14ac:dyDescent="0.25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VLOOKUP(F480,'Customer Info'!$A:$B,2,0)</f>
        <v>Mitch</v>
      </c>
      <c r="H480" s="6" t="str">
        <f>VLOOKUP(F480,'Customer Info'!$A$1:$C$501,3,0)</f>
        <v>Willingham</v>
      </c>
      <c r="I480" s="6" t="str">
        <f>VLOOKUP(F480,Customer,5,0)</f>
        <v>Berlin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52512</v>
      </c>
      <c r="O480" s="2">
        <v>92</v>
      </c>
      <c r="P480" s="8">
        <f t="shared" si="37"/>
        <v>52604</v>
      </c>
      <c r="Q480" s="8">
        <f t="shared" si="38"/>
        <v>5250</v>
      </c>
      <c r="R480" s="2" t="s">
        <v>26</v>
      </c>
      <c r="S480" s="24">
        <f t="shared" si="39"/>
        <v>0.09</v>
      </c>
    </row>
    <row r="481" spans="1:19" x14ac:dyDescent="0.25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VLOOKUP(F481,'Customer Info'!$A:$B,2,0)</f>
        <v>Jim</v>
      </c>
      <c r="H481" s="6" t="str">
        <f>VLOOKUP(F481,'Customer Info'!$A$1:$C$501,3,0)</f>
        <v>Epp</v>
      </c>
      <c r="I481" s="6" t="str">
        <f>VLOOKUP(F481,Customer,5,0)</f>
        <v>Jingmen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5289</v>
      </c>
      <c r="O481" s="2">
        <v>100</v>
      </c>
      <c r="P481" s="8">
        <f t="shared" si="37"/>
        <v>5389</v>
      </c>
      <c r="Q481" s="8">
        <f t="shared" si="38"/>
        <v>483</v>
      </c>
      <c r="R481" s="2" t="s">
        <v>28</v>
      </c>
      <c r="S481" s="24">
        <f t="shared" si="39"/>
        <v>0.05</v>
      </c>
    </row>
    <row r="482" spans="1:19" x14ac:dyDescent="0.25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VLOOKUP(F482,'Customer Info'!$A:$B,2,0)</f>
        <v>Harold</v>
      </c>
      <c r="H482" s="6" t="str">
        <f>VLOOKUP(F482,'Customer Info'!$A$1:$C$501,3,0)</f>
        <v>Dahlen</v>
      </c>
      <c r="I482" s="6" t="str">
        <f>VLOOKUP(F482,Customer,5,0)</f>
        <v>Jakarta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1983</v>
      </c>
      <c r="O482" s="2">
        <v>79</v>
      </c>
      <c r="P482" s="8">
        <f t="shared" si="37"/>
        <v>2062</v>
      </c>
      <c r="Q482" s="8">
        <f t="shared" si="38"/>
        <v>75</v>
      </c>
      <c r="R482" s="2" t="s">
        <v>28</v>
      </c>
      <c r="S482" s="24">
        <f t="shared" si="39"/>
        <v>0.02</v>
      </c>
    </row>
    <row r="483" spans="1:19" x14ac:dyDescent="0.25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VLOOKUP(F483,'Customer Info'!$A:$B,2,0)</f>
        <v>Kean</v>
      </c>
      <c r="H483" s="6" t="str">
        <f>VLOOKUP(F483,'Customer Info'!$A$1:$C$501,3,0)</f>
        <v>Thornton</v>
      </c>
      <c r="I483" s="6" t="str">
        <f>VLOOKUP(F483,Customer,5,0)</f>
        <v>Brisbane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284</v>
      </c>
      <c r="O483" s="2">
        <v>10</v>
      </c>
      <c r="P483" s="8">
        <f t="shared" si="37"/>
        <v>294</v>
      </c>
      <c r="Q483" s="8">
        <f t="shared" si="38"/>
        <v>28</v>
      </c>
      <c r="R483" s="2" t="s">
        <v>26</v>
      </c>
      <c r="S483" s="24">
        <f t="shared" si="39"/>
        <v>0.02</v>
      </c>
    </row>
    <row r="484" spans="1:19" x14ac:dyDescent="0.25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VLOOKUP(F484,'Customer Info'!$A:$B,2,0)</f>
        <v>Hunter</v>
      </c>
      <c r="H484" s="6" t="str">
        <f>VLOOKUP(F484,'Customer Info'!$A$1:$C$501,3,0)</f>
        <v>Glantz</v>
      </c>
      <c r="I484" s="6" t="str">
        <f>VLOOKUP(F484,Customer,5,0)</f>
        <v>Panihati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32796</v>
      </c>
      <c r="O484" s="2">
        <v>43</v>
      </c>
      <c r="P484" s="8">
        <f t="shared" si="37"/>
        <v>32839</v>
      </c>
      <c r="Q484" s="8">
        <f t="shared" si="38"/>
        <v>2704</v>
      </c>
      <c r="R484" s="2" t="s">
        <v>26</v>
      </c>
      <c r="S484" s="24">
        <f t="shared" si="39"/>
        <v>7.0000000000000007E-2</v>
      </c>
    </row>
    <row r="485" spans="1:19" x14ac:dyDescent="0.25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VLOOKUP(F485,'Customer Info'!$A:$B,2,0)</f>
        <v>Victoria</v>
      </c>
      <c r="H485" s="6" t="str">
        <f>VLOOKUP(F485,'Customer Info'!$A$1:$C$501,3,0)</f>
        <v>Brennan</v>
      </c>
      <c r="I485" s="6" t="str">
        <f>VLOOKUP(F485,Customer,5,0)</f>
        <v>Mangalore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288</v>
      </c>
      <c r="O485" s="2">
        <v>30</v>
      </c>
      <c r="P485" s="8">
        <f t="shared" si="37"/>
        <v>318</v>
      </c>
      <c r="Q485" s="8">
        <f t="shared" si="38"/>
        <v>24</v>
      </c>
      <c r="R485" s="2" t="s">
        <v>28</v>
      </c>
      <c r="S485" s="24">
        <f t="shared" si="39"/>
        <v>0.02</v>
      </c>
    </row>
    <row r="486" spans="1:19" x14ac:dyDescent="0.25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VLOOKUP(F486,'Customer Info'!$A:$B,2,0)</f>
        <v>Muhammed</v>
      </c>
      <c r="H486" s="6" t="str">
        <f>VLOOKUP(F486,'Customer Info'!$A$1:$C$501,3,0)</f>
        <v>Lee</v>
      </c>
      <c r="I486" s="6" t="str">
        <f>VLOOKUP(F486,Customer,5,0)</f>
        <v>Nellore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864</v>
      </c>
      <c r="O486" s="2">
        <v>61</v>
      </c>
      <c r="P486" s="8">
        <f t="shared" si="37"/>
        <v>925</v>
      </c>
      <c r="Q486" s="8">
        <f t="shared" si="38"/>
        <v>72</v>
      </c>
      <c r="R486" s="2" t="s">
        <v>28</v>
      </c>
      <c r="S486" s="24">
        <f t="shared" si="39"/>
        <v>0.02</v>
      </c>
    </row>
    <row r="487" spans="1:19" x14ac:dyDescent="0.25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VLOOKUP(F487,'Customer Info'!$A:$B,2,0)</f>
        <v>Jonathan</v>
      </c>
      <c r="H487" s="6" t="str">
        <f>VLOOKUP(F487,'Customer Info'!$A$1:$C$501,3,0)</f>
        <v>Howell</v>
      </c>
      <c r="I487" s="6" t="str">
        <f>VLOOKUP(F487,Customer,5,0)</f>
        <v>Guangshui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875</v>
      </c>
      <c r="O487" s="2">
        <v>30</v>
      </c>
      <c r="P487" s="8">
        <f t="shared" si="37"/>
        <v>905</v>
      </c>
      <c r="Q487" s="8">
        <f t="shared" si="38"/>
        <v>65</v>
      </c>
      <c r="R487" s="2" t="s">
        <v>26</v>
      </c>
      <c r="S487" s="24">
        <f t="shared" si="39"/>
        <v>0.02</v>
      </c>
    </row>
    <row r="488" spans="1:19" x14ac:dyDescent="0.25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VLOOKUP(F488,'Customer Info'!$A:$B,2,0)</f>
        <v>Anna</v>
      </c>
      <c r="H488" s="6" t="str">
        <f>VLOOKUP(F488,'Customer Info'!$A$1:$C$501,3,0)</f>
        <v>Gayman</v>
      </c>
      <c r="I488" s="6" t="str">
        <f>VLOOKUP(F488,Customer,5,0)</f>
        <v>Surat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10415</v>
      </c>
      <c r="O488" s="2">
        <v>71</v>
      </c>
      <c r="P488" s="8">
        <f t="shared" si="37"/>
        <v>10486</v>
      </c>
      <c r="Q488" s="8">
        <f t="shared" si="38"/>
        <v>395</v>
      </c>
      <c r="R488" s="2" t="s">
        <v>28</v>
      </c>
      <c r="S488" s="24">
        <f t="shared" si="39"/>
        <v>0.05</v>
      </c>
    </row>
    <row r="489" spans="1:19" x14ac:dyDescent="0.25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VLOOKUP(F489,'Customer Info'!$A:$B,2,0)</f>
        <v>Adrian</v>
      </c>
      <c r="H489" s="6" t="str">
        <f>VLOOKUP(F489,'Customer Info'!$A$1:$C$501,3,0)</f>
        <v>Barton</v>
      </c>
      <c r="I489" s="6" t="str">
        <f>VLOOKUP(F489,Customer,5,0)</f>
        <v>Zigong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1399</v>
      </c>
      <c r="O489" s="2">
        <v>94</v>
      </c>
      <c r="P489" s="8">
        <f t="shared" si="37"/>
        <v>1493</v>
      </c>
      <c r="Q489" s="8">
        <f t="shared" si="38"/>
        <v>66</v>
      </c>
      <c r="R489" s="2" t="s">
        <v>50</v>
      </c>
      <c r="S489" s="24">
        <f t="shared" si="39"/>
        <v>0.02</v>
      </c>
    </row>
    <row r="490" spans="1:19" x14ac:dyDescent="0.25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VLOOKUP(F490,'Customer Info'!$A:$B,2,0)</f>
        <v>Trudy</v>
      </c>
      <c r="H490" s="6" t="str">
        <f>VLOOKUP(F490,'Customer Info'!$A$1:$C$501,3,0)</f>
        <v>Glocke</v>
      </c>
      <c r="I490" s="6" t="str">
        <f>VLOOKUP(F490,Customer,5,0)</f>
        <v>Huaiyin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16320</v>
      </c>
      <c r="O490" s="2">
        <v>42</v>
      </c>
      <c r="P490" s="8">
        <f t="shared" si="37"/>
        <v>16362</v>
      </c>
      <c r="Q490" s="8">
        <f t="shared" si="38"/>
        <v>1370</v>
      </c>
      <c r="R490" s="2" t="s">
        <v>50</v>
      </c>
      <c r="S490" s="24">
        <f t="shared" si="39"/>
        <v>0.05</v>
      </c>
    </row>
    <row r="491" spans="1:19" x14ac:dyDescent="0.25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VLOOKUP(F491,'Customer Info'!$A:$B,2,0)</f>
        <v>Brendan</v>
      </c>
      <c r="H491" s="6" t="str">
        <f>VLOOKUP(F491,'Customer Info'!$A$1:$C$501,3,0)</f>
        <v>Murry</v>
      </c>
      <c r="I491" s="6" t="str">
        <f>VLOOKUP(F491,Customer,5,0)</f>
        <v>Schwerin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9768</v>
      </c>
      <c r="O491" s="2">
        <v>68</v>
      </c>
      <c r="P491" s="8">
        <f t="shared" si="37"/>
        <v>9836</v>
      </c>
      <c r="Q491" s="8">
        <f t="shared" si="38"/>
        <v>891</v>
      </c>
      <c r="R491" s="2" t="s">
        <v>28</v>
      </c>
      <c r="S491" s="24">
        <f t="shared" si="39"/>
        <v>0.05</v>
      </c>
    </row>
    <row r="492" spans="1:19" x14ac:dyDescent="0.25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VLOOKUP(F492,'Customer Info'!$A:$B,2,0)</f>
        <v>Mark</v>
      </c>
      <c r="H492" s="6" t="str">
        <f>VLOOKUP(F492,'Customer Info'!$A$1:$C$501,3,0)</f>
        <v>Packer</v>
      </c>
      <c r="I492" s="6" t="str">
        <f>VLOOKUP(F492,Customer,5,0)</f>
        <v>Perth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6816</v>
      </c>
      <c r="O492" s="2">
        <v>53</v>
      </c>
      <c r="P492" s="8">
        <f t="shared" si="37"/>
        <v>6869</v>
      </c>
      <c r="Q492" s="8">
        <f t="shared" si="38"/>
        <v>386</v>
      </c>
      <c r="R492" s="2" t="s">
        <v>28</v>
      </c>
      <c r="S492" s="24">
        <f t="shared" si="39"/>
        <v>0.05</v>
      </c>
    </row>
    <row r="493" spans="1:19" x14ac:dyDescent="0.25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VLOOKUP(F493,'Customer Info'!$A:$B,2,0)</f>
        <v>Sanjit</v>
      </c>
      <c r="H493" s="6" t="str">
        <f>VLOOKUP(F493,'Customer Info'!$A$1:$C$501,3,0)</f>
        <v>Chand</v>
      </c>
      <c r="I493" s="6" t="str">
        <f>VLOOKUP(F493,Customer,5,0)</f>
        <v>Thiruvananthapuram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15728</v>
      </c>
      <c r="O493" s="2">
        <v>75</v>
      </c>
      <c r="P493" s="8">
        <f t="shared" si="37"/>
        <v>15803</v>
      </c>
      <c r="Q493" s="8">
        <f t="shared" si="38"/>
        <v>602</v>
      </c>
      <c r="R493" s="2" t="s">
        <v>50</v>
      </c>
      <c r="S493" s="24">
        <f t="shared" si="39"/>
        <v>0.05</v>
      </c>
    </row>
    <row r="494" spans="1:19" x14ac:dyDescent="0.25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VLOOKUP(F494,'Customer Info'!$A:$B,2,0)</f>
        <v>Duane</v>
      </c>
      <c r="H494" s="6" t="str">
        <f>VLOOKUP(F494,'Customer Info'!$A$1:$C$501,3,0)</f>
        <v>Huffman</v>
      </c>
      <c r="I494" s="6" t="str">
        <f>VLOOKUP(F494,Customer,5,0)</f>
        <v>Jakarta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2022</v>
      </c>
      <c r="O494" s="2">
        <v>82</v>
      </c>
      <c r="P494" s="8">
        <f t="shared" si="37"/>
        <v>2104</v>
      </c>
      <c r="Q494" s="8">
        <f t="shared" si="38"/>
        <v>135</v>
      </c>
      <c r="R494" s="2" t="s">
        <v>50</v>
      </c>
      <c r="S494" s="24">
        <f t="shared" si="39"/>
        <v>0.02</v>
      </c>
    </row>
    <row r="495" spans="1:19" x14ac:dyDescent="0.25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VLOOKUP(F495,'Customer Info'!$A:$B,2,0)</f>
        <v>Quincy</v>
      </c>
      <c r="H495" s="6" t="str">
        <f>VLOOKUP(F495,'Customer Info'!$A$1:$C$501,3,0)</f>
        <v>Jones</v>
      </c>
      <c r="I495" s="6" t="str">
        <f>VLOOKUP(F495,Customer,5,0)</f>
        <v>Gold Coast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552</v>
      </c>
      <c r="O495" s="2">
        <v>30</v>
      </c>
      <c r="P495" s="8">
        <f t="shared" si="37"/>
        <v>582</v>
      </c>
      <c r="Q495" s="8">
        <f t="shared" si="38"/>
        <v>40</v>
      </c>
      <c r="R495" s="2" t="s">
        <v>26</v>
      </c>
      <c r="S495" s="24">
        <f t="shared" si="39"/>
        <v>0.02</v>
      </c>
    </row>
    <row r="496" spans="1:19" x14ac:dyDescent="0.25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VLOOKUP(F496,'Customer Info'!$A:$B,2,0)</f>
        <v>Sara</v>
      </c>
      <c r="H496" s="6" t="str">
        <f>VLOOKUP(F496,'Customer Info'!$A$1:$C$501,3,0)</f>
        <v>Luxemburg</v>
      </c>
      <c r="I496" s="6" t="str">
        <f>VLOOKUP(F496,Customer,5,0)</f>
        <v>Luoyang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1332</v>
      </c>
      <c r="O496" s="2">
        <v>26</v>
      </c>
      <c r="P496" s="8">
        <f t="shared" si="37"/>
        <v>1358</v>
      </c>
      <c r="Q496" s="8">
        <f t="shared" si="38"/>
        <v>108</v>
      </c>
      <c r="R496" s="2" t="s">
        <v>28</v>
      </c>
      <c r="S496" s="24">
        <f t="shared" si="39"/>
        <v>0.02</v>
      </c>
    </row>
    <row r="497" spans="1:19" x14ac:dyDescent="0.25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VLOOKUP(F497,'Customer Info'!$A:$B,2,0)</f>
        <v>Brendan</v>
      </c>
      <c r="H497" s="6" t="str">
        <f>VLOOKUP(F497,'Customer Info'!$A$1:$C$501,3,0)</f>
        <v>Dodson</v>
      </c>
      <c r="I497" s="6" t="str">
        <f>VLOOKUP(F497,Customer,5,0)</f>
        <v>Adelaide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2882</v>
      </c>
      <c r="O497" s="2">
        <v>53</v>
      </c>
      <c r="P497" s="8">
        <f t="shared" si="37"/>
        <v>2935</v>
      </c>
      <c r="Q497" s="8">
        <f t="shared" si="38"/>
        <v>162</v>
      </c>
      <c r="R497" s="2" t="s">
        <v>28</v>
      </c>
      <c r="S497" s="24">
        <f t="shared" si="39"/>
        <v>0.02</v>
      </c>
    </row>
    <row r="498" spans="1:19" x14ac:dyDescent="0.25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VLOOKUP(F498,'Customer Info'!$A:$B,2,0)</f>
        <v>Shui</v>
      </c>
      <c r="H498" s="6" t="str">
        <f>VLOOKUP(F498,'Customer Info'!$A$1:$C$501,3,0)</f>
        <v>Tom</v>
      </c>
      <c r="I498" s="6" t="str">
        <f>VLOOKUP(F498,Customer,5,0)</f>
        <v>Jakarta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4385</v>
      </c>
      <c r="O498" s="2">
        <v>85</v>
      </c>
      <c r="P498" s="8">
        <f t="shared" si="37"/>
        <v>4470</v>
      </c>
      <c r="Q498" s="8">
        <f t="shared" si="38"/>
        <v>445</v>
      </c>
      <c r="R498" s="2" t="s">
        <v>28</v>
      </c>
      <c r="S498" s="24">
        <f t="shared" si="39"/>
        <v>0.02</v>
      </c>
    </row>
    <row r="499" spans="1:19" x14ac:dyDescent="0.25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VLOOKUP(F499,'Customer Info'!$A:$B,2,0)</f>
        <v>Patrick</v>
      </c>
      <c r="H499" s="6" t="str">
        <f>VLOOKUP(F499,'Customer Info'!$A$1:$C$501,3,0)</f>
        <v>Bzostek</v>
      </c>
      <c r="I499" s="6" t="str">
        <f>VLOOKUP(F499,Customer,5,0)</f>
        <v>Brisbane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13458</v>
      </c>
      <c r="O499" s="2">
        <v>63</v>
      </c>
      <c r="P499" s="8">
        <f t="shared" si="37"/>
        <v>13521</v>
      </c>
      <c r="Q499" s="8">
        <f t="shared" si="38"/>
        <v>1458</v>
      </c>
      <c r="R499" s="2" t="s">
        <v>28</v>
      </c>
      <c r="S499" s="24">
        <f t="shared" si="39"/>
        <v>0.05</v>
      </c>
    </row>
    <row r="500" spans="1:19" x14ac:dyDescent="0.25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VLOOKUP(F500,'Customer Info'!$A:$B,2,0)</f>
        <v>Ryan</v>
      </c>
      <c r="H500" s="6" t="str">
        <f>VLOOKUP(F500,'Customer Info'!$A$1:$C$501,3,0)</f>
        <v>Crowe</v>
      </c>
      <c r="I500" s="6" t="str">
        <f>VLOOKUP(F500,Customer,5,0)</f>
        <v>Kanpur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1703</v>
      </c>
      <c r="O500" s="2">
        <v>32</v>
      </c>
      <c r="P500" s="8">
        <f t="shared" si="37"/>
        <v>1735</v>
      </c>
      <c r="Q500" s="8">
        <f t="shared" si="38"/>
        <v>64</v>
      </c>
      <c r="R500" s="2" t="s">
        <v>28</v>
      </c>
      <c r="S500" s="24">
        <f t="shared" si="39"/>
        <v>0.02</v>
      </c>
    </row>
    <row r="501" spans="1:19" x14ac:dyDescent="0.25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VLOOKUP(F501,'Customer Info'!$A:$B,2,0)</f>
        <v>Becky</v>
      </c>
      <c r="H501" s="6" t="str">
        <f>VLOOKUP(F501,'Customer Info'!$A$1:$C$501,3,0)</f>
        <v>Pak</v>
      </c>
      <c r="I501" s="6" t="str">
        <f>VLOOKUP(F501,Customer,5,0)</f>
        <v>Geelong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4443</v>
      </c>
      <c r="O501" s="2">
        <v>74</v>
      </c>
      <c r="P501" s="8">
        <f t="shared" si="37"/>
        <v>4517</v>
      </c>
      <c r="Q501" s="8">
        <f t="shared" si="38"/>
        <v>364</v>
      </c>
      <c r="R501" s="2" t="s">
        <v>28</v>
      </c>
      <c r="S501" s="24">
        <f t="shared" si="39"/>
        <v>0.02</v>
      </c>
    </row>
    <row r="502" spans="1:19" x14ac:dyDescent="0.25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VLOOKUP(F502,'Customer Info'!$A:$B,2,0)</f>
        <v>Ryan</v>
      </c>
      <c r="H502" s="6" t="str">
        <f>VLOOKUP(F502,'Customer Info'!$A$1:$C$501,3,0)</f>
        <v>Crowe</v>
      </c>
      <c r="I502" s="6" t="str">
        <f>VLOOKUP(F502,Customer,5,0)</f>
        <v>Kanpur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1283</v>
      </c>
      <c r="O502" s="2">
        <v>41</v>
      </c>
      <c r="P502" s="8">
        <f t="shared" si="37"/>
        <v>1324</v>
      </c>
      <c r="Q502" s="8">
        <f t="shared" si="38"/>
        <v>96</v>
      </c>
      <c r="R502" s="2" t="s">
        <v>50</v>
      </c>
      <c r="S502" s="24">
        <f t="shared" si="39"/>
        <v>0.02</v>
      </c>
    </row>
    <row r="503" spans="1:19" x14ac:dyDescent="0.25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VLOOKUP(F503,'Customer Info'!$A:$B,2,0)</f>
        <v>Jesus</v>
      </c>
      <c r="H503" s="6" t="str">
        <f>VLOOKUP(F503,'Customer Info'!$A$1:$C$501,3,0)</f>
        <v>Ocampo</v>
      </c>
      <c r="I503" s="6" t="str">
        <f>VLOOKUP(F503,Customer,5,0)</f>
        <v>Herten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12120</v>
      </c>
      <c r="O503" s="2">
        <v>71</v>
      </c>
      <c r="P503" s="8">
        <f t="shared" si="37"/>
        <v>12191</v>
      </c>
      <c r="Q503" s="8">
        <f t="shared" si="38"/>
        <v>116</v>
      </c>
      <c r="R503" s="2" t="s">
        <v>50</v>
      </c>
      <c r="S503" s="24">
        <f t="shared" si="39"/>
        <v>0.05</v>
      </c>
    </row>
    <row r="504" spans="1:19" x14ac:dyDescent="0.25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VLOOKUP(F504,'Customer Info'!$A:$B,2,0)</f>
        <v>Logan</v>
      </c>
      <c r="H504" s="6" t="str">
        <f>VLOOKUP(F504,'Customer Info'!$A$1:$C$501,3,0)</f>
        <v>Currie</v>
      </c>
      <c r="I504" s="6" t="str">
        <f>VLOOKUP(F504,Customer,5,0)</f>
        <v>Anshan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420</v>
      </c>
      <c r="O504" s="2">
        <v>99</v>
      </c>
      <c r="P504" s="8">
        <f t="shared" si="37"/>
        <v>519</v>
      </c>
      <c r="Q504" s="8">
        <f t="shared" si="38"/>
        <v>34</v>
      </c>
      <c r="R504" s="2" t="s">
        <v>50</v>
      </c>
      <c r="S504" s="24">
        <f t="shared" si="39"/>
        <v>0.02</v>
      </c>
    </row>
    <row r="505" spans="1:19" x14ac:dyDescent="0.25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VLOOKUP(F505,'Customer Info'!$A:$B,2,0)</f>
        <v>Justin</v>
      </c>
      <c r="H505" s="6" t="str">
        <f>VLOOKUP(F505,'Customer Info'!$A$1:$C$501,3,0)</f>
        <v>Deggeller</v>
      </c>
      <c r="I505" s="6" t="str">
        <f>VLOOKUP(F505,Customer,5,0)</f>
        <v>Gawler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122</v>
      </c>
      <c r="O505" s="2">
        <v>10</v>
      </c>
      <c r="P505" s="8">
        <f t="shared" si="37"/>
        <v>132</v>
      </c>
      <c r="Q505" s="8">
        <f t="shared" si="38"/>
        <v>10</v>
      </c>
      <c r="R505" s="2" t="s">
        <v>28</v>
      </c>
      <c r="S505" s="24">
        <f t="shared" si="39"/>
        <v>0.02</v>
      </c>
    </row>
    <row r="506" spans="1:19" x14ac:dyDescent="0.25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VLOOKUP(F506,'Customer Info'!$A:$B,2,0)</f>
        <v>Neil</v>
      </c>
      <c r="H506" s="6" t="str">
        <f>VLOOKUP(F506,'Customer Info'!$A$1:$C$501,3,0)</f>
        <v>Knudson</v>
      </c>
      <c r="I506" s="6" t="str">
        <f>VLOOKUP(F506,Customer,5,0)</f>
        <v>Malang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41342</v>
      </c>
      <c r="O506" s="2">
        <v>41</v>
      </c>
      <c r="P506" s="8">
        <f t="shared" si="37"/>
        <v>41383</v>
      </c>
      <c r="Q506" s="8">
        <f t="shared" si="38"/>
        <v>4480</v>
      </c>
      <c r="R506" s="2" t="s">
        <v>28</v>
      </c>
      <c r="S506" s="24">
        <f t="shared" si="39"/>
        <v>7.0000000000000007E-2</v>
      </c>
    </row>
    <row r="507" spans="1:19" x14ac:dyDescent="0.25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VLOOKUP(F507,'Customer Info'!$A:$B,2,0)</f>
        <v>Katrina</v>
      </c>
      <c r="H507" s="6" t="str">
        <f>VLOOKUP(F507,'Customer Info'!$A$1:$C$501,3,0)</f>
        <v>Bavinger</v>
      </c>
      <c r="I507" s="6" t="str">
        <f>VLOOKUP(F507,Customer,5,0)</f>
        <v>Melbourne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4494</v>
      </c>
      <c r="O507" s="2">
        <v>29</v>
      </c>
      <c r="P507" s="8">
        <f t="shared" si="37"/>
        <v>4523</v>
      </c>
      <c r="Q507" s="8">
        <f t="shared" si="38"/>
        <v>489</v>
      </c>
      <c r="R507" s="2" t="s">
        <v>28</v>
      </c>
      <c r="S507" s="24">
        <f t="shared" si="39"/>
        <v>0.02</v>
      </c>
    </row>
    <row r="508" spans="1:19" x14ac:dyDescent="0.25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VLOOKUP(F508,'Customer Info'!$A:$B,2,0)</f>
        <v>Kelly</v>
      </c>
      <c r="H508" s="6" t="str">
        <f>VLOOKUP(F508,'Customer Info'!$A$1:$C$501,3,0)</f>
        <v>Williams</v>
      </c>
      <c r="I508" s="6" t="str">
        <f>VLOOKUP(F508,Customer,5,0)</f>
        <v>Palu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1616</v>
      </c>
      <c r="O508" s="2">
        <v>58</v>
      </c>
      <c r="P508" s="8">
        <f t="shared" si="37"/>
        <v>1674</v>
      </c>
      <c r="Q508" s="8">
        <f t="shared" si="38"/>
        <v>132</v>
      </c>
      <c r="R508" s="2" t="s">
        <v>28</v>
      </c>
      <c r="S508" s="24">
        <f t="shared" si="39"/>
        <v>0.02</v>
      </c>
    </row>
    <row r="509" spans="1:19" x14ac:dyDescent="0.25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VLOOKUP(F509,'Customer Info'!$A:$B,2,0)</f>
        <v>Randy</v>
      </c>
      <c r="H509" s="6" t="str">
        <f>VLOOKUP(F509,'Customer Info'!$A$1:$C$501,3,0)</f>
        <v>Ferguson</v>
      </c>
      <c r="I509" s="6" t="str">
        <f>VLOOKUP(F509,Customer,5,0)</f>
        <v>Adelaide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29180</v>
      </c>
      <c r="O509" s="2">
        <v>24</v>
      </c>
      <c r="P509" s="8">
        <f t="shared" si="37"/>
        <v>29204</v>
      </c>
      <c r="Q509" s="8">
        <f t="shared" si="38"/>
        <v>1895</v>
      </c>
      <c r="R509" s="2" t="s">
        <v>50</v>
      </c>
      <c r="S509" s="24">
        <f t="shared" si="39"/>
        <v>7.0000000000000007E-2</v>
      </c>
    </row>
    <row r="510" spans="1:19" x14ac:dyDescent="0.25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>VLOOKUP(F510,'Customer Info'!$A:$B,2,0)</f>
        <v>Jack</v>
      </c>
      <c r="H510" s="6" t="str">
        <f>VLOOKUP(F510,'Customer Info'!$A$1:$C$501,3,0)</f>
        <v>Lebron</v>
      </c>
      <c r="I510" s="6" t="str">
        <f>VLOOKUP(F510,Customer,5,0)</f>
        <v>Erftstadt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1358</v>
      </c>
      <c r="O510" s="2">
        <v>36</v>
      </c>
      <c r="P510" s="8">
        <f t="shared" si="37"/>
        <v>1394</v>
      </c>
      <c r="Q510" s="8">
        <f t="shared" si="38"/>
        <v>101</v>
      </c>
      <c r="R510" s="2" t="s">
        <v>26</v>
      </c>
      <c r="S510" s="24">
        <f t="shared" si="39"/>
        <v>0.02</v>
      </c>
    </row>
    <row r="511" spans="1:19" x14ac:dyDescent="0.25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>VLOOKUP(F511,'Customer Info'!$A:$B,2,0)</f>
        <v>Brian</v>
      </c>
      <c r="H511" s="6" t="str">
        <f>VLOOKUP(F511,'Customer Info'!$A$1:$C$501,3,0)</f>
        <v>Stugart</v>
      </c>
      <c r="I511" s="6" t="str">
        <f>VLOOKUP(F511,Customer,5,0)</f>
        <v>Jakarta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372</v>
      </c>
      <c r="O511" s="2">
        <v>10</v>
      </c>
      <c r="P511" s="8">
        <f t="shared" si="37"/>
        <v>382</v>
      </c>
      <c r="Q511" s="8">
        <f t="shared" si="38"/>
        <v>28</v>
      </c>
      <c r="R511" s="2" t="s">
        <v>28</v>
      </c>
      <c r="S511" s="24">
        <f t="shared" si="39"/>
        <v>0.02</v>
      </c>
    </row>
    <row r="512" spans="1:19" x14ac:dyDescent="0.25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>VLOOKUP(F512,'Customer Info'!$A:$B,2,0)</f>
        <v>Russell</v>
      </c>
      <c r="H512" s="6" t="str">
        <f>VLOOKUP(F512,'Customer Info'!$A$1:$C$501,3,0)</f>
        <v>Applegate</v>
      </c>
      <c r="I512" s="6" t="str">
        <f>VLOOKUP(F512,Customer,5,0)</f>
        <v>Gorakhpur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1332</v>
      </c>
      <c r="O512" s="2">
        <v>25</v>
      </c>
      <c r="P512" s="8">
        <f t="shared" si="37"/>
        <v>1357</v>
      </c>
      <c r="Q512" s="8">
        <f t="shared" si="38"/>
        <v>108</v>
      </c>
      <c r="R512" s="2" t="s">
        <v>28</v>
      </c>
      <c r="S512" s="24">
        <f t="shared" si="39"/>
        <v>0.02</v>
      </c>
    </row>
    <row r="513" spans="1:19" x14ac:dyDescent="0.25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>VLOOKUP(F513,'Customer Info'!$A:$B,2,0)</f>
        <v>Lindsay</v>
      </c>
      <c r="H513" s="6" t="str">
        <f>VLOOKUP(F513,'Customer Info'!$A$1:$C$501,3,0)</f>
        <v>Williams</v>
      </c>
      <c r="I513" s="6" t="str">
        <f>VLOOKUP(F513,Customer,5,0)</f>
        <v>Akola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8996</v>
      </c>
      <c r="O513" s="2">
        <v>23</v>
      </c>
      <c r="P513" s="8">
        <f t="shared" si="37"/>
        <v>9019</v>
      </c>
      <c r="Q513" s="8">
        <f t="shared" si="38"/>
        <v>588</v>
      </c>
      <c r="R513" s="2" t="s">
        <v>26</v>
      </c>
      <c r="S513" s="24">
        <f t="shared" si="39"/>
        <v>0.05</v>
      </c>
    </row>
    <row r="514" spans="1:19" x14ac:dyDescent="0.25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>VLOOKUP(F514,'Customer Info'!$A:$B,2,0)</f>
        <v>Brad</v>
      </c>
      <c r="H514" s="6" t="str">
        <f>VLOOKUP(F514,'Customer Info'!$A$1:$C$501,3,0)</f>
        <v>Thomas</v>
      </c>
      <c r="I514" s="6" t="str">
        <f>VLOOKUP(F514,Customer,5,0)</f>
        <v>Bochum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142</v>
      </c>
      <c r="O514" s="2">
        <v>10</v>
      </c>
      <c r="P514" s="8">
        <f t="shared" si="37"/>
        <v>152</v>
      </c>
      <c r="Q514" s="8">
        <f t="shared" si="38"/>
        <v>14</v>
      </c>
      <c r="R514" s="2" t="s">
        <v>28</v>
      </c>
      <c r="S514" s="24">
        <f t="shared" si="39"/>
        <v>0.02</v>
      </c>
    </row>
    <row r="515" spans="1:19" x14ac:dyDescent="0.25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>VLOOKUP(F515,'Customer Info'!$A:$B,2,0)</f>
        <v>Harold</v>
      </c>
      <c r="H515" s="6" t="str">
        <f>VLOOKUP(F515,'Customer Info'!$A$1:$C$501,3,0)</f>
        <v>Dahlen</v>
      </c>
      <c r="I515" s="6" t="str">
        <f>VLOOKUP(F515,Customer,5,0)</f>
        <v>Melbourne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2249</v>
      </c>
      <c r="O515" s="2">
        <v>43</v>
      </c>
      <c r="P515" s="8">
        <f t="shared" si="37"/>
        <v>2292</v>
      </c>
      <c r="Q515" s="8">
        <f t="shared" si="38"/>
        <v>147</v>
      </c>
      <c r="R515" s="2" t="s">
        <v>28</v>
      </c>
      <c r="S515" s="24">
        <f t="shared" si="39"/>
        <v>0.02</v>
      </c>
    </row>
    <row r="516" spans="1:19" x14ac:dyDescent="0.25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>VLOOKUP(F516,'Customer Info'!$A:$B,2,0)</f>
        <v>Laurel</v>
      </c>
      <c r="H516" s="6" t="str">
        <f>VLOOKUP(F516,'Customer Info'!$A$1:$C$501,3,0)</f>
        <v>Beltran</v>
      </c>
      <c r="I516" s="6" t="str">
        <f>VLOOKUP(F516,Customer,5,0)</f>
        <v>Melbourne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174</v>
      </c>
      <c r="O516" s="2">
        <v>10</v>
      </c>
      <c r="P516" s="8">
        <f t="shared" si="37"/>
        <v>184</v>
      </c>
      <c r="Q516" s="8">
        <f t="shared" si="38"/>
        <v>14</v>
      </c>
      <c r="R516" s="2" t="s">
        <v>26</v>
      </c>
      <c r="S516" s="24">
        <f t="shared" si="39"/>
        <v>0.02</v>
      </c>
    </row>
    <row r="517" spans="1:19" x14ac:dyDescent="0.25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>VLOOKUP(F517,'Customer Info'!$A:$B,2,0)</f>
        <v>Carol</v>
      </c>
      <c r="H517" s="6" t="str">
        <f>VLOOKUP(F517,'Customer Info'!$A$1:$C$501,3,0)</f>
        <v>Adams</v>
      </c>
      <c r="I517" s="6" t="str">
        <f>VLOOKUP(F517,Customer,5,0)</f>
        <v>Cairns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21636</v>
      </c>
      <c r="O517" s="2">
        <v>68</v>
      </c>
      <c r="P517" s="8">
        <f t="shared" si="37"/>
        <v>21704</v>
      </c>
      <c r="Q517" s="8">
        <f t="shared" si="38"/>
        <v>1425</v>
      </c>
      <c r="R517" s="2" t="s">
        <v>50</v>
      </c>
      <c r="S517" s="24">
        <f t="shared" si="39"/>
        <v>0.05</v>
      </c>
    </row>
    <row r="518" spans="1:19" x14ac:dyDescent="0.25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>VLOOKUP(F518,'Customer Info'!$A:$B,2,0)</f>
        <v>David</v>
      </c>
      <c r="H518" s="6" t="str">
        <f>VLOOKUP(F518,'Customer Info'!$A$1:$C$501,3,0)</f>
        <v>Smith</v>
      </c>
      <c r="I518" s="6" t="str">
        <f>VLOOKUP(F518,Customer,5,0)</f>
        <v>Surat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2422</v>
      </c>
      <c r="O518" s="2">
        <v>30</v>
      </c>
      <c r="P518" s="8">
        <f t="shared" si="37"/>
        <v>2452</v>
      </c>
      <c r="Q518" s="8">
        <f t="shared" si="38"/>
        <v>252</v>
      </c>
      <c r="R518" s="2" t="s">
        <v>28</v>
      </c>
      <c r="S518" s="24">
        <f t="shared" si="39"/>
        <v>0.02</v>
      </c>
    </row>
    <row r="519" spans="1:19" x14ac:dyDescent="0.25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>VLOOKUP(F519,'Customer Info'!$A:$B,2,0)</f>
        <v>Anthony</v>
      </c>
      <c r="H519" s="6" t="str">
        <f>VLOOKUP(F519,'Customer Info'!$A$1:$C$501,3,0)</f>
        <v>O'Donnell</v>
      </c>
      <c r="I519" s="6" t="str">
        <f>VLOOKUP(F519,Customer,5,0)</f>
        <v>Berlin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20103</v>
      </c>
      <c r="O519" s="2">
        <v>57</v>
      </c>
      <c r="P519" s="8">
        <f t="shared" si="37"/>
        <v>20160</v>
      </c>
      <c r="Q519" s="8">
        <f t="shared" si="38"/>
        <v>951</v>
      </c>
      <c r="R519" s="2" t="s">
        <v>50</v>
      </c>
      <c r="S519" s="24">
        <f t="shared" si="39"/>
        <v>0.05</v>
      </c>
    </row>
    <row r="520" spans="1:19" x14ac:dyDescent="0.25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>VLOOKUP(F520,'Customer Info'!$A:$B,2,0)</f>
        <v>Shui</v>
      </c>
      <c r="H520" s="6" t="str">
        <f>VLOOKUP(F520,'Customer Info'!$A$1:$C$501,3,0)</f>
        <v>Tom</v>
      </c>
      <c r="I520" s="6" t="str">
        <f>VLOOKUP(F520,Customer,5,0)</f>
        <v>Melbourne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206</v>
      </c>
      <c r="O520" s="2">
        <v>30</v>
      </c>
      <c r="P520" s="8">
        <f t="shared" si="37"/>
        <v>236</v>
      </c>
      <c r="Q520" s="8">
        <f t="shared" si="38"/>
        <v>17</v>
      </c>
      <c r="R520" s="2" t="s">
        <v>50</v>
      </c>
      <c r="S520" s="24">
        <f t="shared" si="39"/>
        <v>0.02</v>
      </c>
    </row>
    <row r="521" spans="1:19" x14ac:dyDescent="0.25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>VLOOKUP(F521,'Customer Info'!$A:$B,2,0)</f>
        <v>Cindy</v>
      </c>
      <c r="H521" s="6" t="str">
        <f>VLOOKUP(F521,'Customer Info'!$A$1:$C$501,3,0)</f>
        <v>Schnelling</v>
      </c>
      <c r="I521" s="6" t="str">
        <f>VLOOKUP(F521,Customer,5,0)</f>
        <v>Balikpapan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72114</v>
      </c>
      <c r="O521" s="2">
        <v>47</v>
      </c>
      <c r="P521" s="8">
        <f t="shared" si="37"/>
        <v>72161</v>
      </c>
      <c r="Q521" s="8">
        <f t="shared" si="38"/>
        <v>4058</v>
      </c>
      <c r="R521" s="2" t="s">
        <v>28</v>
      </c>
      <c r="S521" s="24">
        <f t="shared" si="39"/>
        <v>0.09</v>
      </c>
    </row>
    <row r="522" spans="1:19" x14ac:dyDescent="0.25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>VLOOKUP(F522,'Customer Info'!$A:$B,2,0)</f>
        <v>Andrew</v>
      </c>
      <c r="H522" s="6" t="str">
        <f>VLOOKUP(F522,'Customer Info'!$A$1:$C$501,3,0)</f>
        <v>Gjertsen</v>
      </c>
      <c r="I522" s="6" t="str">
        <f>VLOOKUP(F522,Customer,5,0)</f>
        <v>Hamburg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417</v>
      </c>
      <c r="O522" s="2">
        <v>30</v>
      </c>
      <c r="P522" s="8">
        <f t="shared" si="37"/>
        <v>447</v>
      </c>
      <c r="Q522" s="8">
        <f t="shared" si="38"/>
        <v>18</v>
      </c>
      <c r="R522" s="2" t="s">
        <v>28</v>
      </c>
      <c r="S522" s="24">
        <f t="shared" si="39"/>
        <v>0.02</v>
      </c>
    </row>
    <row r="523" spans="1:19" x14ac:dyDescent="0.25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>VLOOKUP(F523,'Customer Info'!$A:$B,2,0)</f>
        <v>Christy</v>
      </c>
      <c r="H523" s="6" t="str">
        <f>VLOOKUP(F523,'Customer Info'!$A$1:$C$501,3,0)</f>
        <v>Brittain</v>
      </c>
      <c r="I523" s="6" t="str">
        <f>VLOOKUP(F523,Customer,5,0)</f>
        <v>Ajmer</v>
      </c>
      <c r="J523" s="2">
        <v>2843</v>
      </c>
      <c r="K523" s="2">
        <v>2735</v>
      </c>
      <c r="L523" s="2">
        <v>5</v>
      </c>
      <c r="M523" s="7">
        <f t="shared" ref="M523:M586" si="40">K523*L523</f>
        <v>13675</v>
      </c>
      <c r="N523" s="7">
        <f t="shared" ref="N523:N586" si="41">J523*L523</f>
        <v>14215</v>
      </c>
      <c r="O523" s="2">
        <v>98</v>
      </c>
      <c r="P523" s="8">
        <f t="shared" ref="P523:P586" si="42">N523+O523</f>
        <v>14313</v>
      </c>
      <c r="Q523" s="8">
        <f t="shared" ref="Q523:Q586" si="43">N523-M523</f>
        <v>540</v>
      </c>
      <c r="R523" s="2" t="s">
        <v>28</v>
      </c>
      <c r="S523" s="24">
        <f t="shared" ref="S523:S586" si="44">VLOOKUP(N523,$T$1:$U$7,2,TRUE)</f>
        <v>0.05</v>
      </c>
    </row>
    <row r="524" spans="1:19" x14ac:dyDescent="0.25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>VLOOKUP(F524,'Customer Info'!$A:$B,2,0)</f>
        <v>Steven</v>
      </c>
      <c r="H524" s="6" t="str">
        <f>VLOOKUP(F524,'Customer Info'!$A$1:$C$501,3,0)</f>
        <v>Cartwright</v>
      </c>
      <c r="I524" s="6" t="str">
        <f>VLOOKUP(F524,Customer,5,0)</f>
        <v>Newcastle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8">
        <f t="shared" si="42"/>
        <v>8654</v>
      </c>
      <c r="Q524" s="8">
        <f t="shared" si="43"/>
        <v>564</v>
      </c>
      <c r="R524" s="2" t="s">
        <v>50</v>
      </c>
      <c r="S524" s="24">
        <f t="shared" si="44"/>
        <v>0.05</v>
      </c>
    </row>
    <row r="525" spans="1:19" x14ac:dyDescent="0.25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>VLOOKUP(F525,'Customer Info'!$A:$B,2,0)</f>
        <v>Stefanie</v>
      </c>
      <c r="H525" s="6" t="str">
        <f>VLOOKUP(F525,'Customer Info'!$A$1:$C$501,3,0)</f>
        <v>Holloman</v>
      </c>
      <c r="I525" s="6" t="str">
        <f>VLOOKUP(F525,Customer,5,0)</f>
        <v>Durgapur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8">
        <f t="shared" si="42"/>
        <v>213</v>
      </c>
      <c r="Q525" s="8">
        <f t="shared" si="43"/>
        <v>15</v>
      </c>
      <c r="R525" s="2" t="s">
        <v>28</v>
      </c>
      <c r="S525" s="24">
        <f t="shared" si="44"/>
        <v>0.02</v>
      </c>
    </row>
    <row r="526" spans="1:19" x14ac:dyDescent="0.25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>VLOOKUP(F526,'Customer Info'!$A:$B,2,0)</f>
        <v>Max</v>
      </c>
      <c r="H526" s="6" t="str">
        <f>VLOOKUP(F526,'Customer Info'!$A$1:$C$501,3,0)</f>
        <v>Ludwig</v>
      </c>
      <c r="I526" s="6" t="str">
        <f>VLOOKUP(F526,Customer,5,0)</f>
        <v>Newcastle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8">
        <f t="shared" si="42"/>
        <v>5799</v>
      </c>
      <c r="Q526" s="8">
        <f t="shared" si="43"/>
        <v>470</v>
      </c>
      <c r="R526" s="2" t="s">
        <v>50</v>
      </c>
      <c r="S526" s="24">
        <f t="shared" si="44"/>
        <v>0.05</v>
      </c>
    </row>
    <row r="527" spans="1:19" x14ac:dyDescent="0.25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>VLOOKUP(F527,'Customer Info'!$A:$B,2,0)</f>
        <v>Anemone</v>
      </c>
      <c r="H527" s="6" t="str">
        <f>VLOOKUP(F527,'Customer Info'!$A$1:$C$501,3,0)</f>
        <v>Ratner</v>
      </c>
      <c r="I527" s="6" t="str">
        <f>VLOOKUP(F527,Customer,5,0)</f>
        <v>Pune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8">
        <f t="shared" si="42"/>
        <v>106136</v>
      </c>
      <c r="Q527" s="8">
        <f t="shared" si="43"/>
        <v>6939</v>
      </c>
      <c r="R527" s="2" t="s">
        <v>28</v>
      </c>
      <c r="S527" s="24">
        <f t="shared" si="44"/>
        <v>0.12</v>
      </c>
    </row>
    <row r="528" spans="1:19" x14ac:dyDescent="0.25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>VLOOKUP(F528,'Customer Info'!$A:$B,2,0)</f>
        <v>Eugene</v>
      </c>
      <c r="H528" s="6" t="str">
        <f>VLOOKUP(F528,'Customer Info'!$A$1:$C$501,3,0)</f>
        <v>Hildebrand</v>
      </c>
      <c r="I528" s="6" t="str">
        <f>VLOOKUP(F528,Customer,5,0)</f>
        <v>Coffs Harbour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8968</v>
      </c>
      <c r="O528" s="2">
        <v>94</v>
      </c>
      <c r="P528" s="8">
        <f t="shared" si="42"/>
        <v>9062</v>
      </c>
      <c r="Q528" s="8">
        <f t="shared" si="43"/>
        <v>668</v>
      </c>
      <c r="R528" s="2" t="s">
        <v>28</v>
      </c>
      <c r="S528" s="24">
        <f t="shared" si="44"/>
        <v>0.05</v>
      </c>
    </row>
    <row r="529" spans="1:19" x14ac:dyDescent="0.25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>VLOOKUP(F529,'Customer Info'!$A:$B,2,0)</f>
        <v>Cathy</v>
      </c>
      <c r="H529" s="6" t="str">
        <f>VLOOKUP(F529,'Customer Info'!$A$1:$C$501,3,0)</f>
        <v>Hwang</v>
      </c>
      <c r="I529" s="6" t="str">
        <f>VLOOKUP(F529,Customer,5,0)</f>
        <v>Trier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17611</v>
      </c>
      <c r="O529" s="2">
        <v>83</v>
      </c>
      <c r="P529" s="8">
        <f t="shared" si="42"/>
        <v>17694</v>
      </c>
      <c r="Q529" s="8">
        <f t="shared" si="43"/>
        <v>1001</v>
      </c>
      <c r="R529" s="2" t="s">
        <v>50</v>
      </c>
      <c r="S529" s="24">
        <f t="shared" si="44"/>
        <v>0.05</v>
      </c>
    </row>
    <row r="530" spans="1:19" x14ac:dyDescent="0.25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>VLOOKUP(F530,'Customer Info'!$A:$B,2,0)</f>
        <v>Harold</v>
      </c>
      <c r="H530" s="6" t="str">
        <f>VLOOKUP(F530,'Customer Info'!$A$1:$C$501,3,0)</f>
        <v>Dahlen</v>
      </c>
      <c r="I530" s="6" t="str">
        <f>VLOOKUP(F530,Customer,5,0)</f>
        <v>Jakarta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2073</v>
      </c>
      <c r="O530" s="2">
        <v>83</v>
      </c>
      <c r="P530" s="8">
        <f t="shared" si="42"/>
        <v>2156</v>
      </c>
      <c r="Q530" s="8">
        <f t="shared" si="43"/>
        <v>135</v>
      </c>
      <c r="R530" s="2" t="s">
        <v>26</v>
      </c>
      <c r="S530" s="24">
        <f t="shared" si="44"/>
        <v>0.02</v>
      </c>
    </row>
    <row r="531" spans="1:19" x14ac:dyDescent="0.25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>VLOOKUP(F531,'Customer Info'!$A:$B,2,0)</f>
        <v>Ralph</v>
      </c>
      <c r="H531" s="6" t="str">
        <f>VLOOKUP(F531,'Customer Info'!$A$1:$C$501,3,0)</f>
        <v>Arnett</v>
      </c>
      <c r="I531" s="6" t="str">
        <f>VLOOKUP(F531,Customer,5,0)</f>
        <v>Jhansi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75898</v>
      </c>
      <c r="O531" s="2">
        <v>68</v>
      </c>
      <c r="P531" s="8">
        <f t="shared" si="42"/>
        <v>75966</v>
      </c>
      <c r="Q531" s="8">
        <f t="shared" si="43"/>
        <v>6266</v>
      </c>
      <c r="R531" s="2" t="s">
        <v>28</v>
      </c>
      <c r="S531" s="24">
        <f t="shared" si="44"/>
        <v>0.09</v>
      </c>
    </row>
    <row r="532" spans="1:19" x14ac:dyDescent="0.25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>VLOOKUP(F532,'Customer Info'!$A:$B,2,0)</f>
        <v>Evan</v>
      </c>
      <c r="H532" s="6" t="str">
        <f>VLOOKUP(F532,'Customer Info'!$A$1:$C$501,3,0)</f>
        <v>Bailliet</v>
      </c>
      <c r="I532" s="6" t="str">
        <f>VLOOKUP(F532,Customer,5,0)</f>
        <v>Sydney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16562</v>
      </c>
      <c r="O532" s="2">
        <v>100</v>
      </c>
      <c r="P532" s="8">
        <f t="shared" si="42"/>
        <v>16662</v>
      </c>
      <c r="Q532" s="8">
        <f t="shared" si="43"/>
        <v>1216</v>
      </c>
      <c r="R532" s="2" t="s">
        <v>26</v>
      </c>
      <c r="S532" s="24">
        <f t="shared" si="44"/>
        <v>0.05</v>
      </c>
    </row>
    <row r="533" spans="1:19" x14ac:dyDescent="0.25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>VLOOKUP(F533,'Customer Info'!$A:$B,2,0)</f>
        <v>Jessica</v>
      </c>
      <c r="H533" s="6" t="str">
        <f>VLOOKUP(F533,'Customer Info'!$A$1:$C$501,3,0)</f>
        <v>Myrick</v>
      </c>
      <c r="I533" s="6" t="str">
        <f>VLOOKUP(F533,Customer,5,0)</f>
        <v>Jakarta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1935</v>
      </c>
      <c r="O533" s="2">
        <v>30</v>
      </c>
      <c r="P533" s="8">
        <f t="shared" si="42"/>
        <v>1965</v>
      </c>
      <c r="Q533" s="8">
        <f t="shared" si="43"/>
        <v>240</v>
      </c>
      <c r="R533" s="2" t="s">
        <v>28</v>
      </c>
      <c r="S533" s="24">
        <f t="shared" si="44"/>
        <v>0.02</v>
      </c>
    </row>
    <row r="534" spans="1:19" x14ac:dyDescent="0.25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>VLOOKUP(F534,'Customer Info'!$A:$B,2,0)</f>
        <v>Steven</v>
      </c>
      <c r="H534" s="6" t="str">
        <f>VLOOKUP(F534,'Customer Info'!$A$1:$C$501,3,0)</f>
        <v>Cartwright</v>
      </c>
      <c r="I534" s="6" t="str">
        <f>VLOOKUP(F534,Customer,5,0)</f>
        <v>Newcastle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24160</v>
      </c>
      <c r="O534" s="2">
        <v>53</v>
      </c>
      <c r="P534" s="8">
        <f t="shared" si="42"/>
        <v>24213</v>
      </c>
      <c r="Q534" s="8">
        <f t="shared" si="43"/>
        <v>1345</v>
      </c>
      <c r="R534" s="2" t="s">
        <v>50</v>
      </c>
      <c r="S534" s="24">
        <f t="shared" si="44"/>
        <v>0.05</v>
      </c>
    </row>
    <row r="535" spans="1:19" x14ac:dyDescent="0.25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>VLOOKUP(F535,'Customer Info'!$A:$B,2,0)</f>
        <v>Liz</v>
      </c>
      <c r="H535" s="6" t="str">
        <f>VLOOKUP(F535,'Customer Info'!$A$1:$C$501,3,0)</f>
        <v>Pelletier</v>
      </c>
      <c r="I535" s="6" t="str">
        <f>VLOOKUP(F535,Customer,5,0)</f>
        <v>Zigong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1414</v>
      </c>
      <c r="O535" s="2">
        <v>30</v>
      </c>
      <c r="P535" s="8">
        <f t="shared" si="42"/>
        <v>1444</v>
      </c>
      <c r="Q535" s="8">
        <f t="shared" si="43"/>
        <v>105</v>
      </c>
      <c r="R535" s="2" t="s">
        <v>50</v>
      </c>
      <c r="S535" s="24">
        <f t="shared" si="44"/>
        <v>0.02</v>
      </c>
    </row>
    <row r="536" spans="1:19" x14ac:dyDescent="0.25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>VLOOKUP(F536,'Customer Info'!$A:$B,2,0)</f>
        <v>William</v>
      </c>
      <c r="H536" s="6" t="str">
        <f>VLOOKUP(F536,'Customer Info'!$A$1:$C$501,3,0)</f>
        <v>Brown</v>
      </c>
      <c r="I536" s="6" t="str">
        <f>VLOOKUP(F536,Customer,5,0)</f>
        <v>Denpasar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710</v>
      </c>
      <c r="O536" s="2">
        <v>30</v>
      </c>
      <c r="P536" s="8">
        <f t="shared" si="42"/>
        <v>740</v>
      </c>
      <c r="Q536" s="8">
        <f t="shared" si="43"/>
        <v>65</v>
      </c>
      <c r="R536" s="2" t="s">
        <v>28</v>
      </c>
      <c r="S536" s="24">
        <f t="shared" si="44"/>
        <v>0.02</v>
      </c>
    </row>
    <row r="537" spans="1:19" x14ac:dyDescent="0.25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>VLOOKUP(F537,'Customer Info'!$A:$B,2,0)</f>
        <v>Aaron</v>
      </c>
      <c r="H537" s="6" t="str">
        <f>VLOOKUP(F537,'Customer Info'!$A$1:$C$501,3,0)</f>
        <v>Smayling</v>
      </c>
      <c r="I537" s="6" t="str">
        <f>VLOOKUP(F537,Customer,5,0)</f>
        <v>Dresden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11207</v>
      </c>
      <c r="O537" s="2">
        <v>31</v>
      </c>
      <c r="P537" s="8">
        <f t="shared" si="42"/>
        <v>11238</v>
      </c>
      <c r="Q537" s="8">
        <f t="shared" si="43"/>
        <v>637</v>
      </c>
      <c r="R537" s="2" t="s">
        <v>50</v>
      </c>
      <c r="S537" s="24">
        <f t="shared" si="44"/>
        <v>0.05</v>
      </c>
    </row>
    <row r="538" spans="1:19" x14ac:dyDescent="0.25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>VLOOKUP(F538,'Customer Info'!$A:$B,2,0)</f>
        <v>Logan</v>
      </c>
      <c r="H538" s="6" t="str">
        <f>VLOOKUP(F538,'Customer Info'!$A$1:$C$501,3,0)</f>
        <v>Currie</v>
      </c>
      <c r="I538" s="6" t="str">
        <f>VLOOKUP(F538,Customer,5,0)</f>
        <v>Gold Coast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15728</v>
      </c>
      <c r="O538" s="2">
        <v>59</v>
      </c>
      <c r="P538" s="8">
        <f t="shared" si="42"/>
        <v>15787</v>
      </c>
      <c r="Q538" s="8">
        <f t="shared" si="43"/>
        <v>602</v>
      </c>
      <c r="R538" s="2" t="s">
        <v>28</v>
      </c>
      <c r="S538" s="24">
        <f t="shared" si="44"/>
        <v>0.05</v>
      </c>
    </row>
    <row r="539" spans="1:19" x14ac:dyDescent="0.25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>VLOOKUP(F539,'Customer Info'!$A:$B,2,0)</f>
        <v>Claudia</v>
      </c>
      <c r="H539" s="6" t="str">
        <f>VLOOKUP(F539,'Customer Info'!$A$1:$C$501,3,0)</f>
        <v>Bergmann</v>
      </c>
      <c r="I539" s="6" t="str">
        <f>VLOOKUP(F539,Customer,5,0)</f>
        <v>Aschaffenburg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6027</v>
      </c>
      <c r="O539" s="2">
        <v>83</v>
      </c>
      <c r="P539" s="8">
        <f t="shared" si="42"/>
        <v>6110</v>
      </c>
      <c r="Q539" s="8">
        <f t="shared" si="43"/>
        <v>333</v>
      </c>
      <c r="R539" s="2" t="s">
        <v>50</v>
      </c>
      <c r="S539" s="24">
        <f t="shared" si="44"/>
        <v>0.05</v>
      </c>
    </row>
    <row r="540" spans="1:19" x14ac:dyDescent="0.25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>VLOOKUP(F540,'Customer Info'!$A:$B,2,0)</f>
        <v>Craig</v>
      </c>
      <c r="H540" s="6" t="str">
        <f>VLOOKUP(F540,'Customer Info'!$A$1:$C$501,3,0)</f>
        <v>Carreira</v>
      </c>
      <c r="I540" s="6" t="str">
        <f>VLOOKUP(F540,Customer,5,0)</f>
        <v>Worms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2798</v>
      </c>
      <c r="O540" s="2">
        <v>37</v>
      </c>
      <c r="P540" s="8">
        <f t="shared" si="42"/>
        <v>2835</v>
      </c>
      <c r="Q540" s="8">
        <f t="shared" si="43"/>
        <v>132</v>
      </c>
      <c r="R540" s="2" t="s">
        <v>28</v>
      </c>
      <c r="S540" s="24">
        <f t="shared" si="44"/>
        <v>0.02</v>
      </c>
    </row>
    <row r="541" spans="1:19" x14ac:dyDescent="0.25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>VLOOKUP(F541,'Customer Info'!$A:$B,2,0)</f>
        <v>Carol</v>
      </c>
      <c r="H541" s="6" t="str">
        <f>VLOOKUP(F541,'Customer Info'!$A$1:$C$501,3,0)</f>
        <v>Adams</v>
      </c>
      <c r="I541" s="6" t="str">
        <f>VLOOKUP(F541,Customer,5,0)</f>
        <v>Cairns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2844</v>
      </c>
      <c r="O541" s="2">
        <v>43</v>
      </c>
      <c r="P541" s="8">
        <f t="shared" si="42"/>
        <v>2887</v>
      </c>
      <c r="Q541" s="8">
        <f t="shared" si="43"/>
        <v>186</v>
      </c>
      <c r="R541" s="2" t="s">
        <v>50</v>
      </c>
      <c r="S541" s="24">
        <f t="shared" si="44"/>
        <v>0.02</v>
      </c>
    </row>
    <row r="542" spans="1:19" x14ac:dyDescent="0.25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>VLOOKUP(F542,'Customer Info'!$A:$B,2,0)</f>
        <v>Muhammed</v>
      </c>
      <c r="H542" s="6" t="str">
        <f>VLOOKUP(F542,'Customer Info'!$A$1:$C$501,3,0)</f>
        <v>MacIntyre</v>
      </c>
      <c r="I542" s="6" t="str">
        <f>VLOOKUP(F542,Customer,5,0)</f>
        <v>Lohne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17094</v>
      </c>
      <c r="O542" s="2">
        <v>92</v>
      </c>
      <c r="P542" s="8">
        <f t="shared" si="42"/>
        <v>17186</v>
      </c>
      <c r="Q542" s="8">
        <f t="shared" si="43"/>
        <v>966</v>
      </c>
      <c r="R542" s="2" t="s">
        <v>28</v>
      </c>
      <c r="S542" s="24">
        <f t="shared" si="44"/>
        <v>0.05</v>
      </c>
    </row>
    <row r="543" spans="1:19" x14ac:dyDescent="0.25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>VLOOKUP(F543,'Customer Info'!$A:$B,2,0)</f>
        <v>Craig</v>
      </c>
      <c r="H543" s="6" t="str">
        <f>VLOOKUP(F543,'Customer Info'!$A$1:$C$501,3,0)</f>
        <v>Carroll</v>
      </c>
      <c r="I543" s="6" t="str">
        <f>VLOOKUP(F543,Customer,5,0)</f>
        <v>Augsburg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1845</v>
      </c>
      <c r="O543" s="2">
        <v>24</v>
      </c>
      <c r="P543" s="8">
        <f t="shared" si="42"/>
        <v>1869</v>
      </c>
      <c r="Q543" s="8">
        <f t="shared" si="43"/>
        <v>103</v>
      </c>
      <c r="R543" s="2" t="s">
        <v>50</v>
      </c>
      <c r="S543" s="24">
        <f t="shared" si="44"/>
        <v>0.02</v>
      </c>
    </row>
    <row r="544" spans="1:19" x14ac:dyDescent="0.25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>VLOOKUP(F544,'Customer Info'!$A:$B,2,0)</f>
        <v>Michael</v>
      </c>
      <c r="H544" s="6" t="str">
        <f>VLOOKUP(F544,'Customer Info'!$A$1:$C$501,3,0)</f>
        <v>Nguyen</v>
      </c>
      <c r="I544" s="6" t="str">
        <f>VLOOKUP(F544,Customer,5,0)</f>
        <v>Berlin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732</v>
      </c>
      <c r="O544" s="2">
        <v>30</v>
      </c>
      <c r="P544" s="8">
        <f t="shared" si="42"/>
        <v>762</v>
      </c>
      <c r="Q544" s="8">
        <f t="shared" si="43"/>
        <v>44</v>
      </c>
      <c r="R544" s="2" t="s">
        <v>28</v>
      </c>
      <c r="S544" s="24">
        <f t="shared" si="44"/>
        <v>0.02</v>
      </c>
    </row>
    <row r="545" spans="1:19" x14ac:dyDescent="0.25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>VLOOKUP(F545,'Customer Info'!$A:$B,2,0)</f>
        <v>Annie</v>
      </c>
      <c r="H545" s="6" t="str">
        <f>VLOOKUP(F545,'Customer Info'!$A$1:$C$501,3,0)</f>
        <v>Thurman</v>
      </c>
      <c r="I545" s="6" t="str">
        <f>VLOOKUP(F545,Customer,5,0)</f>
        <v>Sydney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17772</v>
      </c>
      <c r="O545" s="2">
        <v>43</v>
      </c>
      <c r="P545" s="8">
        <f t="shared" si="42"/>
        <v>17815</v>
      </c>
      <c r="Q545" s="8">
        <f t="shared" si="43"/>
        <v>1456</v>
      </c>
      <c r="R545" s="2" t="s">
        <v>28</v>
      </c>
      <c r="S545" s="24">
        <f t="shared" si="44"/>
        <v>0.05</v>
      </c>
    </row>
    <row r="546" spans="1:19" x14ac:dyDescent="0.25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>VLOOKUP(F546,'Customer Info'!$A:$B,2,0)</f>
        <v>Scott</v>
      </c>
      <c r="H546" s="6" t="str">
        <f>VLOOKUP(F546,'Customer Info'!$A$1:$C$501,3,0)</f>
        <v>Cohen</v>
      </c>
      <c r="I546" s="6" t="str">
        <f>VLOOKUP(F546,Customer,5,0)</f>
        <v>Freiburg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5362</v>
      </c>
      <c r="O546" s="2">
        <v>83</v>
      </c>
      <c r="P546" s="8">
        <f t="shared" si="42"/>
        <v>5445</v>
      </c>
      <c r="Q546" s="8">
        <f t="shared" si="43"/>
        <v>446</v>
      </c>
      <c r="R546" s="2" t="s">
        <v>28</v>
      </c>
      <c r="S546" s="24">
        <f t="shared" si="44"/>
        <v>0.05</v>
      </c>
    </row>
    <row r="547" spans="1:19" x14ac:dyDescent="0.25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>VLOOKUP(F547,'Customer Info'!$A:$B,2,0)</f>
        <v>Pauline</v>
      </c>
      <c r="H547" s="6" t="str">
        <f>VLOOKUP(F547,'Customer Info'!$A$1:$C$501,3,0)</f>
        <v>Chand</v>
      </c>
      <c r="I547" s="6" t="str">
        <f>VLOOKUP(F547,Customer,5,0)</f>
        <v>Perth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15540</v>
      </c>
      <c r="O547" s="2">
        <v>76</v>
      </c>
      <c r="P547" s="8">
        <f t="shared" si="42"/>
        <v>15616</v>
      </c>
      <c r="Q547" s="8">
        <f t="shared" si="43"/>
        <v>1130</v>
      </c>
      <c r="R547" s="2" t="s">
        <v>50</v>
      </c>
      <c r="S547" s="24">
        <f t="shared" si="44"/>
        <v>0.05</v>
      </c>
    </row>
    <row r="548" spans="1:19" x14ac:dyDescent="0.25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>VLOOKUP(F548,'Customer Info'!$A:$B,2,0)</f>
        <v>Andrew</v>
      </c>
      <c r="H548" s="6" t="str">
        <f>VLOOKUP(F548,'Customer Info'!$A$1:$C$501,3,0)</f>
        <v>Gjertsen</v>
      </c>
      <c r="I548" s="6" t="str">
        <f>VLOOKUP(F548,Customer,5,0)</f>
        <v>Hamburg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234570</v>
      </c>
      <c r="O548" s="2">
        <v>99</v>
      </c>
      <c r="P548" s="8">
        <f t="shared" si="42"/>
        <v>234669</v>
      </c>
      <c r="Q548" s="8">
        <f t="shared" si="43"/>
        <v>21474</v>
      </c>
      <c r="R548" s="2" t="s">
        <v>28</v>
      </c>
      <c r="S548" s="24">
        <f t="shared" si="44"/>
        <v>0.12</v>
      </c>
    </row>
    <row r="549" spans="1:19" x14ac:dyDescent="0.25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>VLOOKUP(F549,'Customer Info'!$A:$B,2,0)</f>
        <v>Jennifer</v>
      </c>
      <c r="H549" s="6" t="str">
        <f>VLOOKUP(F549,'Customer Info'!$A$1:$C$501,3,0)</f>
        <v>Halladay</v>
      </c>
      <c r="I549" s="6" t="str">
        <f>VLOOKUP(F549,Customer,5,0)</f>
        <v>Bielefeld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1593</v>
      </c>
      <c r="O549" s="2">
        <v>33</v>
      </c>
      <c r="P549" s="8">
        <f t="shared" si="42"/>
        <v>1626</v>
      </c>
      <c r="Q549" s="8">
        <f t="shared" si="43"/>
        <v>132</v>
      </c>
      <c r="R549" s="2" t="s">
        <v>26</v>
      </c>
      <c r="S549" s="24">
        <f t="shared" si="44"/>
        <v>0.02</v>
      </c>
    </row>
    <row r="550" spans="1:19" x14ac:dyDescent="0.25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>VLOOKUP(F550,'Customer Info'!$A:$B,2,0)</f>
        <v>Duane</v>
      </c>
      <c r="H550" s="6" t="str">
        <f>VLOOKUP(F550,'Customer Info'!$A$1:$C$501,3,0)</f>
        <v>Benoit</v>
      </c>
      <c r="I550" s="6" t="str">
        <f>VLOOKUP(F550,Customer,5,0)</f>
        <v>Tamworth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1224</v>
      </c>
      <c r="O550" s="2">
        <v>30</v>
      </c>
      <c r="P550" s="8">
        <f t="shared" si="42"/>
        <v>1254</v>
      </c>
      <c r="Q550" s="8">
        <f t="shared" si="43"/>
        <v>54</v>
      </c>
      <c r="R550" s="2" t="s">
        <v>28</v>
      </c>
      <c r="S550" s="24">
        <f t="shared" si="44"/>
        <v>0.02</v>
      </c>
    </row>
    <row r="551" spans="1:19" x14ac:dyDescent="0.25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>VLOOKUP(F551,'Customer Info'!$A:$B,2,0)</f>
        <v>Troy</v>
      </c>
      <c r="H551" s="6" t="str">
        <f>VLOOKUP(F551,'Customer Info'!$A$1:$C$501,3,0)</f>
        <v>Staebel</v>
      </c>
      <c r="I551" s="6" t="str">
        <f>VLOOKUP(F551,Customer,5,0)</f>
        <v>Canberra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6888</v>
      </c>
      <c r="O551" s="2">
        <v>68</v>
      </c>
      <c r="P551" s="8">
        <f t="shared" si="42"/>
        <v>6956</v>
      </c>
      <c r="Q551" s="8">
        <f t="shared" si="43"/>
        <v>450</v>
      </c>
      <c r="R551" s="2" t="s">
        <v>28</v>
      </c>
      <c r="S551" s="24">
        <f t="shared" si="44"/>
        <v>0.05</v>
      </c>
    </row>
    <row r="552" spans="1:19" x14ac:dyDescent="0.25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>VLOOKUP(F552,'Customer Info'!$A:$B,2,0)</f>
        <v>Corinna</v>
      </c>
      <c r="H552" s="6" t="str">
        <f>VLOOKUP(F552,'Customer Info'!$A$1:$C$501,3,0)</f>
        <v>Mitchell</v>
      </c>
      <c r="I552" s="6" t="str">
        <f>VLOOKUP(F552,Customer,5,0)</f>
        <v>Augsburg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5052</v>
      </c>
      <c r="O552" s="2">
        <v>50</v>
      </c>
      <c r="P552" s="8">
        <f t="shared" si="42"/>
        <v>5102</v>
      </c>
      <c r="Q552" s="8">
        <f t="shared" si="43"/>
        <v>236</v>
      </c>
      <c r="R552" s="2" t="s">
        <v>50</v>
      </c>
      <c r="S552" s="24">
        <f t="shared" si="44"/>
        <v>0.05</v>
      </c>
    </row>
    <row r="553" spans="1:19" x14ac:dyDescent="0.25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>VLOOKUP(F553,'Customer Info'!$A:$B,2,0)</f>
        <v>John</v>
      </c>
      <c r="H553" s="6" t="str">
        <f>VLOOKUP(F553,'Customer Info'!$A$1:$C$501,3,0)</f>
        <v>Lucas</v>
      </c>
      <c r="I553" s="6" t="str">
        <f>VLOOKUP(F553,Customer,5,0)</f>
        <v>Beijing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3992</v>
      </c>
      <c r="O553" s="2">
        <v>91</v>
      </c>
      <c r="P553" s="8">
        <f t="shared" si="42"/>
        <v>4083</v>
      </c>
      <c r="Q553" s="8">
        <f t="shared" si="43"/>
        <v>268</v>
      </c>
      <c r="R553" s="2" t="s">
        <v>28</v>
      </c>
      <c r="S553" s="24">
        <f t="shared" si="44"/>
        <v>0.02</v>
      </c>
    </row>
    <row r="554" spans="1:19" x14ac:dyDescent="0.25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>VLOOKUP(F554,'Customer Info'!$A:$B,2,0)</f>
        <v>Dorothy</v>
      </c>
      <c r="H554" s="6" t="str">
        <f>VLOOKUP(F554,'Customer Info'!$A$1:$C$501,3,0)</f>
        <v>Badders</v>
      </c>
      <c r="I554" s="6" t="str">
        <f>VLOOKUP(F554,Customer,5,0)</f>
        <v>Nanning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1860</v>
      </c>
      <c r="O554" s="2">
        <v>52</v>
      </c>
      <c r="P554" s="8">
        <f t="shared" si="42"/>
        <v>1912</v>
      </c>
      <c r="Q554" s="8">
        <f t="shared" si="43"/>
        <v>104</v>
      </c>
      <c r="R554" s="2" t="s">
        <v>28</v>
      </c>
      <c r="S554" s="24">
        <f t="shared" si="44"/>
        <v>0.02</v>
      </c>
    </row>
    <row r="555" spans="1:19" x14ac:dyDescent="0.25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>VLOOKUP(F555,'Customer Info'!$A:$B,2,0)</f>
        <v>Dionis</v>
      </c>
      <c r="H555" s="6" t="str">
        <f>VLOOKUP(F555,'Customer Info'!$A$1:$C$501,3,0)</f>
        <v>Lloyd</v>
      </c>
      <c r="I555" s="6" t="str">
        <f>VLOOKUP(F555,Customer,5,0)</f>
        <v>Kamarhati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2444</v>
      </c>
      <c r="O555" s="2">
        <v>78</v>
      </c>
      <c r="P555" s="8">
        <f t="shared" si="42"/>
        <v>2522</v>
      </c>
      <c r="Q555" s="8">
        <f t="shared" si="43"/>
        <v>70</v>
      </c>
      <c r="R555" s="2" t="s">
        <v>28</v>
      </c>
      <c r="S555" s="24">
        <f t="shared" si="44"/>
        <v>0.02</v>
      </c>
    </row>
    <row r="556" spans="1:19" x14ac:dyDescent="0.25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>VLOOKUP(F556,'Customer Info'!$A:$B,2,0)</f>
        <v>Roland</v>
      </c>
      <c r="H556" s="6" t="str">
        <f>VLOOKUP(F556,'Customer Info'!$A$1:$C$501,3,0)</f>
        <v>Fjeld</v>
      </c>
      <c r="I556" s="6" t="str">
        <f>VLOOKUP(F556,Customer,5,0)</f>
        <v>Caloundra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7836</v>
      </c>
      <c r="O556" s="2">
        <v>91</v>
      </c>
      <c r="P556" s="8">
        <f t="shared" si="42"/>
        <v>7927</v>
      </c>
      <c r="Q556" s="8">
        <f t="shared" si="43"/>
        <v>654</v>
      </c>
      <c r="R556" s="2" t="s">
        <v>50</v>
      </c>
      <c r="S556" s="24">
        <f t="shared" si="44"/>
        <v>0.05</v>
      </c>
    </row>
    <row r="557" spans="1:19" x14ac:dyDescent="0.25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>VLOOKUP(F557,'Customer Info'!$A:$B,2,0)</f>
        <v>Roland</v>
      </c>
      <c r="H557" s="6" t="str">
        <f>VLOOKUP(F557,'Customer Info'!$A$1:$C$501,3,0)</f>
        <v>Murray</v>
      </c>
      <c r="I557" s="6" t="str">
        <f>VLOOKUP(F557,Customer,5,0)</f>
        <v>Frankfurt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</v>
      </c>
      <c r="O557" s="2">
        <v>65</v>
      </c>
      <c r="P557" s="8">
        <f t="shared" si="42"/>
        <v>501</v>
      </c>
      <c r="Q557" s="8">
        <f t="shared" si="43"/>
        <v>36</v>
      </c>
      <c r="R557" s="2" t="s">
        <v>50</v>
      </c>
      <c r="S557" s="24">
        <f t="shared" si="44"/>
        <v>0.02</v>
      </c>
    </row>
    <row r="558" spans="1:19" x14ac:dyDescent="0.25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>VLOOKUP(F558,'Customer Info'!$A:$B,2,0)</f>
        <v>Ryan</v>
      </c>
      <c r="H558" s="6" t="str">
        <f>VLOOKUP(F558,'Customer Info'!$A$1:$C$501,3,0)</f>
        <v>Crowe</v>
      </c>
      <c r="I558" s="6" t="str">
        <f>VLOOKUP(F558,Customer,5,0)</f>
        <v>Kanpur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2790</v>
      </c>
      <c r="O558" s="2">
        <v>52</v>
      </c>
      <c r="P558" s="8">
        <f t="shared" si="42"/>
        <v>2842</v>
      </c>
      <c r="Q558" s="8">
        <f t="shared" si="43"/>
        <v>233</v>
      </c>
      <c r="R558" s="2" t="s">
        <v>50</v>
      </c>
      <c r="S558" s="24">
        <f t="shared" si="44"/>
        <v>0.02</v>
      </c>
    </row>
    <row r="559" spans="1:19" x14ac:dyDescent="0.25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>VLOOKUP(F559,'Customer Info'!$A:$B,2,0)</f>
        <v>Roger</v>
      </c>
      <c r="H559" s="6" t="str">
        <f>VLOOKUP(F559,'Customer Info'!$A$1:$C$501,3,0)</f>
        <v>Barcio</v>
      </c>
      <c r="I559" s="6" t="str">
        <f>VLOOKUP(F559,Customer,5,0)</f>
        <v>Celle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10224</v>
      </c>
      <c r="O559" s="2">
        <v>83</v>
      </c>
      <c r="P559" s="8">
        <f t="shared" si="42"/>
        <v>10307</v>
      </c>
      <c r="Q559" s="8">
        <f t="shared" si="43"/>
        <v>579</v>
      </c>
      <c r="R559" s="2" t="s">
        <v>28</v>
      </c>
      <c r="S559" s="24">
        <f t="shared" si="44"/>
        <v>0.05</v>
      </c>
    </row>
    <row r="560" spans="1:19" x14ac:dyDescent="0.25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>VLOOKUP(F560,'Customer Info'!$A:$B,2,0)</f>
        <v>Sam</v>
      </c>
      <c r="H560" s="6" t="str">
        <f>VLOOKUP(F560,'Customer Info'!$A$1:$C$501,3,0)</f>
        <v>Craven</v>
      </c>
      <c r="I560" s="6" t="str">
        <f>VLOOKUP(F560,Customer,5,0)</f>
        <v>Hyderabad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44390</v>
      </c>
      <c r="O560" s="2">
        <v>80</v>
      </c>
      <c r="P560" s="8">
        <f t="shared" si="42"/>
        <v>44470</v>
      </c>
      <c r="Q560" s="8">
        <f t="shared" si="43"/>
        <v>4820</v>
      </c>
      <c r="R560" s="2" t="s">
        <v>28</v>
      </c>
      <c r="S560" s="24">
        <f t="shared" si="44"/>
        <v>7.0000000000000007E-2</v>
      </c>
    </row>
    <row r="561" spans="1:19" x14ac:dyDescent="0.25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>VLOOKUP(F561,'Customer Info'!$A:$B,2,0)</f>
        <v>Brendan</v>
      </c>
      <c r="H561" s="6" t="str">
        <f>VLOOKUP(F561,'Customer Info'!$A$1:$C$501,3,0)</f>
        <v>Murry</v>
      </c>
      <c r="I561" s="6" t="str">
        <f>VLOOKUP(F561,Customer,5,0)</f>
        <v>Schwerin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6460</v>
      </c>
      <c r="O561" s="2">
        <v>25</v>
      </c>
      <c r="P561" s="8">
        <f t="shared" si="42"/>
        <v>6485</v>
      </c>
      <c r="Q561" s="8">
        <f t="shared" si="43"/>
        <v>535</v>
      </c>
      <c r="R561" s="2" t="s">
        <v>28</v>
      </c>
      <c r="S561" s="24">
        <f t="shared" si="44"/>
        <v>0.05</v>
      </c>
    </row>
    <row r="562" spans="1:19" x14ac:dyDescent="0.25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>VLOOKUP(F562,'Customer Info'!$A:$B,2,0)</f>
        <v>Brian</v>
      </c>
      <c r="H562" s="6" t="str">
        <f>VLOOKUP(F562,'Customer Info'!$A$1:$C$501,3,0)</f>
        <v>Stugart</v>
      </c>
      <c r="I562" s="6" t="str">
        <f>VLOOKUP(F562,Customer,5,0)</f>
        <v>Jakarta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136</v>
      </c>
      <c r="O562" s="2">
        <v>10</v>
      </c>
      <c r="P562" s="8">
        <f t="shared" si="42"/>
        <v>146</v>
      </c>
      <c r="Q562" s="8">
        <f t="shared" si="43"/>
        <v>10</v>
      </c>
      <c r="R562" s="2" t="s">
        <v>26</v>
      </c>
      <c r="S562" s="24">
        <f t="shared" si="44"/>
        <v>0.02</v>
      </c>
    </row>
    <row r="563" spans="1:19" x14ac:dyDescent="0.25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>VLOOKUP(F563,'Customer Info'!$A:$B,2,0)</f>
        <v>Lindsay</v>
      </c>
      <c r="H563" s="6" t="str">
        <f>VLOOKUP(F563,'Customer Info'!$A$1:$C$501,3,0)</f>
        <v>Shagiari</v>
      </c>
      <c r="I563" s="6" t="str">
        <f>VLOOKUP(F563,Customer,5,0)</f>
        <v>Canberra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179</v>
      </c>
      <c r="O563" s="2">
        <v>30</v>
      </c>
      <c r="P563" s="8">
        <f t="shared" si="42"/>
        <v>209</v>
      </c>
      <c r="Q563" s="8">
        <f t="shared" si="43"/>
        <v>13</v>
      </c>
      <c r="R563" s="2" t="s">
        <v>28</v>
      </c>
      <c r="S563" s="24">
        <f t="shared" si="44"/>
        <v>0.02</v>
      </c>
    </row>
    <row r="564" spans="1:19" x14ac:dyDescent="0.25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>VLOOKUP(F564,'Customer Info'!$A:$B,2,0)</f>
        <v>Rachel</v>
      </c>
      <c r="H564" s="6" t="str">
        <f>VLOOKUP(F564,'Customer Info'!$A$1:$C$501,3,0)</f>
        <v>Payne</v>
      </c>
      <c r="I564" s="6" t="str">
        <f>VLOOKUP(F564,Customer,5,0)</f>
        <v>Raipur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35868</v>
      </c>
      <c r="O564" s="2">
        <v>62</v>
      </c>
      <c r="P564" s="8">
        <f t="shared" si="42"/>
        <v>35930</v>
      </c>
      <c r="Q564" s="8">
        <f t="shared" si="43"/>
        <v>3264</v>
      </c>
      <c r="R564" s="2" t="s">
        <v>28</v>
      </c>
      <c r="S564" s="24">
        <f t="shared" si="44"/>
        <v>7.0000000000000007E-2</v>
      </c>
    </row>
    <row r="565" spans="1:19" x14ac:dyDescent="0.25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>VLOOKUP(F565,'Customer Info'!$A:$B,2,0)</f>
        <v>Harold</v>
      </c>
      <c r="H565" s="6" t="str">
        <f>VLOOKUP(F565,'Customer Info'!$A$1:$C$501,3,0)</f>
        <v>Pawlan</v>
      </c>
      <c r="I565" s="6" t="str">
        <f>VLOOKUP(F565,Customer,5,0)</f>
        <v>Banda Aceh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11215</v>
      </c>
      <c r="O565" s="2">
        <v>41</v>
      </c>
      <c r="P565" s="8">
        <f t="shared" si="42"/>
        <v>11256</v>
      </c>
      <c r="Q565" s="8">
        <f t="shared" si="43"/>
        <v>1215</v>
      </c>
      <c r="R565" s="2" t="s">
        <v>28</v>
      </c>
      <c r="S565" s="24">
        <f t="shared" si="44"/>
        <v>0.05</v>
      </c>
    </row>
    <row r="566" spans="1:19" x14ac:dyDescent="0.25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>VLOOKUP(F566,'Customer Info'!$A:$B,2,0)</f>
        <v>Fred</v>
      </c>
      <c r="H566" s="6" t="str">
        <f>VLOOKUP(F566,'Customer Info'!$A$1:$C$501,3,0)</f>
        <v>Wasserman</v>
      </c>
      <c r="I566" s="6" t="str">
        <f>VLOOKUP(F566,Customer,5,0)</f>
        <v>Willich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6615</v>
      </c>
      <c r="O566" s="2">
        <v>90</v>
      </c>
      <c r="P566" s="8">
        <f t="shared" si="42"/>
        <v>6705</v>
      </c>
      <c r="Q566" s="8">
        <f t="shared" si="43"/>
        <v>432</v>
      </c>
      <c r="R566" s="2" t="s">
        <v>28</v>
      </c>
      <c r="S566" s="24">
        <f t="shared" si="44"/>
        <v>0.05</v>
      </c>
    </row>
    <row r="567" spans="1:19" x14ac:dyDescent="0.25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>VLOOKUP(F567,'Customer Info'!$A:$B,2,0)</f>
        <v>Christina</v>
      </c>
      <c r="H567" s="6" t="str">
        <f>VLOOKUP(F567,'Customer Info'!$A$1:$C$501,3,0)</f>
        <v>VanderZanden</v>
      </c>
      <c r="I567" s="6" t="str">
        <f>VLOOKUP(F567,Customer,5,0)</f>
        <v>Gold Coast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21371</v>
      </c>
      <c r="O567" s="2">
        <v>32</v>
      </c>
      <c r="P567" s="8">
        <f t="shared" si="42"/>
        <v>21403</v>
      </c>
      <c r="Q567" s="8">
        <f t="shared" si="43"/>
        <v>812</v>
      </c>
      <c r="R567" s="2" t="s">
        <v>28</v>
      </c>
      <c r="S567" s="24">
        <f t="shared" si="44"/>
        <v>0.05</v>
      </c>
    </row>
    <row r="568" spans="1:19" x14ac:dyDescent="0.25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>VLOOKUP(F568,'Customer Info'!$A:$B,2,0)</f>
        <v>Ritsa</v>
      </c>
      <c r="H568" s="6" t="str">
        <f>VLOOKUP(F568,'Customer Info'!$A$1:$C$501,3,0)</f>
        <v>Hightower</v>
      </c>
      <c r="I568" s="6" t="str">
        <f>VLOOKUP(F568,Customer,5,0)</f>
        <v>Datong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25995</v>
      </c>
      <c r="O568" s="2">
        <v>52</v>
      </c>
      <c r="P568" s="8">
        <f t="shared" si="42"/>
        <v>26047</v>
      </c>
      <c r="Q568" s="8">
        <f t="shared" si="43"/>
        <v>2826</v>
      </c>
      <c r="R568" s="2" t="s">
        <v>50</v>
      </c>
      <c r="S568" s="24">
        <f t="shared" si="44"/>
        <v>7.0000000000000007E-2</v>
      </c>
    </row>
    <row r="569" spans="1:19" x14ac:dyDescent="0.25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>VLOOKUP(F569,'Customer Info'!$A:$B,2,0)</f>
        <v>Jonathan</v>
      </c>
      <c r="H569" s="6" t="str">
        <f>VLOOKUP(F569,'Customer Info'!$A$1:$C$501,3,0)</f>
        <v>Howell</v>
      </c>
      <c r="I569" s="6" t="str">
        <f>VLOOKUP(F569,Customer,5,0)</f>
        <v>Guangshui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18612</v>
      </c>
      <c r="O569" s="2">
        <v>20</v>
      </c>
      <c r="P569" s="8">
        <f t="shared" si="42"/>
        <v>18632</v>
      </c>
      <c r="Q569" s="8">
        <f t="shared" si="43"/>
        <v>1690</v>
      </c>
      <c r="R569" s="2" t="s">
        <v>28</v>
      </c>
      <c r="S569" s="24">
        <f t="shared" si="44"/>
        <v>0.05</v>
      </c>
    </row>
    <row r="570" spans="1:19" x14ac:dyDescent="0.25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>VLOOKUP(F570,'Customer Info'!$A:$B,2,0)</f>
        <v>Dennis</v>
      </c>
      <c r="H570" s="6" t="str">
        <f>VLOOKUP(F570,'Customer Info'!$A$1:$C$501,3,0)</f>
        <v>Pardue</v>
      </c>
      <c r="I570" s="6" t="str">
        <f>VLOOKUP(F570,Customer,5,0)</f>
        <v>Townsville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990</v>
      </c>
      <c r="O570" s="2">
        <v>24</v>
      </c>
      <c r="P570" s="8">
        <f t="shared" si="42"/>
        <v>1014</v>
      </c>
      <c r="Q570" s="8">
        <f t="shared" si="43"/>
        <v>74</v>
      </c>
      <c r="R570" s="2" t="s">
        <v>28</v>
      </c>
      <c r="S570" s="24">
        <f t="shared" si="44"/>
        <v>0.02</v>
      </c>
    </row>
    <row r="571" spans="1:19" x14ac:dyDescent="0.25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>VLOOKUP(F571,'Customer Info'!$A:$B,2,0)</f>
        <v>John</v>
      </c>
      <c r="H571" s="6" t="str">
        <f>VLOOKUP(F571,'Customer Info'!$A$1:$C$501,3,0)</f>
        <v>Lucas</v>
      </c>
      <c r="I571" s="6" t="str">
        <f>VLOOKUP(F571,Customer,5,0)</f>
        <v>Beijing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12708</v>
      </c>
      <c r="O571" s="2">
        <v>26</v>
      </c>
      <c r="P571" s="8">
        <f t="shared" si="42"/>
        <v>12734</v>
      </c>
      <c r="Q571" s="8">
        <f t="shared" si="43"/>
        <v>1170</v>
      </c>
      <c r="R571" s="2" t="s">
        <v>26</v>
      </c>
      <c r="S571" s="24">
        <f t="shared" si="44"/>
        <v>0.05</v>
      </c>
    </row>
    <row r="572" spans="1:19" x14ac:dyDescent="0.25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>VLOOKUP(F572,'Customer Info'!$A:$B,2,0)</f>
        <v>Scott</v>
      </c>
      <c r="H572" s="6" t="str">
        <f>VLOOKUP(F572,'Customer Info'!$A$1:$C$501,3,0)</f>
        <v>Cohen</v>
      </c>
      <c r="I572" s="6" t="str">
        <f>VLOOKUP(F572,Customer,5,0)</f>
        <v>Freiburg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417</v>
      </c>
      <c r="O572" s="2">
        <v>30</v>
      </c>
      <c r="P572" s="8">
        <f t="shared" si="42"/>
        <v>447</v>
      </c>
      <c r="Q572" s="8">
        <f t="shared" si="43"/>
        <v>18</v>
      </c>
      <c r="R572" s="2" t="s">
        <v>28</v>
      </c>
      <c r="S572" s="24">
        <f t="shared" si="44"/>
        <v>0.02</v>
      </c>
    </row>
    <row r="573" spans="1:19" x14ac:dyDescent="0.25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>VLOOKUP(F573,'Customer Info'!$A:$B,2,0)</f>
        <v>Tony</v>
      </c>
      <c r="H573" s="6" t="str">
        <f>VLOOKUP(F573,'Customer Info'!$A$1:$C$501,3,0)</f>
        <v>Sayre</v>
      </c>
      <c r="I573" s="6" t="str">
        <f>VLOOKUP(F573,Customer,5,0)</f>
        <v>Jakarta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12364</v>
      </c>
      <c r="O573" s="2">
        <v>40</v>
      </c>
      <c r="P573" s="8">
        <f t="shared" si="42"/>
        <v>12404</v>
      </c>
      <c r="Q573" s="8">
        <f t="shared" si="43"/>
        <v>808</v>
      </c>
      <c r="R573" s="2" t="s">
        <v>50</v>
      </c>
      <c r="S573" s="24">
        <f t="shared" si="44"/>
        <v>0.05</v>
      </c>
    </row>
    <row r="574" spans="1:19" x14ac:dyDescent="0.25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>VLOOKUP(F574,'Customer Info'!$A:$B,2,0)</f>
        <v>Duane</v>
      </c>
      <c r="H574" s="6" t="str">
        <f>VLOOKUP(F574,'Customer Info'!$A$1:$C$501,3,0)</f>
        <v>Benoit</v>
      </c>
      <c r="I574" s="6" t="str">
        <f>VLOOKUP(F574,Customer,5,0)</f>
        <v>Tamworth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9435</v>
      </c>
      <c r="O574" s="2">
        <v>29</v>
      </c>
      <c r="P574" s="8">
        <f t="shared" si="42"/>
        <v>9464</v>
      </c>
      <c r="Q574" s="8">
        <f t="shared" si="43"/>
        <v>360</v>
      </c>
      <c r="R574" s="2" t="s">
        <v>28</v>
      </c>
      <c r="S574" s="24">
        <f t="shared" si="44"/>
        <v>0.05</v>
      </c>
    </row>
    <row r="575" spans="1:19" x14ac:dyDescent="0.25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>VLOOKUP(F575,'Customer Info'!$A:$B,2,0)</f>
        <v>Annie</v>
      </c>
      <c r="H575" s="6" t="str">
        <f>VLOOKUP(F575,'Customer Info'!$A$1:$C$501,3,0)</f>
        <v>Zypern</v>
      </c>
      <c r="I575" s="6" t="str">
        <f>VLOOKUP(F575,Customer,5,0)</f>
        <v>Brisbane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4684</v>
      </c>
      <c r="O575" s="2">
        <v>24</v>
      </c>
      <c r="P575" s="8">
        <f t="shared" si="42"/>
        <v>4708</v>
      </c>
      <c r="Q575" s="8">
        <f t="shared" si="43"/>
        <v>264</v>
      </c>
      <c r="R575" s="2" t="s">
        <v>50</v>
      </c>
      <c r="S575" s="24">
        <f t="shared" si="44"/>
        <v>0.02</v>
      </c>
    </row>
    <row r="576" spans="1:19" x14ac:dyDescent="0.25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>VLOOKUP(F576,'Customer Info'!$A:$B,2,0)</f>
        <v>Sara</v>
      </c>
      <c r="H576" s="6" t="str">
        <f>VLOOKUP(F576,'Customer Info'!$A$1:$C$501,3,0)</f>
        <v>Luxemburg</v>
      </c>
      <c r="I576" s="6" t="str">
        <f>VLOOKUP(F576,Customer,5,0)</f>
        <v>Luoyang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164</v>
      </c>
      <c r="O576" s="2">
        <v>30</v>
      </c>
      <c r="P576" s="8">
        <f t="shared" si="42"/>
        <v>194</v>
      </c>
      <c r="Q576" s="8">
        <f t="shared" si="43"/>
        <v>12</v>
      </c>
      <c r="R576" s="2" t="s">
        <v>28</v>
      </c>
      <c r="S576" s="24">
        <f t="shared" si="44"/>
        <v>0.02</v>
      </c>
    </row>
    <row r="577" spans="1:19" x14ac:dyDescent="0.25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>VLOOKUP(F577,'Customer Info'!$A:$B,2,0)</f>
        <v>Darrin</v>
      </c>
      <c r="H577" s="6" t="str">
        <f>VLOOKUP(F577,'Customer Info'!$A$1:$C$501,3,0)</f>
        <v>Martin</v>
      </c>
      <c r="I577" s="6" t="str">
        <f>VLOOKUP(F577,Customer,5,0)</f>
        <v>Berlin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6800</v>
      </c>
      <c r="O577" s="2">
        <v>51</v>
      </c>
      <c r="P577" s="8">
        <f t="shared" si="42"/>
        <v>6851</v>
      </c>
      <c r="Q577" s="8">
        <f t="shared" si="43"/>
        <v>320</v>
      </c>
      <c r="R577" s="2" t="s">
        <v>50</v>
      </c>
      <c r="S577" s="24">
        <f t="shared" si="44"/>
        <v>0.05</v>
      </c>
    </row>
    <row r="578" spans="1:19" x14ac:dyDescent="0.25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>VLOOKUP(F578,'Customer Info'!$A:$B,2,0)</f>
        <v>Nick</v>
      </c>
      <c r="H578" s="6" t="str">
        <f>VLOOKUP(F578,'Customer Info'!$A$1:$C$501,3,0)</f>
        <v>Radford</v>
      </c>
      <c r="I578" s="6" t="str">
        <f>VLOOKUP(F578,Customer,5,0)</f>
        <v>Lucknow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73986</v>
      </c>
      <c r="O578" s="2">
        <v>87</v>
      </c>
      <c r="P578" s="8">
        <f t="shared" si="42"/>
        <v>74073</v>
      </c>
      <c r="Q578" s="8">
        <f t="shared" si="43"/>
        <v>4803</v>
      </c>
      <c r="R578" s="2" t="s">
        <v>28</v>
      </c>
      <c r="S578" s="24">
        <f t="shared" si="44"/>
        <v>0.09</v>
      </c>
    </row>
    <row r="579" spans="1:19" x14ac:dyDescent="0.25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>VLOOKUP(F579,'Customer Info'!$A:$B,2,0)</f>
        <v>Victoria</v>
      </c>
      <c r="H579" s="6" t="str">
        <f>VLOOKUP(F579,'Customer Info'!$A$1:$C$501,3,0)</f>
        <v>Brennan</v>
      </c>
      <c r="I579" s="6" t="str">
        <f>VLOOKUP(F579,Customer,5,0)</f>
        <v>Adelaide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672</v>
      </c>
      <c r="O579" s="2">
        <v>34</v>
      </c>
      <c r="P579" s="8">
        <f t="shared" si="42"/>
        <v>706</v>
      </c>
      <c r="Q579" s="8">
        <f t="shared" si="43"/>
        <v>42</v>
      </c>
      <c r="R579" s="2" t="s">
        <v>28</v>
      </c>
      <c r="S579" s="24">
        <f t="shared" si="44"/>
        <v>0.02</v>
      </c>
    </row>
    <row r="580" spans="1:19" x14ac:dyDescent="0.25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>VLOOKUP(F580,'Customer Info'!$A:$B,2,0)</f>
        <v>Hallie</v>
      </c>
      <c r="H580" s="6" t="str">
        <f>VLOOKUP(F580,'Customer Info'!$A$1:$C$501,3,0)</f>
        <v>Redmond</v>
      </c>
      <c r="I580" s="6" t="str">
        <f>VLOOKUP(F580,Customer,5,0)</f>
        <v>Caloundra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284</v>
      </c>
      <c r="O580" s="2">
        <v>30</v>
      </c>
      <c r="P580" s="8">
        <f t="shared" si="42"/>
        <v>314</v>
      </c>
      <c r="Q580" s="8">
        <f t="shared" si="43"/>
        <v>26</v>
      </c>
      <c r="R580" s="2" t="s">
        <v>28</v>
      </c>
      <c r="S580" s="24">
        <f t="shared" si="44"/>
        <v>0.02</v>
      </c>
    </row>
    <row r="581" spans="1:19" x14ac:dyDescent="0.25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>VLOOKUP(F581,'Customer Info'!$A:$B,2,0)</f>
        <v>Jack</v>
      </c>
      <c r="H581" s="6" t="str">
        <f>VLOOKUP(F581,'Customer Info'!$A$1:$C$501,3,0)</f>
        <v>O'Briant</v>
      </c>
      <c r="I581" s="6" t="str">
        <f>VLOOKUP(F581,Customer,5,0)</f>
        <v>Jammu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3174</v>
      </c>
      <c r="O581" s="2">
        <v>53</v>
      </c>
      <c r="P581" s="8">
        <f t="shared" si="42"/>
        <v>3227</v>
      </c>
      <c r="Q581" s="8">
        <f t="shared" si="43"/>
        <v>318</v>
      </c>
      <c r="R581" s="2" t="s">
        <v>56</v>
      </c>
      <c r="S581" s="24">
        <f t="shared" si="44"/>
        <v>0.02</v>
      </c>
    </row>
    <row r="582" spans="1:19" x14ac:dyDescent="0.25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>VLOOKUP(F582,'Customer Info'!$A:$B,2,0)</f>
        <v>Anthony</v>
      </c>
      <c r="H582" s="6" t="str">
        <f>VLOOKUP(F582,'Customer Info'!$A$1:$C$501,3,0)</f>
        <v>O'Donnell</v>
      </c>
      <c r="I582" s="6" t="str">
        <f>VLOOKUP(F582,Customer,5,0)</f>
        <v>Perth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11316</v>
      </c>
      <c r="O582" s="2">
        <v>44</v>
      </c>
      <c r="P582" s="8">
        <f t="shared" si="42"/>
        <v>11360</v>
      </c>
      <c r="Q582" s="8">
        <f t="shared" si="43"/>
        <v>932</v>
      </c>
      <c r="R582" s="2" t="s">
        <v>28</v>
      </c>
      <c r="S582" s="24">
        <f t="shared" si="44"/>
        <v>0.05</v>
      </c>
    </row>
    <row r="583" spans="1:19" x14ac:dyDescent="0.25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>VLOOKUP(F583,'Customer Info'!$A:$B,2,0)</f>
        <v>Helen</v>
      </c>
      <c r="H583" s="6" t="str">
        <f>VLOOKUP(F583,'Customer Info'!$A$1:$C$501,3,0)</f>
        <v>Abelman</v>
      </c>
      <c r="I583" s="6" t="str">
        <f>VLOOKUP(F583,Customer,5,0)</f>
        <v>Berlin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72198</v>
      </c>
      <c r="O583" s="2">
        <v>25</v>
      </c>
      <c r="P583" s="8">
        <f t="shared" si="42"/>
        <v>72223</v>
      </c>
      <c r="Q583" s="8">
        <f t="shared" si="43"/>
        <v>1386</v>
      </c>
      <c r="R583" s="2" t="s">
        <v>28</v>
      </c>
      <c r="S583" s="24">
        <f t="shared" si="44"/>
        <v>0.09</v>
      </c>
    </row>
    <row r="584" spans="1:19" x14ac:dyDescent="0.25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>VLOOKUP(F584,'Customer Info'!$A:$B,2,0)</f>
        <v>Rachel</v>
      </c>
      <c r="H584" s="6" t="str">
        <f>VLOOKUP(F584,'Customer Info'!$A$1:$C$501,3,0)</f>
        <v>Payne</v>
      </c>
      <c r="I584" s="6" t="str">
        <f>VLOOKUP(F584,Customer,5,0)</f>
        <v>Raipur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6747</v>
      </c>
      <c r="O584" s="2">
        <v>41</v>
      </c>
      <c r="P584" s="8">
        <f t="shared" si="42"/>
        <v>6788</v>
      </c>
      <c r="Q584" s="8">
        <f t="shared" si="43"/>
        <v>441</v>
      </c>
      <c r="R584" s="2" t="s">
        <v>28</v>
      </c>
      <c r="S584" s="24">
        <f t="shared" si="44"/>
        <v>0.05</v>
      </c>
    </row>
    <row r="585" spans="1:19" x14ac:dyDescent="0.25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>VLOOKUP(F585,'Customer Info'!$A:$B,2,0)</f>
        <v>Steven</v>
      </c>
      <c r="H585" s="6" t="str">
        <f>VLOOKUP(F585,'Customer Info'!$A$1:$C$501,3,0)</f>
        <v>Cartwright</v>
      </c>
      <c r="I585" s="6" t="str">
        <f>VLOOKUP(F585,Customer,5,0)</f>
        <v>Newcastle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284</v>
      </c>
      <c r="O585" s="2">
        <v>30</v>
      </c>
      <c r="P585" s="8">
        <f t="shared" si="42"/>
        <v>314</v>
      </c>
      <c r="Q585" s="8">
        <f t="shared" si="43"/>
        <v>16</v>
      </c>
      <c r="R585" s="2" t="s">
        <v>28</v>
      </c>
      <c r="S585" s="24">
        <f t="shared" si="44"/>
        <v>0.02</v>
      </c>
    </row>
    <row r="586" spans="1:19" x14ac:dyDescent="0.25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>VLOOKUP(F586,'Customer Info'!$A:$B,2,0)</f>
        <v>Bryan</v>
      </c>
      <c r="H586" s="6" t="str">
        <f>VLOOKUP(F586,'Customer Info'!$A$1:$C$501,3,0)</f>
        <v>Davis</v>
      </c>
      <c r="I586" s="6" t="str">
        <f>VLOOKUP(F586,Customer,5,0)</f>
        <v>Delhi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1103</v>
      </c>
      <c r="O586" s="2">
        <v>45</v>
      </c>
      <c r="P586" s="8">
        <f t="shared" si="42"/>
        <v>1148</v>
      </c>
      <c r="Q586" s="8">
        <f t="shared" si="43"/>
        <v>73</v>
      </c>
      <c r="R586" s="2" t="s">
        <v>28</v>
      </c>
      <c r="S586" s="24">
        <f t="shared" si="44"/>
        <v>0.02</v>
      </c>
    </row>
    <row r="587" spans="1:19" x14ac:dyDescent="0.25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>VLOOKUP(F587,'Customer Info'!$A:$B,2,0)</f>
        <v>Brad</v>
      </c>
      <c r="H587" s="6" t="str">
        <f>VLOOKUP(F587,'Customer Info'!$A$1:$C$501,3,0)</f>
        <v>Thomas</v>
      </c>
      <c r="I587" s="6" t="str">
        <f>VLOOKUP(F587,Customer,5,0)</f>
        <v>Udaipur</v>
      </c>
      <c r="J587" s="2">
        <v>1292</v>
      </c>
      <c r="K587" s="2">
        <v>1185</v>
      </c>
      <c r="L587" s="2">
        <v>14</v>
      </c>
      <c r="M587" s="7">
        <f t="shared" ref="M587:M650" si="45">K587*L587</f>
        <v>16590</v>
      </c>
      <c r="N587" s="7">
        <f t="shared" ref="N587:N650" si="46">J587*L587</f>
        <v>18088</v>
      </c>
      <c r="O587" s="2">
        <v>54</v>
      </c>
      <c r="P587" s="8">
        <f t="shared" ref="P587:P650" si="47">N587+O587</f>
        <v>18142</v>
      </c>
      <c r="Q587" s="8">
        <f t="shared" ref="Q587:Q650" si="48">N587-M587</f>
        <v>1498</v>
      </c>
      <c r="R587" s="2" t="s">
        <v>28</v>
      </c>
      <c r="S587" s="24">
        <f t="shared" ref="S587:S650" si="49">VLOOKUP(N587,$T$1:$U$7,2,TRUE)</f>
        <v>0.05</v>
      </c>
    </row>
    <row r="588" spans="1:19" x14ac:dyDescent="0.25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>VLOOKUP(F588,'Customer Info'!$A:$B,2,0)</f>
        <v>Joy</v>
      </c>
      <c r="H588" s="6" t="str">
        <f>VLOOKUP(F588,'Customer Info'!$A$1:$C$501,3,0)</f>
        <v>Bell</v>
      </c>
      <c r="I588" s="6" t="str">
        <f>VLOOKUP(F588,Customer,5,0)</f>
        <v>Tongchuan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8">
        <f t="shared" si="47"/>
        <v>453</v>
      </c>
      <c r="Q588" s="8">
        <f t="shared" si="48"/>
        <v>30</v>
      </c>
      <c r="R588" s="2" t="s">
        <v>50</v>
      </c>
      <c r="S588" s="24">
        <f t="shared" si="49"/>
        <v>0.02</v>
      </c>
    </row>
    <row r="589" spans="1:19" x14ac:dyDescent="0.25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>VLOOKUP(F589,'Customer Info'!$A:$B,2,0)</f>
        <v>Victoria</v>
      </c>
      <c r="H589" s="6" t="str">
        <f>VLOOKUP(F589,'Customer Info'!$A$1:$C$501,3,0)</f>
        <v>Brennan</v>
      </c>
      <c r="I589" s="6" t="str">
        <f>VLOOKUP(F589,Customer,5,0)</f>
        <v>Adelaide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8">
        <f t="shared" si="47"/>
        <v>4650</v>
      </c>
      <c r="Q589" s="8">
        <f t="shared" si="48"/>
        <v>381</v>
      </c>
      <c r="R589" s="2" t="s">
        <v>26</v>
      </c>
      <c r="S589" s="24">
        <f t="shared" si="49"/>
        <v>0.02</v>
      </c>
    </row>
    <row r="590" spans="1:19" x14ac:dyDescent="0.25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>VLOOKUP(F590,'Customer Info'!$A:$B,2,0)</f>
        <v>Cari</v>
      </c>
      <c r="H590" s="6" t="str">
        <f>VLOOKUP(F590,'Customer Info'!$A$1:$C$501,3,0)</f>
        <v>Sayre</v>
      </c>
      <c r="I590" s="6" t="str">
        <f>VLOOKUP(F590,Customer,5,0)</f>
        <v>Recklinghausen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8">
        <f t="shared" si="47"/>
        <v>22041</v>
      </c>
      <c r="Q590" s="8">
        <f t="shared" si="48"/>
        <v>2007</v>
      </c>
      <c r="R590" s="2" t="s">
        <v>28</v>
      </c>
      <c r="S590" s="24">
        <f t="shared" si="49"/>
        <v>0.05</v>
      </c>
    </row>
    <row r="591" spans="1:19" x14ac:dyDescent="0.25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>VLOOKUP(F591,'Customer Info'!$A:$B,2,0)</f>
        <v>Paul</v>
      </c>
      <c r="H591" s="6" t="str">
        <f>VLOOKUP(F591,'Customer Info'!$A$1:$C$501,3,0)</f>
        <v>Gonzalez</v>
      </c>
      <c r="I591" s="6" t="str">
        <f>VLOOKUP(F591,Customer,5,0)</f>
        <v>Durgapur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8">
        <f t="shared" si="47"/>
        <v>1169</v>
      </c>
      <c r="Q591" s="8">
        <f t="shared" si="48"/>
        <v>100</v>
      </c>
      <c r="R591" s="2" t="s">
        <v>28</v>
      </c>
      <c r="S591" s="24">
        <f t="shared" si="49"/>
        <v>0.02</v>
      </c>
    </row>
    <row r="592" spans="1:19" x14ac:dyDescent="0.25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>VLOOKUP(F592,'Customer Info'!$A:$B,2,0)</f>
        <v>Christy</v>
      </c>
      <c r="H592" s="6" t="str">
        <f>VLOOKUP(F592,'Customer Info'!$A$1:$C$501,3,0)</f>
        <v>Brittain</v>
      </c>
      <c r="I592" s="6" t="str">
        <f>VLOOKUP(F592,Customer,5,0)</f>
        <v>Depok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666</v>
      </c>
      <c r="O592" s="2">
        <v>70</v>
      </c>
      <c r="P592" s="8">
        <f t="shared" si="47"/>
        <v>736</v>
      </c>
      <c r="Q592" s="8">
        <f t="shared" si="48"/>
        <v>54</v>
      </c>
      <c r="R592" s="2" t="s">
        <v>50</v>
      </c>
      <c r="S592" s="24">
        <f t="shared" si="49"/>
        <v>0.02</v>
      </c>
    </row>
    <row r="593" spans="1:19" x14ac:dyDescent="0.25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>VLOOKUP(F593,'Customer Info'!$A:$B,2,0)</f>
        <v>Christopher</v>
      </c>
      <c r="H593" s="6" t="str">
        <f>VLOOKUP(F593,'Customer Info'!$A$1:$C$501,3,0)</f>
        <v>Martinez</v>
      </c>
      <c r="I593" s="6" t="str">
        <f>VLOOKUP(F593,Customer,5,0)</f>
        <v>Qingdao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6337</v>
      </c>
      <c r="O593" s="2">
        <v>51</v>
      </c>
      <c r="P593" s="8">
        <f t="shared" si="47"/>
        <v>6388</v>
      </c>
      <c r="Q593" s="8">
        <f t="shared" si="48"/>
        <v>122</v>
      </c>
      <c r="R593" s="2" t="s">
        <v>50</v>
      </c>
      <c r="S593" s="24">
        <f t="shared" si="49"/>
        <v>0.05</v>
      </c>
    </row>
    <row r="594" spans="1:19" x14ac:dyDescent="0.25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>VLOOKUP(F594,'Customer Info'!$A:$B,2,0)</f>
        <v>Tony</v>
      </c>
      <c r="H594" s="6" t="str">
        <f>VLOOKUP(F594,'Customer Info'!$A$1:$C$501,3,0)</f>
        <v>Sayre</v>
      </c>
      <c r="I594" s="6" t="str">
        <f>VLOOKUP(F594,Customer,5,0)</f>
        <v>Wafangdian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290</v>
      </c>
      <c r="O594" s="2">
        <v>30</v>
      </c>
      <c r="P594" s="8">
        <f t="shared" si="47"/>
        <v>320</v>
      </c>
      <c r="Q594" s="8">
        <f t="shared" si="48"/>
        <v>30</v>
      </c>
      <c r="R594" s="2" t="s">
        <v>50</v>
      </c>
      <c r="S594" s="24">
        <f t="shared" si="49"/>
        <v>0.02</v>
      </c>
    </row>
    <row r="595" spans="1:19" x14ac:dyDescent="0.25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>VLOOKUP(F595,'Customer Info'!$A:$B,2,0)</f>
        <v>Carol</v>
      </c>
      <c r="H595" s="6" t="str">
        <f>VLOOKUP(F595,'Customer Info'!$A$1:$C$501,3,0)</f>
        <v>Triggs</v>
      </c>
      <c r="I595" s="6" t="str">
        <f>VLOOKUP(F595,Customer,5,0)</f>
        <v>Durgapur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4577</v>
      </c>
      <c r="O595" s="2">
        <v>33</v>
      </c>
      <c r="P595" s="8">
        <f t="shared" si="47"/>
        <v>4610</v>
      </c>
      <c r="Q595" s="8">
        <f t="shared" si="48"/>
        <v>292</v>
      </c>
      <c r="R595" s="2" t="s">
        <v>28</v>
      </c>
      <c r="S595" s="24">
        <f t="shared" si="49"/>
        <v>0.02</v>
      </c>
    </row>
    <row r="596" spans="1:19" x14ac:dyDescent="0.25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>VLOOKUP(F596,'Customer Info'!$A:$B,2,0)</f>
        <v>Kelly</v>
      </c>
      <c r="H596" s="6" t="str">
        <f>VLOOKUP(F596,'Customer Info'!$A$1:$C$501,3,0)</f>
        <v>Collister</v>
      </c>
      <c r="I596" s="6" t="str">
        <f>VLOOKUP(F596,Customer,5,0)</f>
        <v>Sydney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1420</v>
      </c>
      <c r="O596" s="2">
        <v>30</v>
      </c>
      <c r="P596" s="8">
        <f t="shared" si="47"/>
        <v>1450</v>
      </c>
      <c r="Q596" s="8">
        <f t="shared" si="48"/>
        <v>80</v>
      </c>
      <c r="R596" s="2" t="s">
        <v>26</v>
      </c>
      <c r="S596" s="24">
        <f t="shared" si="49"/>
        <v>0.02</v>
      </c>
    </row>
    <row r="597" spans="1:19" x14ac:dyDescent="0.25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>VLOOKUP(F597,'Customer Info'!$A:$B,2,0)</f>
        <v>Deirdre</v>
      </c>
      <c r="H597" s="6" t="str">
        <f>VLOOKUP(F597,'Customer Info'!$A$1:$C$501,3,0)</f>
        <v>Greer</v>
      </c>
      <c r="I597" s="6" t="str">
        <f>VLOOKUP(F597,Customer,5,0)</f>
        <v>Perth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12366</v>
      </c>
      <c r="O597" s="2">
        <v>41</v>
      </c>
      <c r="P597" s="8">
        <f t="shared" si="47"/>
        <v>12407</v>
      </c>
      <c r="Q597" s="8">
        <f t="shared" si="48"/>
        <v>1023</v>
      </c>
      <c r="R597" s="2" t="s">
        <v>50</v>
      </c>
      <c r="S597" s="24">
        <f t="shared" si="49"/>
        <v>0.05</v>
      </c>
    </row>
    <row r="598" spans="1:19" x14ac:dyDescent="0.25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>VLOOKUP(F598,'Customer Info'!$A:$B,2,0)</f>
        <v>Kean</v>
      </c>
      <c r="H598" s="6" t="str">
        <f>VLOOKUP(F598,'Customer Info'!$A$1:$C$501,3,0)</f>
        <v>Takahito</v>
      </c>
      <c r="I598" s="6" t="str">
        <f>VLOOKUP(F598,Customer,5,0)</f>
        <v>Jakarta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1030</v>
      </c>
      <c r="O598" s="2">
        <v>87</v>
      </c>
      <c r="P598" s="8">
        <f t="shared" si="47"/>
        <v>1117</v>
      </c>
      <c r="Q598" s="8">
        <f t="shared" si="48"/>
        <v>85</v>
      </c>
      <c r="R598" s="2" t="s">
        <v>50</v>
      </c>
      <c r="S598" s="24">
        <f t="shared" si="49"/>
        <v>0.02</v>
      </c>
    </row>
    <row r="599" spans="1:19" x14ac:dyDescent="0.25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>VLOOKUP(F599,'Customer Info'!$A:$B,2,0)</f>
        <v>Sara</v>
      </c>
      <c r="H599" s="6" t="str">
        <f>VLOOKUP(F599,'Customer Info'!$A$1:$C$501,3,0)</f>
        <v>Luxemburg</v>
      </c>
      <c r="I599" s="6" t="str">
        <f>VLOOKUP(F599,Customer,5,0)</f>
        <v>Luoyang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12896</v>
      </c>
      <c r="O599" s="2">
        <v>75</v>
      </c>
      <c r="P599" s="8">
        <f t="shared" si="47"/>
        <v>12971</v>
      </c>
      <c r="Q599" s="8">
        <f t="shared" si="48"/>
        <v>1292</v>
      </c>
      <c r="R599" s="2" t="s">
        <v>50</v>
      </c>
      <c r="S599" s="24">
        <f t="shared" si="49"/>
        <v>0.05</v>
      </c>
    </row>
    <row r="600" spans="1:19" x14ac:dyDescent="0.25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>VLOOKUP(F600,'Customer Info'!$A:$B,2,0)</f>
        <v>Natalie</v>
      </c>
      <c r="H600" s="6" t="str">
        <f>VLOOKUP(F600,'Customer Info'!$A$1:$C$501,3,0)</f>
        <v>DeCherney</v>
      </c>
      <c r="I600" s="6" t="str">
        <f>VLOOKUP(F600,Customer,5,0)</f>
        <v>Anqing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21063</v>
      </c>
      <c r="O600" s="2">
        <v>61</v>
      </c>
      <c r="P600" s="8">
        <f t="shared" si="47"/>
        <v>21124</v>
      </c>
      <c r="Q600" s="8">
        <f t="shared" si="48"/>
        <v>1005</v>
      </c>
      <c r="R600" s="2" t="s">
        <v>28</v>
      </c>
      <c r="S600" s="24">
        <f t="shared" si="49"/>
        <v>0.05</v>
      </c>
    </row>
    <row r="601" spans="1:19" x14ac:dyDescent="0.25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>VLOOKUP(F601,'Customer Info'!$A:$B,2,0)</f>
        <v>Ben</v>
      </c>
      <c r="H601" s="6" t="str">
        <f>VLOOKUP(F601,'Customer Info'!$A$1:$C$501,3,0)</f>
        <v>Wallace</v>
      </c>
      <c r="I601" s="6" t="str">
        <f>VLOOKUP(F601,Customer,5,0)</f>
        <v>Shanghai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183</v>
      </c>
      <c r="O601" s="2">
        <v>10</v>
      </c>
      <c r="P601" s="8">
        <f t="shared" si="47"/>
        <v>193</v>
      </c>
      <c r="Q601" s="8">
        <f t="shared" si="48"/>
        <v>15</v>
      </c>
      <c r="R601" s="2" t="s">
        <v>28</v>
      </c>
      <c r="S601" s="24">
        <f t="shared" si="49"/>
        <v>0.02</v>
      </c>
    </row>
    <row r="602" spans="1:19" x14ac:dyDescent="0.25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>VLOOKUP(F602,'Customer Info'!$A:$B,2,0)</f>
        <v>Troy</v>
      </c>
      <c r="H602" s="6" t="str">
        <f>VLOOKUP(F602,'Customer Info'!$A$1:$C$501,3,0)</f>
        <v>Blackwell</v>
      </c>
      <c r="I602" s="6" t="str">
        <f>VLOOKUP(F602,Customer,5,0)</f>
        <v>Krefeld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809</v>
      </c>
      <c r="O602" s="2">
        <v>46</v>
      </c>
      <c r="P602" s="8">
        <f t="shared" si="47"/>
        <v>855</v>
      </c>
      <c r="Q602" s="8">
        <f t="shared" si="48"/>
        <v>39</v>
      </c>
      <c r="R602" s="2" t="s">
        <v>28</v>
      </c>
      <c r="S602" s="24">
        <f t="shared" si="49"/>
        <v>0.02</v>
      </c>
    </row>
    <row r="603" spans="1:19" x14ac:dyDescent="0.25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>VLOOKUP(F603,'Customer Info'!$A:$B,2,0)</f>
        <v>Shirley</v>
      </c>
      <c r="H603" s="6" t="str">
        <f>VLOOKUP(F603,'Customer Info'!$A$1:$C$501,3,0)</f>
        <v>Schmidt</v>
      </c>
      <c r="I603" s="6" t="str">
        <f>VLOOKUP(F603,Customer,5,0)</f>
        <v>Bijapur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180</v>
      </c>
      <c r="O603" s="2">
        <v>10</v>
      </c>
      <c r="P603" s="8">
        <f t="shared" si="47"/>
        <v>190</v>
      </c>
      <c r="Q603" s="8">
        <f t="shared" si="48"/>
        <v>12</v>
      </c>
      <c r="R603" s="2" t="s">
        <v>28</v>
      </c>
      <c r="S603" s="24">
        <f t="shared" si="49"/>
        <v>0.02</v>
      </c>
    </row>
    <row r="604" spans="1:19" x14ac:dyDescent="0.25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>VLOOKUP(F604,'Customer Info'!$A:$B,2,0)</f>
        <v>Benjamin</v>
      </c>
      <c r="H604" s="6" t="str">
        <f>VLOOKUP(F604,'Customer Info'!$A$1:$C$501,3,0)</f>
        <v>Patterson</v>
      </c>
      <c r="I604" s="6" t="str">
        <f>VLOOKUP(F604,Customer,5,0)</f>
        <v>Wollongong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7065</v>
      </c>
      <c r="O604" s="2">
        <v>30</v>
      </c>
      <c r="P604" s="8">
        <f t="shared" si="47"/>
        <v>7095</v>
      </c>
      <c r="Q604" s="8">
        <f t="shared" si="48"/>
        <v>520</v>
      </c>
      <c r="R604" s="2" t="s">
        <v>26</v>
      </c>
      <c r="S604" s="24">
        <f t="shared" si="49"/>
        <v>0.05</v>
      </c>
    </row>
    <row r="605" spans="1:19" x14ac:dyDescent="0.25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>VLOOKUP(F605,'Customer Info'!$A:$B,2,0)</f>
        <v>Rachel</v>
      </c>
      <c r="H605" s="6" t="str">
        <f>VLOOKUP(F605,'Customer Info'!$A$1:$C$501,3,0)</f>
        <v>Payne</v>
      </c>
      <c r="I605" s="6" t="str">
        <f>VLOOKUP(F605,Customer,5,0)</f>
        <v>Caloundra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12591</v>
      </c>
      <c r="O605" s="2">
        <v>82</v>
      </c>
      <c r="P605" s="8">
        <f t="shared" si="47"/>
        <v>12673</v>
      </c>
      <c r="Q605" s="8">
        <f t="shared" si="48"/>
        <v>819</v>
      </c>
      <c r="R605" s="2" t="s">
        <v>28</v>
      </c>
      <c r="S605" s="24">
        <f t="shared" si="49"/>
        <v>0.05</v>
      </c>
    </row>
    <row r="606" spans="1:19" x14ac:dyDescent="0.25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>VLOOKUP(F606,'Customer Info'!$A:$B,2,0)</f>
        <v>Maureen</v>
      </c>
      <c r="H606" s="6" t="str">
        <f>VLOOKUP(F606,'Customer Info'!$A$1:$C$501,3,0)</f>
        <v>Fritzler</v>
      </c>
      <c r="I606" s="6" t="str">
        <f>VLOOKUP(F606,Customer,5,0)</f>
        <v>BadenBaden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3580</v>
      </c>
      <c r="O606" s="2">
        <v>33</v>
      </c>
      <c r="P606" s="8">
        <f t="shared" si="47"/>
        <v>3613</v>
      </c>
      <c r="Q606" s="8">
        <f t="shared" si="48"/>
        <v>168</v>
      </c>
      <c r="R606" s="2" t="s">
        <v>50</v>
      </c>
      <c r="S606" s="24">
        <f t="shared" si="49"/>
        <v>0.02</v>
      </c>
    </row>
    <row r="607" spans="1:19" x14ac:dyDescent="0.25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>VLOOKUP(F607,'Customer Info'!$A:$B,2,0)</f>
        <v>Kelly</v>
      </c>
      <c r="H607" s="6" t="str">
        <f>VLOOKUP(F607,'Customer Info'!$A$1:$C$501,3,0)</f>
        <v>Collister</v>
      </c>
      <c r="I607" s="6" t="str">
        <f>VLOOKUP(F607,Customer,5,0)</f>
        <v>Sydney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207</v>
      </c>
      <c r="O607" s="2">
        <v>10</v>
      </c>
      <c r="P607" s="8">
        <f t="shared" si="47"/>
        <v>217</v>
      </c>
      <c r="Q607" s="8">
        <f t="shared" si="48"/>
        <v>18</v>
      </c>
      <c r="R607" s="2" t="s">
        <v>50</v>
      </c>
      <c r="S607" s="24">
        <f t="shared" si="49"/>
        <v>0.02</v>
      </c>
    </row>
    <row r="608" spans="1:19" x14ac:dyDescent="0.25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>VLOOKUP(F608,'Customer Info'!$A:$B,2,0)</f>
        <v>Anthony</v>
      </c>
      <c r="H608" s="6" t="str">
        <f>VLOOKUP(F608,'Customer Info'!$A$1:$C$501,3,0)</f>
        <v>Rawles</v>
      </c>
      <c r="I608" s="6" t="str">
        <f>VLOOKUP(F608,Customer,5,0)</f>
        <v>Samarinda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776</v>
      </c>
      <c r="O608" s="2">
        <v>30</v>
      </c>
      <c r="P608" s="8">
        <f t="shared" si="47"/>
        <v>806</v>
      </c>
      <c r="Q608" s="8">
        <f t="shared" si="48"/>
        <v>72</v>
      </c>
      <c r="R608" s="2" t="s">
        <v>28</v>
      </c>
      <c r="S608" s="24">
        <f t="shared" si="49"/>
        <v>0.02</v>
      </c>
    </row>
    <row r="609" spans="1:19" x14ac:dyDescent="0.25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>VLOOKUP(F609,'Customer Info'!$A:$B,2,0)</f>
        <v>Kelly</v>
      </c>
      <c r="H609" s="6" t="str">
        <f>VLOOKUP(F609,'Customer Info'!$A$1:$C$501,3,0)</f>
        <v>Williams</v>
      </c>
      <c r="I609" s="6" t="str">
        <f>VLOOKUP(F609,Customer,5,0)</f>
        <v>Palu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6750</v>
      </c>
      <c r="O609" s="2">
        <v>40</v>
      </c>
      <c r="P609" s="8">
        <f t="shared" si="47"/>
        <v>6790</v>
      </c>
      <c r="Q609" s="8">
        <f t="shared" si="48"/>
        <v>510</v>
      </c>
      <c r="R609" s="2" t="s">
        <v>50</v>
      </c>
      <c r="S609" s="24">
        <f t="shared" si="49"/>
        <v>0.05</v>
      </c>
    </row>
    <row r="610" spans="1:19" x14ac:dyDescent="0.25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>VLOOKUP(F610,'Customer Info'!$A:$B,2,0)</f>
        <v>Jessica</v>
      </c>
      <c r="H610" s="6" t="str">
        <f>VLOOKUP(F610,'Customer Info'!$A$1:$C$501,3,0)</f>
        <v>Myrick</v>
      </c>
      <c r="I610" s="6" t="str">
        <f>VLOOKUP(F610,Customer,5,0)</f>
        <v>Krefeld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4542</v>
      </c>
      <c r="O610" s="2">
        <v>51</v>
      </c>
      <c r="P610" s="8">
        <f t="shared" si="47"/>
        <v>4593</v>
      </c>
      <c r="Q610" s="8">
        <f t="shared" si="48"/>
        <v>254</v>
      </c>
      <c r="R610" s="2" t="s">
        <v>28</v>
      </c>
      <c r="S610" s="24">
        <f t="shared" si="49"/>
        <v>0.02</v>
      </c>
    </row>
    <row r="611" spans="1:19" x14ac:dyDescent="0.25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>VLOOKUP(F611,'Customer Info'!$A:$B,2,0)</f>
        <v>Michelle</v>
      </c>
      <c r="H611" s="6" t="str">
        <f>VLOOKUP(F611,'Customer Info'!$A$1:$C$501,3,0)</f>
        <v>Arnett</v>
      </c>
      <c r="I611" s="6" t="str">
        <f>VLOOKUP(F611,Customer,5,0)</f>
        <v>Palembang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39510</v>
      </c>
      <c r="O611" s="2">
        <v>25</v>
      </c>
      <c r="P611" s="8">
        <f t="shared" si="47"/>
        <v>39535</v>
      </c>
      <c r="Q611" s="8">
        <f t="shared" si="48"/>
        <v>2880</v>
      </c>
      <c r="R611" s="2" t="s">
        <v>28</v>
      </c>
      <c r="S611" s="24">
        <f t="shared" si="49"/>
        <v>7.0000000000000007E-2</v>
      </c>
    </row>
    <row r="612" spans="1:19" x14ac:dyDescent="0.25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>VLOOKUP(F612,'Customer Info'!$A:$B,2,0)</f>
        <v>Nancy</v>
      </c>
      <c r="H612" s="6" t="str">
        <f>VLOOKUP(F612,'Customer Info'!$A$1:$C$501,3,0)</f>
        <v>Lomonaco</v>
      </c>
      <c r="I612" s="6" t="str">
        <f>VLOOKUP(F612,Customer,5,0)</f>
        <v>Tengzhou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24108</v>
      </c>
      <c r="O612" s="2">
        <v>33</v>
      </c>
      <c r="P612" s="8">
        <f t="shared" si="47"/>
        <v>24141</v>
      </c>
      <c r="Q612" s="8">
        <f t="shared" si="48"/>
        <v>1332</v>
      </c>
      <c r="R612" s="2" t="s">
        <v>50</v>
      </c>
      <c r="S612" s="24">
        <f t="shared" si="49"/>
        <v>0.05</v>
      </c>
    </row>
    <row r="613" spans="1:19" x14ac:dyDescent="0.25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>VLOOKUP(F613,'Customer Info'!$A:$B,2,0)</f>
        <v>Logan</v>
      </c>
      <c r="H613" s="6" t="str">
        <f>VLOOKUP(F613,'Customer Info'!$A$1:$C$501,3,0)</f>
        <v>Currie</v>
      </c>
      <c r="I613" s="6" t="str">
        <f>VLOOKUP(F613,Customer,5,0)</f>
        <v>Amravati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1358</v>
      </c>
      <c r="O613" s="2">
        <v>94</v>
      </c>
      <c r="P613" s="8">
        <f t="shared" si="47"/>
        <v>1452</v>
      </c>
      <c r="Q613" s="8">
        <f t="shared" si="48"/>
        <v>64</v>
      </c>
      <c r="R613" s="2" t="s">
        <v>28</v>
      </c>
      <c r="S613" s="24">
        <f t="shared" si="49"/>
        <v>0.02</v>
      </c>
    </row>
    <row r="614" spans="1:19" x14ac:dyDescent="0.25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>VLOOKUP(F614,'Customer Info'!$A:$B,2,0)</f>
        <v>Thais</v>
      </c>
      <c r="H614" s="6" t="str">
        <f>VLOOKUP(F614,'Customer Info'!$A$1:$C$501,3,0)</f>
        <v>Sissman</v>
      </c>
      <c r="I614" s="6" t="str">
        <f>VLOOKUP(F614,Customer,5,0)</f>
        <v>Essen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3213</v>
      </c>
      <c r="O614" s="2">
        <v>30</v>
      </c>
      <c r="P614" s="8">
        <f t="shared" si="47"/>
        <v>3243</v>
      </c>
      <c r="Q614" s="8">
        <f t="shared" si="48"/>
        <v>183</v>
      </c>
      <c r="R614" s="2" t="s">
        <v>28</v>
      </c>
      <c r="S614" s="24">
        <f t="shared" si="49"/>
        <v>0.02</v>
      </c>
    </row>
    <row r="615" spans="1:19" x14ac:dyDescent="0.25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>VLOOKUP(F615,'Customer Info'!$A:$B,2,0)</f>
        <v>Craig</v>
      </c>
      <c r="H615" s="6" t="str">
        <f>VLOOKUP(F615,'Customer Info'!$A$1:$C$501,3,0)</f>
        <v>Leslie</v>
      </c>
      <c r="I615" s="6" t="str">
        <f>VLOOKUP(F615,Customer,5,0)</f>
        <v>Wetzlar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34952</v>
      </c>
      <c r="O615" s="2">
        <v>84</v>
      </c>
      <c r="P615" s="8">
        <f t="shared" si="47"/>
        <v>35036</v>
      </c>
      <c r="Q615" s="8">
        <f t="shared" si="48"/>
        <v>2304</v>
      </c>
      <c r="R615" s="2" t="s">
        <v>28</v>
      </c>
      <c r="S615" s="24">
        <f t="shared" si="49"/>
        <v>7.0000000000000007E-2</v>
      </c>
    </row>
    <row r="616" spans="1:19" x14ac:dyDescent="0.25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>VLOOKUP(F616,'Customer Info'!$A:$B,2,0)</f>
        <v>Ralph</v>
      </c>
      <c r="H616" s="6" t="str">
        <f>VLOOKUP(F616,'Customer Info'!$A$1:$C$501,3,0)</f>
        <v>Arnett</v>
      </c>
      <c r="I616" s="6" t="str">
        <f>VLOOKUP(F616,Customer,5,0)</f>
        <v>Wolfsburg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100</v>
      </c>
      <c r="O616" s="2">
        <v>10</v>
      </c>
      <c r="P616" s="8">
        <f t="shared" si="47"/>
        <v>110</v>
      </c>
      <c r="Q616" s="8">
        <f t="shared" si="48"/>
        <v>5</v>
      </c>
      <c r="R616" s="2" t="s">
        <v>28</v>
      </c>
      <c r="S616" s="24">
        <f t="shared" si="49"/>
        <v>0.02</v>
      </c>
    </row>
    <row r="617" spans="1:19" x14ac:dyDescent="0.25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>VLOOKUP(F617,'Customer Info'!$A:$B,2,0)</f>
        <v>Ralph</v>
      </c>
      <c r="H617" s="6" t="str">
        <f>VLOOKUP(F617,'Customer Info'!$A$1:$C$501,3,0)</f>
        <v>Kennedy</v>
      </c>
      <c r="I617" s="6" t="str">
        <f>VLOOKUP(F617,Customer,5,0)</f>
        <v>Perth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1482</v>
      </c>
      <c r="O617" s="2">
        <v>69</v>
      </c>
      <c r="P617" s="8">
        <f t="shared" si="47"/>
        <v>1551</v>
      </c>
      <c r="Q617" s="8">
        <f t="shared" si="48"/>
        <v>29</v>
      </c>
      <c r="R617" s="2" t="s">
        <v>28</v>
      </c>
      <c r="S617" s="24">
        <f t="shared" si="49"/>
        <v>0.02</v>
      </c>
    </row>
    <row r="618" spans="1:19" x14ac:dyDescent="0.25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>VLOOKUP(F618,'Customer Info'!$A:$B,2,0)</f>
        <v>Ryan</v>
      </c>
      <c r="H618" s="6" t="str">
        <f>VLOOKUP(F618,'Customer Info'!$A$1:$C$501,3,0)</f>
        <v>Crowe</v>
      </c>
      <c r="I618" s="6" t="str">
        <f>VLOOKUP(F618,Customer,5,0)</f>
        <v>Kanpur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875</v>
      </c>
      <c r="O618" s="2">
        <v>30</v>
      </c>
      <c r="P618" s="8">
        <f t="shared" si="47"/>
        <v>905</v>
      </c>
      <c r="Q618" s="8">
        <f t="shared" si="48"/>
        <v>85</v>
      </c>
      <c r="R618" s="2" t="s">
        <v>28</v>
      </c>
      <c r="S618" s="24">
        <f t="shared" si="49"/>
        <v>0.02</v>
      </c>
    </row>
    <row r="619" spans="1:19" x14ac:dyDescent="0.25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>VLOOKUP(F619,'Customer Info'!$A:$B,2,0)</f>
        <v>Muhammed</v>
      </c>
      <c r="H619" s="6" t="str">
        <f>VLOOKUP(F619,'Customer Info'!$A$1:$C$501,3,0)</f>
        <v>Lee</v>
      </c>
      <c r="I619" s="6" t="str">
        <f>VLOOKUP(F619,Customer,5,0)</f>
        <v>Nellore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8950</v>
      </c>
      <c r="O619" s="2">
        <v>92</v>
      </c>
      <c r="P619" s="8">
        <f t="shared" si="47"/>
        <v>9042</v>
      </c>
      <c r="Q619" s="8">
        <f t="shared" si="48"/>
        <v>420</v>
      </c>
      <c r="R619" s="2" t="s">
        <v>28</v>
      </c>
      <c r="S619" s="24">
        <f t="shared" si="49"/>
        <v>0.05</v>
      </c>
    </row>
    <row r="620" spans="1:19" x14ac:dyDescent="0.25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>VLOOKUP(F620,'Customer Info'!$A:$B,2,0)</f>
        <v>Jason</v>
      </c>
      <c r="H620" s="6" t="str">
        <f>VLOOKUP(F620,'Customer Info'!$A$1:$C$501,3,0)</f>
        <v>Gross</v>
      </c>
      <c r="I620" s="6" t="str">
        <f>VLOOKUP(F620,Customer,5,0)</f>
        <v>Sydney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556</v>
      </c>
      <c r="O620" s="2">
        <v>30</v>
      </c>
      <c r="P620" s="8">
        <f t="shared" si="47"/>
        <v>586</v>
      </c>
      <c r="Q620" s="8">
        <f t="shared" si="48"/>
        <v>36</v>
      </c>
      <c r="R620" s="2" t="s">
        <v>28</v>
      </c>
      <c r="S620" s="24">
        <f t="shared" si="49"/>
        <v>0.02</v>
      </c>
    </row>
    <row r="621" spans="1:19" x14ac:dyDescent="0.25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>VLOOKUP(F621,'Customer Info'!$A:$B,2,0)</f>
        <v>Dianna</v>
      </c>
      <c r="H621" s="6" t="str">
        <f>VLOOKUP(F621,'Customer Info'!$A$1:$C$501,3,0)</f>
        <v>Wilson</v>
      </c>
      <c r="I621" s="6" t="str">
        <f>VLOOKUP(F621,Customer,5,0)</f>
        <v>Gold Coast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23344</v>
      </c>
      <c r="O621" s="2">
        <v>51</v>
      </c>
      <c r="P621" s="8">
        <f t="shared" si="47"/>
        <v>23395</v>
      </c>
      <c r="Q621" s="8">
        <f t="shared" si="48"/>
        <v>1516</v>
      </c>
      <c r="R621" s="2" t="s">
        <v>28</v>
      </c>
      <c r="S621" s="24">
        <f t="shared" si="49"/>
        <v>0.05</v>
      </c>
    </row>
    <row r="622" spans="1:19" x14ac:dyDescent="0.25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>VLOOKUP(F622,'Customer Info'!$A:$B,2,0)</f>
        <v>Patrick</v>
      </c>
      <c r="H622" s="6" t="str">
        <f>VLOOKUP(F622,'Customer Info'!$A$1:$C$501,3,0)</f>
        <v>Bzostek</v>
      </c>
      <c r="I622" s="6" t="str">
        <f>VLOOKUP(F622,Customer,5,0)</f>
        <v>Brisbane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14142</v>
      </c>
      <c r="O622" s="2">
        <v>84</v>
      </c>
      <c r="P622" s="8">
        <f t="shared" si="47"/>
        <v>14226</v>
      </c>
      <c r="Q622" s="8">
        <f t="shared" si="48"/>
        <v>1173</v>
      </c>
      <c r="R622" s="2" t="s">
        <v>28</v>
      </c>
      <c r="S622" s="24">
        <f t="shared" si="49"/>
        <v>0.05</v>
      </c>
    </row>
    <row r="623" spans="1:19" x14ac:dyDescent="0.25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>VLOOKUP(F623,'Customer Info'!$A:$B,2,0)</f>
        <v>Brooke</v>
      </c>
      <c r="H623" s="6" t="str">
        <f>VLOOKUP(F623,'Customer Info'!$A$1:$C$501,3,0)</f>
        <v>Gillingham</v>
      </c>
      <c r="I623" s="6" t="str">
        <f>VLOOKUP(F623,Customer,5,0)</f>
        <v>Weimar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265643</v>
      </c>
      <c r="O623" s="2">
        <v>64</v>
      </c>
      <c r="P623" s="8">
        <f t="shared" si="47"/>
        <v>265707</v>
      </c>
      <c r="Q623" s="8">
        <f t="shared" si="48"/>
        <v>21931</v>
      </c>
      <c r="R623" s="2" t="s">
        <v>28</v>
      </c>
      <c r="S623" s="24">
        <f t="shared" si="49"/>
        <v>0.15</v>
      </c>
    </row>
    <row r="624" spans="1:19" x14ac:dyDescent="0.25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>VLOOKUP(F624,'Customer Info'!$A:$B,2,0)</f>
        <v>Paul</v>
      </c>
      <c r="H624" s="6" t="str">
        <f>VLOOKUP(F624,'Customer Info'!$A$1:$C$501,3,0)</f>
        <v>Gonzalez</v>
      </c>
      <c r="I624" s="6" t="str">
        <f>VLOOKUP(F624,Customer,5,0)</f>
        <v>Durgapur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5764</v>
      </c>
      <c r="O624" s="2">
        <v>78</v>
      </c>
      <c r="P624" s="8">
        <f t="shared" si="47"/>
        <v>5842</v>
      </c>
      <c r="Q624" s="8">
        <f t="shared" si="48"/>
        <v>324</v>
      </c>
      <c r="R624" s="2" t="s">
        <v>50</v>
      </c>
      <c r="S624" s="24">
        <f t="shared" si="49"/>
        <v>0.05</v>
      </c>
    </row>
    <row r="625" spans="1:19" x14ac:dyDescent="0.25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>VLOOKUP(F625,'Customer Info'!$A:$B,2,0)</f>
        <v>Sally</v>
      </c>
      <c r="H625" s="6" t="str">
        <f>VLOOKUP(F625,'Customer Info'!$A$1:$C$501,3,0)</f>
        <v>Knutson</v>
      </c>
      <c r="I625" s="6" t="str">
        <f>VLOOKUP(F625,Customer,5,0)</f>
        <v>CastropRauxel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246</v>
      </c>
      <c r="O625" s="2">
        <v>10</v>
      </c>
      <c r="P625" s="8">
        <f t="shared" si="47"/>
        <v>256</v>
      </c>
      <c r="Q625" s="8">
        <f t="shared" si="48"/>
        <v>9</v>
      </c>
      <c r="R625" s="2" t="s">
        <v>28</v>
      </c>
      <c r="S625" s="24">
        <f t="shared" si="49"/>
        <v>0.02</v>
      </c>
    </row>
    <row r="626" spans="1:19" x14ac:dyDescent="0.25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>VLOOKUP(F626,'Customer Info'!$A:$B,2,0)</f>
        <v>Don</v>
      </c>
      <c r="H626" s="6" t="str">
        <f>VLOOKUP(F626,'Customer Info'!$A$1:$C$501,3,0)</f>
        <v>Weiss</v>
      </c>
      <c r="I626" s="6" t="str">
        <f>VLOOKUP(F626,Customer,5,0)</f>
        <v>Sydney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240</v>
      </c>
      <c r="O626" s="2">
        <v>10</v>
      </c>
      <c r="P626" s="8">
        <f t="shared" si="47"/>
        <v>250</v>
      </c>
      <c r="Q626" s="8">
        <f t="shared" si="48"/>
        <v>8</v>
      </c>
      <c r="R626" s="2" t="s">
        <v>28</v>
      </c>
      <c r="S626" s="24">
        <f t="shared" si="49"/>
        <v>0.02</v>
      </c>
    </row>
    <row r="627" spans="1:19" x14ac:dyDescent="0.25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>VLOOKUP(F627,'Customer Info'!$A:$B,2,0)</f>
        <v>Laurel</v>
      </c>
      <c r="H627" s="6" t="str">
        <f>VLOOKUP(F627,'Customer Info'!$A$1:$C$501,3,0)</f>
        <v>Elliston</v>
      </c>
      <c r="I627" s="6" t="str">
        <f>VLOOKUP(F627,Customer,5,0)</f>
        <v>Tasikmalaya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52738</v>
      </c>
      <c r="O627" s="2">
        <v>63</v>
      </c>
      <c r="P627" s="8">
        <f t="shared" si="47"/>
        <v>52801</v>
      </c>
      <c r="Q627" s="8">
        <f t="shared" si="48"/>
        <v>2996</v>
      </c>
      <c r="R627" s="2" t="s">
        <v>28</v>
      </c>
      <c r="S627" s="24">
        <f t="shared" si="49"/>
        <v>0.09</v>
      </c>
    </row>
    <row r="628" spans="1:19" x14ac:dyDescent="0.25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>VLOOKUP(F628,'Customer Info'!$A:$B,2,0)</f>
        <v>Kristina</v>
      </c>
      <c r="H628" s="6" t="str">
        <f>VLOOKUP(F628,'Customer Info'!$A$1:$C$501,3,0)</f>
        <v>Nunn</v>
      </c>
      <c r="I628" s="6" t="str">
        <f>VLOOKUP(F628,Customer,5,0)</f>
        <v>Sydney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25995</v>
      </c>
      <c r="O628" s="2">
        <v>20</v>
      </c>
      <c r="P628" s="8">
        <f t="shared" si="47"/>
        <v>26015</v>
      </c>
      <c r="Q628" s="8">
        <f t="shared" si="48"/>
        <v>2826</v>
      </c>
      <c r="R628" s="2" t="s">
        <v>28</v>
      </c>
      <c r="S628" s="24">
        <f t="shared" si="49"/>
        <v>7.0000000000000007E-2</v>
      </c>
    </row>
    <row r="629" spans="1:19" x14ac:dyDescent="0.25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>VLOOKUP(F629,'Customer Info'!$A:$B,2,0)</f>
        <v>Mark</v>
      </c>
      <c r="H629" s="6" t="str">
        <f>VLOOKUP(F629,'Customer Info'!$A$1:$C$501,3,0)</f>
        <v>Cousins</v>
      </c>
      <c r="I629" s="6" t="str">
        <f>VLOOKUP(F629,Customer,5,0)</f>
        <v>Karimnagar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15068</v>
      </c>
      <c r="O629" s="2">
        <v>93</v>
      </c>
      <c r="P629" s="8">
        <f t="shared" si="47"/>
        <v>15161</v>
      </c>
      <c r="Q629" s="8">
        <f t="shared" si="48"/>
        <v>856</v>
      </c>
      <c r="R629" s="2" t="s">
        <v>28</v>
      </c>
      <c r="S629" s="24">
        <f t="shared" si="49"/>
        <v>0.05</v>
      </c>
    </row>
    <row r="630" spans="1:19" x14ac:dyDescent="0.25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>VLOOKUP(F630,'Customer Info'!$A:$B,2,0)</f>
        <v>Mark</v>
      </c>
      <c r="H630" s="6" t="str">
        <f>VLOOKUP(F630,'Customer Info'!$A$1:$C$501,3,0)</f>
        <v>Packer</v>
      </c>
      <c r="I630" s="6" t="str">
        <f>VLOOKUP(F630,Customer,5,0)</f>
        <v>Perth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191</v>
      </c>
      <c r="O630" s="2">
        <v>30</v>
      </c>
      <c r="P630" s="8">
        <f t="shared" si="47"/>
        <v>221</v>
      </c>
      <c r="Q630" s="8">
        <f t="shared" si="48"/>
        <v>21</v>
      </c>
      <c r="R630" s="2" t="s">
        <v>28</v>
      </c>
      <c r="S630" s="24">
        <f t="shared" si="49"/>
        <v>0.02</v>
      </c>
    </row>
    <row r="631" spans="1:19" x14ac:dyDescent="0.25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>VLOOKUP(F631,'Customer Info'!$A:$B,2,0)</f>
        <v>John</v>
      </c>
      <c r="H631" s="6" t="str">
        <f>VLOOKUP(F631,'Customer Info'!$A$1:$C$501,3,0)</f>
        <v>Huston</v>
      </c>
      <c r="I631" s="6" t="str">
        <f>VLOOKUP(F631,Customer,5,0)</f>
        <v>Jena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965</v>
      </c>
      <c r="O631" s="2">
        <v>30</v>
      </c>
      <c r="P631" s="8">
        <f t="shared" si="47"/>
        <v>995</v>
      </c>
      <c r="Q631" s="8">
        <f t="shared" si="48"/>
        <v>100</v>
      </c>
      <c r="R631" s="2" t="s">
        <v>50</v>
      </c>
      <c r="S631" s="24">
        <f t="shared" si="49"/>
        <v>0.02</v>
      </c>
    </row>
    <row r="632" spans="1:19" x14ac:dyDescent="0.25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>VLOOKUP(F632,'Customer Info'!$A:$B,2,0)</f>
        <v>Patrick</v>
      </c>
      <c r="H632" s="6" t="str">
        <f>VLOOKUP(F632,'Customer Info'!$A$1:$C$501,3,0)</f>
        <v>Bzostek</v>
      </c>
      <c r="I632" s="6" t="str">
        <f>VLOOKUP(F632,Customer,5,0)</f>
        <v>Brisbane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2540</v>
      </c>
      <c r="O632" s="2">
        <v>84</v>
      </c>
      <c r="P632" s="8">
        <f t="shared" si="47"/>
        <v>2624</v>
      </c>
      <c r="Q632" s="8">
        <f t="shared" si="48"/>
        <v>143</v>
      </c>
      <c r="R632" s="2" t="s">
        <v>28</v>
      </c>
      <c r="S632" s="24">
        <f t="shared" si="49"/>
        <v>0.02</v>
      </c>
    </row>
    <row r="633" spans="1:19" x14ac:dyDescent="0.25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>VLOOKUP(F633,'Customer Info'!$A:$B,2,0)</f>
        <v>Olvera</v>
      </c>
      <c r="H633" s="6" t="str">
        <f>VLOOKUP(F633,'Customer Info'!$A$1:$C$501,3,0)</f>
        <v>Toch</v>
      </c>
      <c r="I633" s="6" t="str">
        <f>VLOOKUP(F633,Customer,5,0)</f>
        <v>Neubrandenburg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26080</v>
      </c>
      <c r="O633" s="2">
        <v>36</v>
      </c>
      <c r="P633" s="8">
        <f t="shared" si="47"/>
        <v>26116</v>
      </c>
      <c r="Q633" s="8">
        <f t="shared" si="48"/>
        <v>2140</v>
      </c>
      <c r="R633" s="2" t="s">
        <v>28</v>
      </c>
      <c r="S633" s="24">
        <f t="shared" si="49"/>
        <v>7.0000000000000007E-2</v>
      </c>
    </row>
    <row r="634" spans="1:19" x14ac:dyDescent="0.25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>VLOOKUP(F634,'Customer Info'!$A:$B,2,0)</f>
        <v>Nick</v>
      </c>
      <c r="H634" s="6" t="str">
        <f>VLOOKUP(F634,'Customer Info'!$A$1:$C$501,3,0)</f>
        <v>Radford</v>
      </c>
      <c r="I634" s="6" t="str">
        <f>VLOOKUP(F634,Customer,5,0)</f>
        <v>Lucknow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324</v>
      </c>
      <c r="O634" s="2">
        <v>30</v>
      </c>
      <c r="P634" s="8">
        <f t="shared" si="47"/>
        <v>354</v>
      </c>
      <c r="Q634" s="8">
        <f t="shared" si="48"/>
        <v>28</v>
      </c>
      <c r="R634" s="2" t="s">
        <v>28</v>
      </c>
      <c r="S634" s="24">
        <f t="shared" si="49"/>
        <v>0.02</v>
      </c>
    </row>
    <row r="635" spans="1:19" x14ac:dyDescent="0.25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>VLOOKUP(F635,'Customer Info'!$A:$B,2,0)</f>
        <v>Bill</v>
      </c>
      <c r="H635" s="6" t="str">
        <f>VLOOKUP(F635,'Customer Info'!$A$1:$C$501,3,0)</f>
        <v>Shonely</v>
      </c>
      <c r="I635" s="6" t="str">
        <f>VLOOKUP(F635,Customer,5,0)</f>
        <v>Jinjiang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3270</v>
      </c>
      <c r="O635" s="2">
        <v>57</v>
      </c>
      <c r="P635" s="8">
        <f t="shared" si="47"/>
        <v>3327</v>
      </c>
      <c r="Q635" s="8">
        <f t="shared" si="48"/>
        <v>124</v>
      </c>
      <c r="R635" s="2" t="s">
        <v>50</v>
      </c>
      <c r="S635" s="24">
        <f t="shared" si="49"/>
        <v>0.02</v>
      </c>
    </row>
    <row r="636" spans="1:19" x14ac:dyDescent="0.25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>VLOOKUP(F636,'Customer Info'!$A:$B,2,0)</f>
        <v>Olvera</v>
      </c>
      <c r="H636" s="6" t="str">
        <f>VLOOKUP(F636,'Customer Info'!$A$1:$C$501,3,0)</f>
        <v>Toch</v>
      </c>
      <c r="I636" s="6" t="str">
        <f>VLOOKUP(F636,Customer,5,0)</f>
        <v>Wollongong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3238</v>
      </c>
      <c r="O636" s="2">
        <v>96</v>
      </c>
      <c r="P636" s="8">
        <f t="shared" si="47"/>
        <v>3334</v>
      </c>
      <c r="Q636" s="8">
        <f t="shared" si="48"/>
        <v>354</v>
      </c>
      <c r="R636" s="2" t="s">
        <v>50</v>
      </c>
      <c r="S636" s="24">
        <f t="shared" si="49"/>
        <v>0.02</v>
      </c>
    </row>
    <row r="637" spans="1:19" x14ac:dyDescent="0.25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>VLOOKUP(F637,'Customer Info'!$A:$B,2,0)</f>
        <v>Michael</v>
      </c>
      <c r="H637" s="6" t="str">
        <f>VLOOKUP(F637,'Customer Info'!$A$1:$C$501,3,0)</f>
        <v>Moore</v>
      </c>
      <c r="I637" s="6" t="str">
        <f>VLOOKUP(F637,Customer,5,0)</f>
        <v>Vadodara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398</v>
      </c>
      <c r="O637" s="2">
        <v>30</v>
      </c>
      <c r="P637" s="8">
        <f t="shared" si="47"/>
        <v>428</v>
      </c>
      <c r="Q637" s="8">
        <f t="shared" si="48"/>
        <v>46</v>
      </c>
      <c r="R637" s="2" t="s">
        <v>28</v>
      </c>
      <c r="S637" s="24">
        <f t="shared" si="49"/>
        <v>0.02</v>
      </c>
    </row>
    <row r="638" spans="1:19" x14ac:dyDescent="0.25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>VLOOKUP(F638,'Customer Info'!$A:$B,2,0)</f>
        <v>Roger</v>
      </c>
      <c r="H638" s="6" t="str">
        <f>VLOOKUP(F638,'Customer Info'!$A$1:$C$501,3,0)</f>
        <v>Barcio</v>
      </c>
      <c r="I638" s="6" t="str">
        <f>VLOOKUP(F638,Customer,5,0)</f>
        <v>Bremen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77</v>
      </c>
      <c r="O638" s="2">
        <v>10</v>
      </c>
      <c r="P638" s="8">
        <f t="shared" si="47"/>
        <v>87</v>
      </c>
      <c r="Q638" s="8">
        <f t="shared" si="48"/>
        <v>4</v>
      </c>
      <c r="R638" s="2" t="s">
        <v>28</v>
      </c>
      <c r="S638" s="24">
        <f t="shared" si="49"/>
        <v>0.02</v>
      </c>
    </row>
    <row r="639" spans="1:19" x14ac:dyDescent="0.25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>VLOOKUP(F639,'Customer Info'!$A:$B,2,0)</f>
        <v>Victor</v>
      </c>
      <c r="H639" s="6" t="str">
        <f>VLOOKUP(F639,'Customer Info'!$A$1:$C$501,3,0)</f>
        <v>Preis</v>
      </c>
      <c r="I639" s="6" t="str">
        <f>VLOOKUP(F639,Customer,5,0)</f>
        <v>Melbourne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158</v>
      </c>
      <c r="O639" s="2">
        <v>10</v>
      </c>
      <c r="P639" s="8">
        <f t="shared" si="47"/>
        <v>168</v>
      </c>
      <c r="Q639" s="8">
        <f t="shared" si="48"/>
        <v>8</v>
      </c>
      <c r="R639" s="2" t="s">
        <v>50</v>
      </c>
      <c r="S639" s="24">
        <f t="shared" si="49"/>
        <v>0.02</v>
      </c>
    </row>
    <row r="640" spans="1:19" x14ac:dyDescent="0.25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>VLOOKUP(F640,'Customer Info'!$A:$B,2,0)</f>
        <v>Stewart</v>
      </c>
      <c r="H640" s="6" t="str">
        <f>VLOOKUP(F640,'Customer Info'!$A$1:$C$501,3,0)</f>
        <v>Visinsky</v>
      </c>
      <c r="I640" s="6" t="str">
        <f>VLOOKUP(F640,Customer,5,0)</f>
        <v>Shenyang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29308</v>
      </c>
      <c r="O640" s="2">
        <v>43</v>
      </c>
      <c r="P640" s="8">
        <f t="shared" si="47"/>
        <v>29351</v>
      </c>
      <c r="Q640" s="8">
        <f t="shared" si="48"/>
        <v>2676</v>
      </c>
      <c r="R640" s="2" t="s">
        <v>28</v>
      </c>
      <c r="S640" s="24">
        <f t="shared" si="49"/>
        <v>7.0000000000000007E-2</v>
      </c>
    </row>
    <row r="641" spans="1:19" x14ac:dyDescent="0.25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>VLOOKUP(F641,'Customer Info'!$A:$B,2,0)</f>
        <v>Duane</v>
      </c>
      <c r="H641" s="6" t="str">
        <f>VLOOKUP(F641,'Customer Info'!$A$1:$C$501,3,0)</f>
        <v>Benoit</v>
      </c>
      <c r="I641" s="6" t="str">
        <f>VLOOKUP(F641,Customer,5,0)</f>
        <v>Tamworth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6112</v>
      </c>
      <c r="O641" s="2">
        <v>35</v>
      </c>
      <c r="P641" s="8">
        <f t="shared" si="47"/>
        <v>6147</v>
      </c>
      <c r="Q641" s="8">
        <f t="shared" si="48"/>
        <v>720</v>
      </c>
      <c r="R641" s="2" t="s">
        <v>28</v>
      </c>
      <c r="S641" s="24">
        <f t="shared" si="49"/>
        <v>0.05</v>
      </c>
    </row>
    <row r="642" spans="1:19" x14ac:dyDescent="0.25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>VLOOKUP(F642,'Customer Info'!$A:$B,2,0)</f>
        <v>Dionis</v>
      </c>
      <c r="H642" s="6" t="str">
        <f>VLOOKUP(F642,'Customer Info'!$A$1:$C$501,3,0)</f>
        <v>Lloyd</v>
      </c>
      <c r="I642" s="6" t="str">
        <f>VLOOKUP(F642,Customer,5,0)</f>
        <v>Kamarhati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48156</v>
      </c>
      <c r="O642" s="2">
        <v>54</v>
      </c>
      <c r="P642" s="8">
        <f t="shared" si="47"/>
        <v>48210</v>
      </c>
      <c r="Q642" s="8">
        <f t="shared" si="48"/>
        <v>2724</v>
      </c>
      <c r="R642" s="2" t="s">
        <v>28</v>
      </c>
      <c r="S642" s="24">
        <f t="shared" si="49"/>
        <v>7.0000000000000007E-2</v>
      </c>
    </row>
    <row r="643" spans="1:19" x14ac:dyDescent="0.25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>VLOOKUP(F643,'Customer Info'!$A:$B,2,0)</f>
        <v>Claudia</v>
      </c>
      <c r="H643" s="6" t="str">
        <f>VLOOKUP(F643,'Customer Info'!$A$1:$C$501,3,0)</f>
        <v>Bergmann</v>
      </c>
      <c r="I643" s="6" t="str">
        <f>VLOOKUP(F643,Customer,5,0)</f>
        <v>Aschaffenburg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8091</v>
      </c>
      <c r="O643" s="2">
        <v>41</v>
      </c>
      <c r="P643" s="8">
        <f t="shared" si="47"/>
        <v>8132</v>
      </c>
      <c r="Q643" s="8">
        <f t="shared" si="48"/>
        <v>597</v>
      </c>
      <c r="R643" s="2" t="s">
        <v>50</v>
      </c>
      <c r="S643" s="24">
        <f t="shared" si="49"/>
        <v>0.05</v>
      </c>
    </row>
    <row r="644" spans="1:19" x14ac:dyDescent="0.25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>VLOOKUP(F644,'Customer Info'!$A:$B,2,0)</f>
        <v>Laurel</v>
      </c>
      <c r="H644" s="6" t="str">
        <f>VLOOKUP(F644,'Customer Info'!$A$1:$C$501,3,0)</f>
        <v>Workman</v>
      </c>
      <c r="I644" s="6" t="str">
        <f>VLOOKUP(F644,Customer,5,0)</f>
        <v>Dongguan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12174</v>
      </c>
      <c r="O644" s="2">
        <v>75</v>
      </c>
      <c r="P644" s="8">
        <f t="shared" si="47"/>
        <v>12249</v>
      </c>
      <c r="Q644" s="8">
        <f t="shared" si="48"/>
        <v>558</v>
      </c>
      <c r="R644" s="2" t="s">
        <v>50</v>
      </c>
      <c r="S644" s="24">
        <f t="shared" si="49"/>
        <v>0.05</v>
      </c>
    </row>
    <row r="645" spans="1:19" x14ac:dyDescent="0.25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>VLOOKUP(F645,'Customer Info'!$A:$B,2,0)</f>
        <v>Michael</v>
      </c>
      <c r="H645" s="6" t="str">
        <f>VLOOKUP(F645,'Customer Info'!$A$1:$C$501,3,0)</f>
        <v>Chen</v>
      </c>
      <c r="I645" s="6" t="str">
        <f>VLOOKUP(F645,Customer,5,0)</f>
        <v>Jakarta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151</v>
      </c>
      <c r="O645" s="2">
        <v>30</v>
      </c>
      <c r="P645" s="8">
        <f t="shared" si="47"/>
        <v>181</v>
      </c>
      <c r="Q645" s="8">
        <f t="shared" si="48"/>
        <v>12</v>
      </c>
      <c r="R645" s="2" t="s">
        <v>28</v>
      </c>
      <c r="S645" s="24">
        <f t="shared" si="49"/>
        <v>0.02</v>
      </c>
    </row>
    <row r="646" spans="1:19" x14ac:dyDescent="0.25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>VLOOKUP(F646,'Customer Info'!$A:$B,2,0)</f>
        <v>Craig</v>
      </c>
      <c r="H646" s="6" t="str">
        <f>VLOOKUP(F646,'Customer Info'!$A$1:$C$501,3,0)</f>
        <v>Carroll</v>
      </c>
      <c r="I646" s="6" t="str">
        <f>VLOOKUP(F646,Customer,5,0)</f>
        <v>Suzhou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12768</v>
      </c>
      <c r="O646" s="2">
        <v>50</v>
      </c>
      <c r="P646" s="8">
        <f t="shared" si="47"/>
        <v>12818</v>
      </c>
      <c r="Q646" s="8">
        <f t="shared" si="48"/>
        <v>724</v>
      </c>
      <c r="R646" s="2" t="s">
        <v>26</v>
      </c>
      <c r="S646" s="24">
        <f t="shared" si="49"/>
        <v>0.05</v>
      </c>
    </row>
    <row r="647" spans="1:19" x14ac:dyDescent="0.25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>VLOOKUP(F647,'Customer Info'!$A:$B,2,0)</f>
        <v>Troy</v>
      </c>
      <c r="H647" s="6" t="str">
        <f>VLOOKUP(F647,'Customer Info'!$A$1:$C$501,3,0)</f>
        <v>Staebel</v>
      </c>
      <c r="I647" s="6" t="str">
        <f>VLOOKUP(F647,Customer,5,0)</f>
        <v>Canberra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13328</v>
      </c>
      <c r="O647" s="2">
        <v>38</v>
      </c>
      <c r="P647" s="8">
        <f t="shared" si="47"/>
        <v>13366</v>
      </c>
      <c r="Q647" s="8">
        <f t="shared" si="48"/>
        <v>382</v>
      </c>
      <c r="R647" s="2" t="s">
        <v>28</v>
      </c>
      <c r="S647" s="24">
        <f t="shared" si="49"/>
        <v>0.05</v>
      </c>
    </row>
    <row r="648" spans="1:19" x14ac:dyDescent="0.25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>VLOOKUP(F648,'Customer Info'!$A:$B,2,0)</f>
        <v>Sheri</v>
      </c>
      <c r="H648" s="6" t="str">
        <f>VLOOKUP(F648,'Customer Info'!$A$1:$C$501,3,0)</f>
        <v>Gordon</v>
      </c>
      <c r="I648" s="6" t="str">
        <f>VLOOKUP(F648,Customer,5,0)</f>
        <v>Bogor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3850</v>
      </c>
      <c r="O648" s="2">
        <v>75</v>
      </c>
      <c r="P648" s="8">
        <f t="shared" si="47"/>
        <v>3925</v>
      </c>
      <c r="Q648" s="8">
        <f t="shared" si="48"/>
        <v>182</v>
      </c>
      <c r="R648" s="2" t="s">
        <v>28</v>
      </c>
      <c r="S648" s="24">
        <f t="shared" si="49"/>
        <v>0.02</v>
      </c>
    </row>
    <row r="649" spans="1:19" x14ac:dyDescent="0.25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>VLOOKUP(F649,'Customer Info'!$A:$B,2,0)</f>
        <v>Rick</v>
      </c>
      <c r="H649" s="6" t="str">
        <f>VLOOKUP(F649,'Customer Info'!$A$1:$C$501,3,0)</f>
        <v>Reed</v>
      </c>
      <c r="I649" s="6" t="str">
        <f>VLOOKUP(F649,Customer,5,0)</f>
        <v>Lucknow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19755</v>
      </c>
      <c r="O649" s="2">
        <v>72</v>
      </c>
      <c r="P649" s="8">
        <f t="shared" si="47"/>
        <v>19827</v>
      </c>
      <c r="Q649" s="8">
        <f t="shared" si="48"/>
        <v>1440</v>
      </c>
      <c r="R649" s="2" t="s">
        <v>26</v>
      </c>
      <c r="S649" s="24">
        <f t="shared" si="49"/>
        <v>0.05</v>
      </c>
    </row>
    <row r="650" spans="1:19" x14ac:dyDescent="0.25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>VLOOKUP(F650,'Customer Info'!$A:$B,2,0)</f>
        <v>Bryan</v>
      </c>
      <c r="H650" s="6" t="str">
        <f>VLOOKUP(F650,'Customer Info'!$A$1:$C$501,3,0)</f>
        <v>Spruell</v>
      </c>
      <c r="I650" s="6" t="str">
        <f>VLOOKUP(F650,Customer,5,0)</f>
        <v>Bekasi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14616</v>
      </c>
      <c r="O650" s="2">
        <v>91</v>
      </c>
      <c r="P650" s="8">
        <f t="shared" si="47"/>
        <v>14707</v>
      </c>
      <c r="Q650" s="8">
        <f t="shared" si="48"/>
        <v>826</v>
      </c>
      <c r="R650" s="2" t="s">
        <v>28</v>
      </c>
      <c r="S650" s="24">
        <f t="shared" si="49"/>
        <v>0.05</v>
      </c>
    </row>
    <row r="651" spans="1:19" x14ac:dyDescent="0.25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>VLOOKUP(F651,'Customer Info'!$A:$B,2,0)</f>
        <v>John</v>
      </c>
      <c r="H651" s="6" t="str">
        <f>VLOOKUP(F651,'Customer Info'!$A$1:$C$501,3,0)</f>
        <v>Lucas</v>
      </c>
      <c r="I651" s="6" t="str">
        <f>VLOOKUP(F651,Customer,5,0)</f>
        <v>Beijing</v>
      </c>
      <c r="J651" s="2">
        <v>4246</v>
      </c>
      <c r="K651" s="2">
        <v>3857</v>
      </c>
      <c r="L651" s="2">
        <v>4</v>
      </c>
      <c r="M651" s="7">
        <f t="shared" ref="M651:M714" si="50">K651*L651</f>
        <v>15428</v>
      </c>
      <c r="N651" s="7">
        <f t="shared" ref="N651:N714" si="51">J651*L651</f>
        <v>16984</v>
      </c>
      <c r="O651" s="2">
        <v>76</v>
      </c>
      <c r="P651" s="8">
        <f t="shared" ref="P651:P714" si="52">N651+O651</f>
        <v>17060</v>
      </c>
      <c r="Q651" s="8">
        <f t="shared" ref="Q651:Q714" si="53">N651-M651</f>
        <v>1556</v>
      </c>
      <c r="R651" s="2" t="s">
        <v>26</v>
      </c>
      <c r="S651" s="24">
        <f t="shared" ref="S651:S714" si="54">VLOOKUP(N651,$T$1:$U$7,2,TRUE)</f>
        <v>0.05</v>
      </c>
    </row>
    <row r="652" spans="1:19" x14ac:dyDescent="0.25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>VLOOKUP(F652,'Customer Info'!$A:$B,2,0)</f>
        <v>Cathy</v>
      </c>
      <c r="H652" s="6" t="str">
        <f>VLOOKUP(F652,'Customer Info'!$A$1:$C$501,3,0)</f>
        <v>Hwang</v>
      </c>
      <c r="I652" s="6" t="str">
        <f>VLOOKUP(F652,Customer,5,0)</f>
        <v>Trier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8">
        <f t="shared" si="52"/>
        <v>282</v>
      </c>
      <c r="Q652" s="8">
        <f t="shared" si="53"/>
        <v>20</v>
      </c>
      <c r="R652" s="2" t="s">
        <v>50</v>
      </c>
      <c r="S652" s="24">
        <f t="shared" si="54"/>
        <v>0.02</v>
      </c>
    </row>
    <row r="653" spans="1:19" x14ac:dyDescent="0.25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>VLOOKUP(F653,'Customer Info'!$A:$B,2,0)</f>
        <v>Mike</v>
      </c>
      <c r="H653" s="6" t="str">
        <f>VLOOKUP(F653,'Customer Info'!$A$1:$C$501,3,0)</f>
        <v>Gockenbach</v>
      </c>
      <c r="I653" s="6" t="str">
        <f>VLOOKUP(F653,Customer,5,0)</f>
        <v>Caloundra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8">
        <f t="shared" si="52"/>
        <v>10255</v>
      </c>
      <c r="Q653" s="8">
        <f t="shared" si="53"/>
        <v>380</v>
      </c>
      <c r="R653" s="2" t="s">
        <v>28</v>
      </c>
      <c r="S653" s="24">
        <f t="shared" si="54"/>
        <v>0.05</v>
      </c>
    </row>
    <row r="654" spans="1:19" x14ac:dyDescent="0.25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>VLOOKUP(F654,'Customer Info'!$A:$B,2,0)</f>
        <v>Debra</v>
      </c>
      <c r="H654" s="6" t="str">
        <f>VLOOKUP(F654,'Customer Info'!$A$1:$C$501,3,0)</f>
        <v>Catini</v>
      </c>
      <c r="I654" s="6" t="str">
        <f>VLOOKUP(F654,Customer,5,0)</f>
        <v>Zhengzhou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8">
        <f t="shared" si="52"/>
        <v>11088</v>
      </c>
      <c r="Q654" s="8">
        <f t="shared" si="53"/>
        <v>524</v>
      </c>
      <c r="R654" s="2" t="s">
        <v>28</v>
      </c>
      <c r="S654" s="24">
        <f t="shared" si="54"/>
        <v>0.05</v>
      </c>
    </row>
    <row r="655" spans="1:19" x14ac:dyDescent="0.25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>VLOOKUP(F655,'Customer Info'!$A:$B,2,0)</f>
        <v>Philip</v>
      </c>
      <c r="H655" s="6" t="str">
        <f>VLOOKUP(F655,'Customer Info'!$A$1:$C$501,3,0)</f>
        <v>Fox</v>
      </c>
      <c r="I655" s="6" t="str">
        <f>VLOOKUP(F655,Customer,5,0)</f>
        <v>Mount Isa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8">
        <f t="shared" si="52"/>
        <v>3223</v>
      </c>
      <c r="Q655" s="8">
        <f t="shared" si="53"/>
        <v>182</v>
      </c>
      <c r="R655" s="2" t="s">
        <v>28</v>
      </c>
      <c r="S655" s="24">
        <f t="shared" si="54"/>
        <v>0.02</v>
      </c>
    </row>
    <row r="656" spans="1:19" x14ac:dyDescent="0.25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>VLOOKUP(F656,'Customer Info'!$A:$B,2,0)</f>
        <v>Robert</v>
      </c>
      <c r="H656" s="6" t="str">
        <f>VLOOKUP(F656,'Customer Info'!$A$1:$C$501,3,0)</f>
        <v>Dilbeck</v>
      </c>
      <c r="I656" s="6" t="str">
        <f>VLOOKUP(F656,Customer,5,0)</f>
        <v>Bihar Sharif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2206</v>
      </c>
      <c r="O656" s="2">
        <v>29</v>
      </c>
      <c r="P656" s="8">
        <f t="shared" si="52"/>
        <v>2235</v>
      </c>
      <c r="Q656" s="8">
        <f t="shared" si="53"/>
        <v>146</v>
      </c>
      <c r="R656" s="2" t="s">
        <v>50</v>
      </c>
      <c r="S656" s="24">
        <f t="shared" si="54"/>
        <v>0.02</v>
      </c>
    </row>
    <row r="657" spans="1:19" x14ac:dyDescent="0.25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>VLOOKUP(F657,'Customer Info'!$A:$B,2,0)</f>
        <v>Jason</v>
      </c>
      <c r="H657" s="6" t="str">
        <f>VLOOKUP(F657,'Customer Info'!$A$1:$C$501,3,0)</f>
        <v>Gross</v>
      </c>
      <c r="I657" s="6" t="str">
        <f>VLOOKUP(F657,Customer,5,0)</f>
        <v>Sydney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3300</v>
      </c>
      <c r="O657" s="2">
        <v>88</v>
      </c>
      <c r="P657" s="8">
        <f t="shared" si="52"/>
        <v>3388</v>
      </c>
      <c r="Q657" s="8">
        <f t="shared" si="53"/>
        <v>128</v>
      </c>
      <c r="R657" s="2" t="s">
        <v>28</v>
      </c>
      <c r="S657" s="24">
        <f t="shared" si="54"/>
        <v>0.02</v>
      </c>
    </row>
    <row r="658" spans="1:19" x14ac:dyDescent="0.25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>VLOOKUP(F658,'Customer Info'!$A:$B,2,0)</f>
        <v>Debra</v>
      </c>
      <c r="H658" s="6" t="str">
        <f>VLOOKUP(F658,'Customer Info'!$A$1:$C$501,3,0)</f>
        <v>Catini</v>
      </c>
      <c r="I658" s="6" t="str">
        <f>VLOOKUP(F658,Customer,5,0)</f>
        <v>Brisbane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834</v>
      </c>
      <c r="O658" s="2">
        <v>30</v>
      </c>
      <c r="P658" s="8">
        <f t="shared" si="52"/>
        <v>864</v>
      </c>
      <c r="Q658" s="8">
        <f t="shared" si="53"/>
        <v>36</v>
      </c>
      <c r="R658" s="2" t="s">
        <v>28</v>
      </c>
      <c r="S658" s="24">
        <f t="shared" si="54"/>
        <v>0.02</v>
      </c>
    </row>
    <row r="659" spans="1:19" x14ac:dyDescent="0.25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>VLOOKUP(F659,'Customer Info'!$A:$B,2,0)</f>
        <v>Stefanie</v>
      </c>
      <c r="H659" s="6" t="str">
        <f>VLOOKUP(F659,'Customer Info'!$A$1:$C$501,3,0)</f>
        <v>Holloman</v>
      </c>
      <c r="I659" s="6" t="str">
        <f>VLOOKUP(F659,Customer,5,0)</f>
        <v>Geraldton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1574</v>
      </c>
      <c r="O659" s="2">
        <v>37</v>
      </c>
      <c r="P659" s="8">
        <f t="shared" si="52"/>
        <v>1611</v>
      </c>
      <c r="Q659" s="8">
        <f t="shared" si="53"/>
        <v>199</v>
      </c>
      <c r="R659" s="2" t="s">
        <v>50</v>
      </c>
      <c r="S659" s="24">
        <f t="shared" si="54"/>
        <v>0.02</v>
      </c>
    </row>
    <row r="660" spans="1:19" x14ac:dyDescent="0.25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>VLOOKUP(F660,'Customer Info'!$A:$B,2,0)</f>
        <v>Michael</v>
      </c>
      <c r="H660" s="6" t="str">
        <f>VLOOKUP(F660,'Customer Info'!$A$1:$C$501,3,0)</f>
        <v>Moore</v>
      </c>
      <c r="I660" s="6" t="str">
        <f>VLOOKUP(F660,Customer,5,0)</f>
        <v>Vadodara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11070</v>
      </c>
      <c r="O660" s="2">
        <v>79</v>
      </c>
      <c r="P660" s="8">
        <f t="shared" si="52"/>
        <v>11149</v>
      </c>
      <c r="Q660" s="8">
        <f t="shared" si="53"/>
        <v>618</v>
      </c>
      <c r="R660" s="2" t="s">
        <v>28</v>
      </c>
      <c r="S660" s="24">
        <f t="shared" si="54"/>
        <v>0.05</v>
      </c>
    </row>
    <row r="661" spans="1:19" x14ac:dyDescent="0.25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>VLOOKUP(F661,'Customer Info'!$A:$B,2,0)</f>
        <v>Benjamin</v>
      </c>
      <c r="H661" s="6" t="str">
        <f>VLOOKUP(F661,'Customer Info'!$A$1:$C$501,3,0)</f>
        <v>Patterson</v>
      </c>
      <c r="I661" s="6" t="str">
        <f>VLOOKUP(F661,Customer,5,0)</f>
        <v>Wollongong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14352</v>
      </c>
      <c r="O661" s="2">
        <v>79</v>
      </c>
      <c r="P661" s="8">
        <f t="shared" si="52"/>
        <v>14431</v>
      </c>
      <c r="Q661" s="8">
        <f t="shared" si="53"/>
        <v>798</v>
      </c>
      <c r="R661" s="2" t="s">
        <v>28</v>
      </c>
      <c r="S661" s="24">
        <f t="shared" si="54"/>
        <v>0.05</v>
      </c>
    </row>
    <row r="662" spans="1:19" x14ac:dyDescent="0.25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>VLOOKUP(F662,'Customer Info'!$A:$B,2,0)</f>
        <v>Stuart</v>
      </c>
      <c r="H662" s="6" t="str">
        <f>VLOOKUP(F662,'Customer Info'!$A$1:$C$501,3,0)</f>
        <v>Calhoun</v>
      </c>
      <c r="I662" s="6" t="str">
        <f>VLOOKUP(F662,Customer,5,0)</f>
        <v>Bochum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5803</v>
      </c>
      <c r="O662" s="2">
        <v>29</v>
      </c>
      <c r="P662" s="8">
        <f t="shared" si="52"/>
        <v>5832</v>
      </c>
      <c r="Q662" s="8">
        <f t="shared" si="53"/>
        <v>476</v>
      </c>
      <c r="R662" s="2" t="s">
        <v>26</v>
      </c>
      <c r="S662" s="24">
        <f t="shared" si="54"/>
        <v>0.05</v>
      </c>
    </row>
    <row r="663" spans="1:19" x14ac:dyDescent="0.25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>VLOOKUP(F663,'Customer Info'!$A:$B,2,0)</f>
        <v>Don</v>
      </c>
      <c r="H663" s="6" t="str">
        <f>VLOOKUP(F663,'Customer Info'!$A$1:$C$501,3,0)</f>
        <v>Weiss</v>
      </c>
      <c r="I663" s="6" t="str">
        <f>VLOOKUP(F663,Customer,5,0)</f>
        <v>Sydney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41174</v>
      </c>
      <c r="O663" s="2">
        <v>58</v>
      </c>
      <c r="P663" s="8">
        <f t="shared" si="52"/>
        <v>41232</v>
      </c>
      <c r="Q663" s="8">
        <f t="shared" si="53"/>
        <v>1183</v>
      </c>
      <c r="R663" s="2" t="s">
        <v>50</v>
      </c>
      <c r="S663" s="24">
        <f t="shared" si="54"/>
        <v>7.0000000000000007E-2</v>
      </c>
    </row>
    <row r="664" spans="1:19" x14ac:dyDescent="0.25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>VLOOKUP(F664,'Customer Info'!$A:$B,2,0)</f>
        <v>Greg</v>
      </c>
      <c r="H664" s="6" t="str">
        <f>VLOOKUP(F664,'Customer Info'!$A$1:$C$501,3,0)</f>
        <v>Tran</v>
      </c>
      <c r="I664" s="6" t="str">
        <f>VLOOKUP(F664,Customer,5,0)</f>
        <v>Recklinghausen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154</v>
      </c>
      <c r="O664" s="2">
        <v>10</v>
      </c>
      <c r="P664" s="8">
        <f t="shared" si="52"/>
        <v>164</v>
      </c>
      <c r="Q664" s="8">
        <f t="shared" si="53"/>
        <v>8</v>
      </c>
      <c r="R664" s="2" t="s">
        <v>26</v>
      </c>
      <c r="S664" s="24">
        <f t="shared" si="54"/>
        <v>0.02</v>
      </c>
    </row>
    <row r="665" spans="1:19" x14ac:dyDescent="0.25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>VLOOKUP(F665,'Customer Info'!$A:$B,2,0)</f>
        <v>Vivek</v>
      </c>
      <c r="H665" s="6" t="str">
        <f>VLOOKUP(F665,'Customer Info'!$A$1:$C$501,3,0)</f>
        <v>Grady</v>
      </c>
      <c r="I665" s="6" t="str">
        <f>VLOOKUP(F665,Customer,5,0)</f>
        <v>Shantou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6598</v>
      </c>
      <c r="O665" s="2">
        <v>91</v>
      </c>
      <c r="P665" s="8">
        <f t="shared" si="52"/>
        <v>6689</v>
      </c>
      <c r="Q665" s="8">
        <f t="shared" si="53"/>
        <v>252</v>
      </c>
      <c r="R665" s="2" t="s">
        <v>28</v>
      </c>
      <c r="S665" s="24">
        <f t="shared" si="54"/>
        <v>0.05</v>
      </c>
    </row>
    <row r="666" spans="1:19" x14ac:dyDescent="0.25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>VLOOKUP(F666,'Customer Info'!$A:$B,2,0)</f>
        <v>Cari</v>
      </c>
      <c r="H666" s="6" t="str">
        <f>VLOOKUP(F666,'Customer Info'!$A$1:$C$501,3,0)</f>
        <v>Sayre</v>
      </c>
      <c r="I666" s="6" t="str">
        <f>VLOOKUP(F666,Customer,5,0)</f>
        <v>Recklinghausen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2656</v>
      </c>
      <c r="O666" s="2">
        <v>45</v>
      </c>
      <c r="P666" s="8">
        <f t="shared" si="52"/>
        <v>2701</v>
      </c>
      <c r="Q666" s="8">
        <f t="shared" si="53"/>
        <v>352</v>
      </c>
      <c r="R666" s="2" t="s">
        <v>28</v>
      </c>
      <c r="S666" s="24">
        <f t="shared" si="54"/>
        <v>0.02</v>
      </c>
    </row>
    <row r="667" spans="1:19" x14ac:dyDescent="0.25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>VLOOKUP(F667,'Customer Info'!$A:$B,2,0)</f>
        <v>Liz</v>
      </c>
      <c r="H667" s="6" t="str">
        <f>VLOOKUP(F667,'Customer Info'!$A$1:$C$501,3,0)</f>
        <v>Pelletier</v>
      </c>
      <c r="I667" s="6" t="str">
        <f>VLOOKUP(F667,Customer,5,0)</f>
        <v>Zigong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973</v>
      </c>
      <c r="O667" s="2">
        <v>30</v>
      </c>
      <c r="P667" s="8">
        <f t="shared" si="52"/>
        <v>1003</v>
      </c>
      <c r="Q667" s="8">
        <f t="shared" si="53"/>
        <v>63</v>
      </c>
      <c r="R667" s="2" t="s">
        <v>50</v>
      </c>
      <c r="S667" s="24">
        <f t="shared" si="54"/>
        <v>0.02</v>
      </c>
    </row>
    <row r="668" spans="1:19" x14ac:dyDescent="0.25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>VLOOKUP(F668,'Customer Info'!$A:$B,2,0)</f>
        <v>Bill</v>
      </c>
      <c r="H668" s="6" t="str">
        <f>VLOOKUP(F668,'Customer Info'!$A$1:$C$501,3,0)</f>
        <v>Donatelli</v>
      </c>
      <c r="I668" s="6" t="str">
        <f>VLOOKUP(F668,Customer,5,0)</f>
        <v>Kamarhati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7398</v>
      </c>
      <c r="O668" s="2">
        <v>38</v>
      </c>
      <c r="P668" s="8">
        <f t="shared" si="52"/>
        <v>7436</v>
      </c>
      <c r="Q668" s="8">
        <f t="shared" si="53"/>
        <v>348</v>
      </c>
      <c r="R668" s="2" t="s">
        <v>28</v>
      </c>
      <c r="S668" s="24">
        <f t="shared" si="54"/>
        <v>0.05</v>
      </c>
    </row>
    <row r="669" spans="1:19" x14ac:dyDescent="0.25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>VLOOKUP(F669,'Customer Info'!$A:$B,2,0)</f>
        <v>Roland</v>
      </c>
      <c r="H669" s="6" t="str">
        <f>VLOOKUP(F669,'Customer Info'!$A$1:$C$501,3,0)</f>
        <v>Murray</v>
      </c>
      <c r="I669" s="6" t="str">
        <f>VLOOKUP(F669,Customer,5,0)</f>
        <v>Frankfurt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20151</v>
      </c>
      <c r="O669" s="2">
        <v>44</v>
      </c>
      <c r="P669" s="8">
        <f t="shared" si="52"/>
        <v>20195</v>
      </c>
      <c r="Q669" s="8">
        <f t="shared" si="53"/>
        <v>1287</v>
      </c>
      <c r="R669" s="2" t="s">
        <v>26</v>
      </c>
      <c r="S669" s="24">
        <f t="shared" si="54"/>
        <v>0.05</v>
      </c>
    </row>
    <row r="670" spans="1:19" x14ac:dyDescent="0.25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>VLOOKUP(F670,'Customer Info'!$A:$B,2,0)</f>
        <v>Steven</v>
      </c>
      <c r="H670" s="6" t="str">
        <f>VLOOKUP(F670,'Customer Info'!$A$1:$C$501,3,0)</f>
        <v>Cartwright</v>
      </c>
      <c r="I670" s="6" t="str">
        <f>VLOOKUP(F670,Customer,5,0)</f>
        <v>Newcastle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95161</v>
      </c>
      <c r="O670" s="2">
        <v>27</v>
      </c>
      <c r="P670" s="8">
        <f t="shared" si="52"/>
        <v>95188</v>
      </c>
      <c r="Q670" s="8">
        <f t="shared" si="53"/>
        <v>6270</v>
      </c>
      <c r="R670" s="2" t="s">
        <v>28</v>
      </c>
      <c r="S670" s="24">
        <f t="shared" si="54"/>
        <v>0.09</v>
      </c>
    </row>
    <row r="671" spans="1:19" x14ac:dyDescent="0.25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>VLOOKUP(F671,'Customer Info'!$A:$B,2,0)</f>
        <v>Paul</v>
      </c>
      <c r="H671" s="6" t="str">
        <f>VLOOKUP(F671,'Customer Info'!$A$1:$C$501,3,0)</f>
        <v>Gonzalez</v>
      </c>
      <c r="I671" s="6" t="str">
        <f>VLOOKUP(F671,Customer,5,0)</f>
        <v>Durgapur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420</v>
      </c>
      <c r="O671" s="2">
        <v>23</v>
      </c>
      <c r="P671" s="8">
        <f t="shared" si="52"/>
        <v>443</v>
      </c>
      <c r="Q671" s="8">
        <f t="shared" si="53"/>
        <v>34</v>
      </c>
      <c r="R671" s="2" t="s">
        <v>28</v>
      </c>
      <c r="S671" s="24">
        <f t="shared" si="54"/>
        <v>0.02</v>
      </c>
    </row>
    <row r="672" spans="1:19" x14ac:dyDescent="0.25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>VLOOKUP(F672,'Customer Info'!$A:$B,2,0)</f>
        <v>Shirley</v>
      </c>
      <c r="H672" s="6" t="str">
        <f>VLOOKUP(F672,'Customer Info'!$A$1:$C$501,3,0)</f>
        <v>Jackson</v>
      </c>
      <c r="I672" s="6" t="str">
        <f>VLOOKUP(F672,Customer,5,0)</f>
        <v>Gold Coast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6012</v>
      </c>
      <c r="O672" s="2">
        <v>44</v>
      </c>
      <c r="P672" s="8">
        <f t="shared" si="52"/>
        <v>6056</v>
      </c>
      <c r="Q672" s="8">
        <f t="shared" si="53"/>
        <v>335</v>
      </c>
      <c r="R672" s="2" t="s">
        <v>28</v>
      </c>
      <c r="S672" s="24">
        <f t="shared" si="54"/>
        <v>0.05</v>
      </c>
    </row>
    <row r="673" spans="1:19" x14ac:dyDescent="0.25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>VLOOKUP(F673,'Customer Info'!$A:$B,2,0)</f>
        <v>Liz</v>
      </c>
      <c r="H673" s="6" t="str">
        <f>VLOOKUP(F673,'Customer Info'!$A$1:$C$501,3,0)</f>
        <v>Carlisle</v>
      </c>
      <c r="I673" s="6" t="str">
        <f>VLOOKUP(F673,Customer,5,0)</f>
        <v>Luoyang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1635</v>
      </c>
      <c r="O673" s="2">
        <v>52</v>
      </c>
      <c r="P673" s="8">
        <f t="shared" si="52"/>
        <v>1687</v>
      </c>
      <c r="Q673" s="8">
        <f t="shared" si="53"/>
        <v>62</v>
      </c>
      <c r="R673" s="2" t="s">
        <v>50</v>
      </c>
      <c r="S673" s="24">
        <f t="shared" si="54"/>
        <v>0.02</v>
      </c>
    </row>
    <row r="674" spans="1:19" x14ac:dyDescent="0.25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>VLOOKUP(F674,'Customer Info'!$A:$B,2,0)</f>
        <v>Michelle</v>
      </c>
      <c r="H674" s="6" t="str">
        <f>VLOOKUP(F674,'Customer Info'!$A$1:$C$501,3,0)</f>
        <v>Arnett</v>
      </c>
      <c r="I674" s="6" t="str">
        <f>VLOOKUP(F674,Customer,5,0)</f>
        <v>Yancheng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56182</v>
      </c>
      <c r="O674" s="2">
        <v>86</v>
      </c>
      <c r="P674" s="8">
        <f t="shared" si="52"/>
        <v>56268</v>
      </c>
      <c r="Q674" s="8">
        <f t="shared" si="53"/>
        <v>3178</v>
      </c>
      <c r="R674" s="2" t="s">
        <v>26</v>
      </c>
      <c r="S674" s="24">
        <f t="shared" si="54"/>
        <v>0.09</v>
      </c>
    </row>
    <row r="675" spans="1:19" x14ac:dyDescent="0.25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>VLOOKUP(F675,'Customer Info'!$A:$B,2,0)</f>
        <v>Keith</v>
      </c>
      <c r="H675" s="6" t="str">
        <f>VLOOKUP(F675,'Customer Info'!$A$1:$C$501,3,0)</f>
        <v>Herrera</v>
      </c>
      <c r="I675" s="6" t="str">
        <f>VLOOKUP(F675,Customer,5,0)</f>
        <v>Jakarta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1246</v>
      </c>
      <c r="O675" s="2">
        <v>85</v>
      </c>
      <c r="P675" s="8">
        <f t="shared" si="52"/>
        <v>1331</v>
      </c>
      <c r="Q675" s="8">
        <f t="shared" si="53"/>
        <v>82</v>
      </c>
      <c r="R675" s="2" t="s">
        <v>50</v>
      </c>
      <c r="S675" s="24">
        <f t="shared" si="54"/>
        <v>0.02</v>
      </c>
    </row>
    <row r="676" spans="1:19" x14ac:dyDescent="0.25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>VLOOKUP(F676,'Customer Info'!$A:$B,2,0)</f>
        <v>Shui</v>
      </c>
      <c r="H676" s="6" t="str">
        <f>VLOOKUP(F676,'Customer Info'!$A$1:$C$501,3,0)</f>
        <v>Tom</v>
      </c>
      <c r="I676" s="6" t="str">
        <f>VLOOKUP(F676,Customer,5,0)</f>
        <v>Melbourne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14370</v>
      </c>
      <c r="O676" s="2">
        <v>96</v>
      </c>
      <c r="P676" s="8">
        <f t="shared" si="52"/>
        <v>14466</v>
      </c>
      <c r="Q676" s="8">
        <f t="shared" si="53"/>
        <v>1455</v>
      </c>
      <c r="R676" s="2" t="s">
        <v>28</v>
      </c>
      <c r="S676" s="24">
        <f t="shared" si="54"/>
        <v>0.05</v>
      </c>
    </row>
    <row r="677" spans="1:19" x14ac:dyDescent="0.25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>VLOOKUP(F677,'Customer Info'!$A:$B,2,0)</f>
        <v>Benjamin</v>
      </c>
      <c r="H677" s="6" t="str">
        <f>VLOOKUP(F677,'Customer Info'!$A$1:$C$501,3,0)</f>
        <v>Patterson</v>
      </c>
      <c r="I677" s="6" t="str">
        <f>VLOOKUP(F677,Customer,5,0)</f>
        <v>Wollongong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4962</v>
      </c>
      <c r="O677" s="2">
        <v>62</v>
      </c>
      <c r="P677" s="8">
        <f t="shared" si="52"/>
        <v>5024</v>
      </c>
      <c r="Q677" s="8">
        <f t="shared" si="53"/>
        <v>234</v>
      </c>
      <c r="R677" s="2" t="s">
        <v>28</v>
      </c>
      <c r="S677" s="24">
        <f t="shared" si="54"/>
        <v>0.02</v>
      </c>
    </row>
    <row r="678" spans="1:19" x14ac:dyDescent="0.25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>VLOOKUP(F678,'Customer Info'!$A:$B,2,0)</f>
        <v>John</v>
      </c>
      <c r="H678" s="6" t="str">
        <f>VLOOKUP(F678,'Customer Info'!$A$1:$C$501,3,0)</f>
        <v>Huston</v>
      </c>
      <c r="I678" s="6" t="str">
        <f>VLOOKUP(F678,Customer,5,0)</f>
        <v>Jena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3308</v>
      </c>
      <c r="O678" s="2">
        <v>68</v>
      </c>
      <c r="P678" s="8">
        <f t="shared" si="52"/>
        <v>3376</v>
      </c>
      <c r="Q678" s="8">
        <f t="shared" si="53"/>
        <v>156</v>
      </c>
      <c r="R678" s="2" t="s">
        <v>26</v>
      </c>
      <c r="S678" s="24">
        <f t="shared" si="54"/>
        <v>0.02</v>
      </c>
    </row>
    <row r="679" spans="1:19" x14ac:dyDescent="0.25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>VLOOKUP(F679,'Customer Info'!$A:$B,2,0)</f>
        <v>Anthony</v>
      </c>
      <c r="H679" s="6" t="str">
        <f>VLOOKUP(F679,'Customer Info'!$A$1:$C$501,3,0)</f>
        <v>Garverick</v>
      </c>
      <c r="I679" s="6" t="str">
        <f>VLOOKUP(F679,Customer,5,0)</f>
        <v>Delhi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6448</v>
      </c>
      <c r="O679" s="2">
        <v>57</v>
      </c>
      <c r="P679" s="8">
        <f t="shared" si="52"/>
        <v>6505</v>
      </c>
      <c r="Q679" s="8">
        <f t="shared" si="53"/>
        <v>646</v>
      </c>
      <c r="R679" s="2" t="s">
        <v>28</v>
      </c>
      <c r="S679" s="24">
        <f t="shared" si="54"/>
        <v>0.05</v>
      </c>
    </row>
    <row r="680" spans="1:19" x14ac:dyDescent="0.25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>VLOOKUP(F680,'Customer Info'!$A:$B,2,0)</f>
        <v>Deanra</v>
      </c>
      <c r="H680" s="6" t="str">
        <f>VLOOKUP(F680,'Customer Info'!$A$1:$C$501,3,0)</f>
        <v>Eno</v>
      </c>
      <c r="I680" s="6" t="str">
        <f>VLOOKUP(F680,Customer,5,0)</f>
        <v>Langen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124</v>
      </c>
      <c r="O680" s="2">
        <v>10</v>
      </c>
      <c r="P680" s="8">
        <f t="shared" si="52"/>
        <v>134</v>
      </c>
      <c r="Q680" s="8">
        <f t="shared" si="53"/>
        <v>8</v>
      </c>
      <c r="R680" s="2" t="s">
        <v>28</v>
      </c>
      <c r="S680" s="24">
        <f t="shared" si="54"/>
        <v>0.02</v>
      </c>
    </row>
    <row r="681" spans="1:19" x14ac:dyDescent="0.25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>VLOOKUP(F681,'Customer Info'!$A:$B,2,0)</f>
        <v>Christopher</v>
      </c>
      <c r="H681" s="6" t="str">
        <f>VLOOKUP(F681,'Customer Info'!$A$1:$C$501,3,0)</f>
        <v>Martinez</v>
      </c>
      <c r="I681" s="6" t="str">
        <f>VLOOKUP(F681,Customer,5,0)</f>
        <v>Qingdao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16554</v>
      </c>
      <c r="O681" s="2">
        <v>67</v>
      </c>
      <c r="P681" s="8">
        <f t="shared" si="52"/>
        <v>16621</v>
      </c>
      <c r="Q681" s="8">
        <f t="shared" si="53"/>
        <v>786</v>
      </c>
      <c r="R681" s="2" t="s">
        <v>28</v>
      </c>
      <c r="S681" s="24">
        <f t="shared" si="54"/>
        <v>0.05</v>
      </c>
    </row>
    <row r="682" spans="1:19" x14ac:dyDescent="0.25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>VLOOKUP(F682,'Customer Info'!$A:$B,2,0)</f>
        <v>Victoria</v>
      </c>
      <c r="H682" s="6" t="str">
        <f>VLOOKUP(F682,'Customer Info'!$A$1:$C$501,3,0)</f>
        <v>Pisteka</v>
      </c>
      <c r="I682" s="6" t="str">
        <f>VLOOKUP(F682,Customer,5,0)</f>
        <v>Bokaro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16280</v>
      </c>
      <c r="O682" s="2">
        <v>34</v>
      </c>
      <c r="P682" s="8">
        <f t="shared" si="52"/>
        <v>16314</v>
      </c>
      <c r="Q682" s="8">
        <f t="shared" si="53"/>
        <v>1485</v>
      </c>
      <c r="R682" s="2" t="s">
        <v>56</v>
      </c>
      <c r="S682" s="24">
        <f t="shared" si="54"/>
        <v>0.05</v>
      </c>
    </row>
    <row r="683" spans="1:19" x14ac:dyDescent="0.25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>VLOOKUP(F683,'Customer Info'!$A:$B,2,0)</f>
        <v>Brooke</v>
      </c>
      <c r="H683" s="6" t="str">
        <f>VLOOKUP(F683,'Customer Info'!$A$1:$C$501,3,0)</f>
        <v>Gillingham</v>
      </c>
      <c r="I683" s="6" t="str">
        <f>VLOOKUP(F683,Customer,5,0)</f>
        <v>Weimar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200</v>
      </c>
      <c r="O683" s="2">
        <v>10</v>
      </c>
      <c r="P683" s="8">
        <f t="shared" si="52"/>
        <v>210</v>
      </c>
      <c r="Q683" s="8">
        <f t="shared" si="53"/>
        <v>10</v>
      </c>
      <c r="R683" s="2" t="s">
        <v>50</v>
      </c>
      <c r="S683" s="24">
        <f t="shared" si="54"/>
        <v>0.02</v>
      </c>
    </row>
    <row r="684" spans="1:19" x14ac:dyDescent="0.25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>VLOOKUP(F684,'Customer Info'!$A:$B,2,0)</f>
        <v>Troy</v>
      </c>
      <c r="H684" s="6" t="str">
        <f>VLOOKUP(F684,'Customer Info'!$A$1:$C$501,3,0)</f>
        <v>Staebel</v>
      </c>
      <c r="I684" s="6" t="str">
        <f>VLOOKUP(F684,Customer,5,0)</f>
        <v>Canberra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126</v>
      </c>
      <c r="O684" s="2">
        <v>10</v>
      </c>
      <c r="P684" s="8">
        <f t="shared" si="52"/>
        <v>136</v>
      </c>
      <c r="Q684" s="8">
        <f t="shared" si="53"/>
        <v>10</v>
      </c>
      <c r="R684" s="2" t="s">
        <v>28</v>
      </c>
      <c r="S684" s="24">
        <f t="shared" si="54"/>
        <v>0.02</v>
      </c>
    </row>
    <row r="685" spans="1:19" x14ac:dyDescent="0.25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>VLOOKUP(F685,'Customer Info'!$A:$B,2,0)</f>
        <v>Erica</v>
      </c>
      <c r="H685" s="6" t="str">
        <f>VLOOKUP(F685,'Customer Info'!$A$1:$C$501,3,0)</f>
        <v>Hackney</v>
      </c>
      <c r="I685" s="6" t="str">
        <f>VLOOKUP(F685,Customer,5,0)</f>
        <v>Perth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22568</v>
      </c>
      <c r="O685" s="2">
        <v>52</v>
      </c>
      <c r="P685" s="8">
        <f t="shared" si="52"/>
        <v>22620</v>
      </c>
      <c r="Q685" s="8">
        <f t="shared" si="53"/>
        <v>1680</v>
      </c>
      <c r="R685" s="2" t="s">
        <v>26</v>
      </c>
      <c r="S685" s="24">
        <f t="shared" si="54"/>
        <v>0.05</v>
      </c>
    </row>
    <row r="686" spans="1:19" x14ac:dyDescent="0.25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>VLOOKUP(F686,'Customer Info'!$A:$B,2,0)</f>
        <v>Jack</v>
      </c>
      <c r="H686" s="6" t="str">
        <f>VLOOKUP(F686,'Customer Info'!$A$1:$C$501,3,0)</f>
        <v>Lebron</v>
      </c>
      <c r="I686" s="6" t="str">
        <f>VLOOKUP(F686,Customer,5,0)</f>
        <v>Bremen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4761</v>
      </c>
      <c r="O686" s="2">
        <v>76</v>
      </c>
      <c r="P686" s="8">
        <f t="shared" si="52"/>
        <v>4837</v>
      </c>
      <c r="Q686" s="8">
        <f t="shared" si="53"/>
        <v>477</v>
      </c>
      <c r="R686" s="2" t="s">
        <v>28</v>
      </c>
      <c r="S686" s="24">
        <f t="shared" si="54"/>
        <v>0.02</v>
      </c>
    </row>
    <row r="687" spans="1:19" x14ac:dyDescent="0.25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>VLOOKUP(F687,'Customer Info'!$A:$B,2,0)</f>
        <v>Darren</v>
      </c>
      <c r="H687" s="6" t="str">
        <f>VLOOKUP(F687,'Customer Info'!$A$1:$C$501,3,0)</f>
        <v>Budd</v>
      </c>
      <c r="I687" s="6" t="str">
        <f>VLOOKUP(F687,Customer,5,0)</f>
        <v>Perth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2338</v>
      </c>
      <c r="O687" s="2">
        <v>26</v>
      </c>
      <c r="P687" s="8">
        <f t="shared" si="52"/>
        <v>2364</v>
      </c>
      <c r="Q687" s="8">
        <f t="shared" si="53"/>
        <v>132</v>
      </c>
      <c r="R687" s="2" t="s">
        <v>50</v>
      </c>
      <c r="S687" s="24">
        <f t="shared" si="54"/>
        <v>0.02</v>
      </c>
    </row>
    <row r="688" spans="1:19" x14ac:dyDescent="0.25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>VLOOKUP(F688,'Customer Info'!$A:$B,2,0)</f>
        <v>Lindsay</v>
      </c>
      <c r="H688" s="6" t="str">
        <f>VLOOKUP(F688,'Customer Info'!$A$1:$C$501,3,0)</f>
        <v>Shagiari</v>
      </c>
      <c r="I688" s="6" t="str">
        <f>VLOOKUP(F688,Customer,5,0)</f>
        <v>Canberra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5163</v>
      </c>
      <c r="O688" s="2">
        <v>89</v>
      </c>
      <c r="P688" s="8">
        <f t="shared" si="52"/>
        <v>5252</v>
      </c>
      <c r="Q688" s="8">
        <f t="shared" si="53"/>
        <v>243</v>
      </c>
      <c r="R688" s="2" t="s">
        <v>28</v>
      </c>
      <c r="S688" s="24">
        <f t="shared" si="54"/>
        <v>0.05</v>
      </c>
    </row>
    <row r="689" spans="1:19" x14ac:dyDescent="0.25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>VLOOKUP(F689,'Customer Info'!$A:$B,2,0)</f>
        <v>Helen</v>
      </c>
      <c r="H689" s="6" t="str">
        <f>VLOOKUP(F689,'Customer Info'!$A$1:$C$501,3,0)</f>
        <v>Abelman</v>
      </c>
      <c r="I689" s="6" t="str">
        <f>VLOOKUP(F689,Customer,5,0)</f>
        <v>Berlin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6936</v>
      </c>
      <c r="O689" s="2">
        <v>89</v>
      </c>
      <c r="P689" s="8">
        <f t="shared" si="52"/>
        <v>7025</v>
      </c>
      <c r="Q689" s="8">
        <f t="shared" si="53"/>
        <v>128</v>
      </c>
      <c r="R689" s="2" t="s">
        <v>50</v>
      </c>
      <c r="S689" s="24">
        <f t="shared" si="54"/>
        <v>0.05</v>
      </c>
    </row>
    <row r="690" spans="1:19" x14ac:dyDescent="0.25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>VLOOKUP(F690,'Customer Info'!$A:$B,2,0)</f>
        <v>Lisa</v>
      </c>
      <c r="H690" s="6" t="str">
        <f>VLOOKUP(F690,'Customer Info'!$A$1:$C$501,3,0)</f>
        <v>Ryan</v>
      </c>
      <c r="I690" s="6" t="str">
        <f>VLOOKUP(F690,Customer,5,0)</f>
        <v>Townsville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30436</v>
      </c>
      <c r="O690" s="2">
        <v>27</v>
      </c>
      <c r="P690" s="8">
        <f t="shared" si="52"/>
        <v>30463</v>
      </c>
      <c r="Q690" s="8">
        <f t="shared" si="53"/>
        <v>1444</v>
      </c>
      <c r="R690" s="2" t="s">
        <v>26</v>
      </c>
      <c r="S690" s="24">
        <f t="shared" si="54"/>
        <v>7.0000000000000007E-2</v>
      </c>
    </row>
    <row r="691" spans="1:19" x14ac:dyDescent="0.25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>VLOOKUP(F691,'Customer Info'!$A:$B,2,0)</f>
        <v>Eileen</v>
      </c>
      <c r="H691" s="6" t="str">
        <f>VLOOKUP(F691,'Customer Info'!$A$1:$C$501,3,0)</f>
        <v>Kiefer</v>
      </c>
      <c r="I691" s="6" t="str">
        <f>VLOOKUP(F691,Customer,5,0)</f>
        <v>Hamm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2362</v>
      </c>
      <c r="O691" s="2">
        <v>70</v>
      </c>
      <c r="P691" s="8">
        <f t="shared" si="52"/>
        <v>2432</v>
      </c>
      <c r="Q691" s="8">
        <f t="shared" si="53"/>
        <v>90</v>
      </c>
      <c r="R691" s="2" t="s">
        <v>28</v>
      </c>
      <c r="S691" s="24">
        <f t="shared" si="54"/>
        <v>0.02</v>
      </c>
    </row>
    <row r="692" spans="1:19" x14ac:dyDescent="0.25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>VLOOKUP(F692,'Customer Info'!$A:$B,2,0)</f>
        <v>Liz</v>
      </c>
      <c r="H692" s="6" t="str">
        <f>VLOOKUP(F692,'Customer Info'!$A$1:$C$501,3,0)</f>
        <v>Pelletier</v>
      </c>
      <c r="I692" s="6" t="str">
        <f>VLOOKUP(F692,Customer,5,0)</f>
        <v>Zigong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9510</v>
      </c>
      <c r="O692" s="2">
        <v>47</v>
      </c>
      <c r="P692" s="8">
        <f t="shared" si="52"/>
        <v>9557</v>
      </c>
      <c r="Q692" s="8">
        <f t="shared" si="53"/>
        <v>540</v>
      </c>
      <c r="R692" s="2" t="s">
        <v>28</v>
      </c>
      <c r="S692" s="24">
        <f t="shared" si="54"/>
        <v>0.05</v>
      </c>
    </row>
    <row r="693" spans="1:19" x14ac:dyDescent="0.25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>VLOOKUP(F693,'Customer Info'!$A:$B,2,0)</f>
        <v>Neil</v>
      </c>
      <c r="H693" s="6" t="str">
        <f>VLOOKUP(F693,'Customer Info'!$A$1:$C$501,3,0)</f>
        <v>Franzšsisch</v>
      </c>
      <c r="I693" s="6" t="str">
        <f>VLOOKUP(F693,Customer,5,0)</f>
        <v>Mount Isa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2644</v>
      </c>
      <c r="O693" s="2">
        <v>24</v>
      </c>
      <c r="P693" s="8">
        <f t="shared" si="52"/>
        <v>2668</v>
      </c>
      <c r="Q693" s="8">
        <f t="shared" si="53"/>
        <v>219</v>
      </c>
      <c r="R693" s="2" t="s">
        <v>28</v>
      </c>
      <c r="S693" s="24">
        <f t="shared" si="54"/>
        <v>0.02</v>
      </c>
    </row>
    <row r="694" spans="1:19" x14ac:dyDescent="0.25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>VLOOKUP(F694,'Customer Info'!$A:$B,2,0)</f>
        <v>Michelle</v>
      </c>
      <c r="H694" s="6" t="str">
        <f>VLOOKUP(F694,'Customer Info'!$A$1:$C$501,3,0)</f>
        <v>Tran</v>
      </c>
      <c r="I694" s="6" t="str">
        <f>VLOOKUP(F694,Customer,5,0)</f>
        <v>Mount Gambier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1332</v>
      </c>
      <c r="O694" s="2">
        <v>63</v>
      </c>
      <c r="P694" s="8">
        <f t="shared" si="52"/>
        <v>1395</v>
      </c>
      <c r="Q694" s="8">
        <f t="shared" si="53"/>
        <v>123</v>
      </c>
      <c r="R694" s="2" t="s">
        <v>50</v>
      </c>
      <c r="S694" s="24">
        <f t="shared" si="54"/>
        <v>0.02</v>
      </c>
    </row>
    <row r="695" spans="1:19" x14ac:dyDescent="0.25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>VLOOKUP(F695,'Customer Info'!$A:$B,2,0)</f>
        <v>Craig</v>
      </c>
      <c r="H695" s="6" t="str">
        <f>VLOOKUP(F695,'Customer Info'!$A$1:$C$501,3,0)</f>
        <v>Carroll</v>
      </c>
      <c r="I695" s="6" t="str">
        <f>VLOOKUP(F695,Customer,5,0)</f>
        <v>Augsburg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384</v>
      </c>
      <c r="O695" s="2">
        <v>30</v>
      </c>
      <c r="P695" s="8">
        <f t="shared" si="52"/>
        <v>414</v>
      </c>
      <c r="Q695" s="8">
        <f t="shared" si="53"/>
        <v>39</v>
      </c>
      <c r="R695" s="2" t="s">
        <v>28</v>
      </c>
      <c r="S695" s="24">
        <f t="shared" si="54"/>
        <v>0.02</v>
      </c>
    </row>
    <row r="696" spans="1:19" x14ac:dyDescent="0.25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>VLOOKUP(F696,'Customer Info'!$A:$B,2,0)</f>
        <v>Tom</v>
      </c>
      <c r="H696" s="6" t="str">
        <f>VLOOKUP(F696,'Customer Info'!$A$1:$C$501,3,0)</f>
        <v>Stivers</v>
      </c>
      <c r="I696" s="6" t="str">
        <f>VLOOKUP(F696,Customer,5,0)</f>
        <v>Guangzhou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1441</v>
      </c>
      <c r="O696" s="2">
        <v>22</v>
      </c>
      <c r="P696" s="8">
        <f t="shared" si="52"/>
        <v>1463</v>
      </c>
      <c r="Q696" s="8">
        <f t="shared" si="53"/>
        <v>81</v>
      </c>
      <c r="R696" s="2" t="s">
        <v>26</v>
      </c>
      <c r="S696" s="24">
        <f t="shared" si="54"/>
        <v>0.02</v>
      </c>
    </row>
    <row r="697" spans="1:19" x14ac:dyDescent="0.25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>VLOOKUP(F697,'Customer Info'!$A:$B,2,0)</f>
        <v>Heather</v>
      </c>
      <c r="H697" s="6" t="str">
        <f>VLOOKUP(F697,'Customer Info'!$A$1:$C$501,3,0)</f>
        <v>Kirkland</v>
      </c>
      <c r="I697" s="6" t="str">
        <f>VLOOKUP(F697,Customer,5,0)</f>
        <v>Luoyang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5002</v>
      </c>
      <c r="O697" s="2">
        <v>42</v>
      </c>
      <c r="P697" s="8">
        <f t="shared" si="52"/>
        <v>5044</v>
      </c>
      <c r="Q697" s="8">
        <f t="shared" si="53"/>
        <v>280</v>
      </c>
      <c r="R697" s="2" t="s">
        <v>28</v>
      </c>
      <c r="S697" s="24">
        <f t="shared" si="54"/>
        <v>0.05</v>
      </c>
    </row>
    <row r="698" spans="1:19" x14ac:dyDescent="0.25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>VLOOKUP(F698,'Customer Info'!$A:$B,2,0)</f>
        <v>Robert</v>
      </c>
      <c r="H698" s="6" t="str">
        <f>VLOOKUP(F698,'Customer Info'!$A$1:$C$501,3,0)</f>
        <v>Waldorf</v>
      </c>
      <c r="I698" s="6" t="str">
        <f>VLOOKUP(F698,Customer,5,0)</f>
        <v>Emden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45738</v>
      </c>
      <c r="O698" s="2">
        <v>91</v>
      </c>
      <c r="P698" s="8">
        <f t="shared" si="52"/>
        <v>45829</v>
      </c>
      <c r="Q698" s="8">
        <f t="shared" si="53"/>
        <v>3354</v>
      </c>
      <c r="R698" s="2" t="s">
        <v>28</v>
      </c>
      <c r="S698" s="24">
        <f t="shared" si="54"/>
        <v>7.0000000000000007E-2</v>
      </c>
    </row>
    <row r="699" spans="1:19" x14ac:dyDescent="0.25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>VLOOKUP(F699,'Customer Info'!$A:$B,2,0)</f>
        <v>Fred</v>
      </c>
      <c r="H699" s="6" t="str">
        <f>VLOOKUP(F699,'Customer Info'!$A$1:$C$501,3,0)</f>
        <v>Hopkins</v>
      </c>
      <c r="I699" s="6" t="str">
        <f>VLOOKUP(F699,Customer,5,0)</f>
        <v>Sydney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2503</v>
      </c>
      <c r="O699" s="2">
        <v>81</v>
      </c>
      <c r="P699" s="8">
        <f t="shared" si="52"/>
        <v>2584</v>
      </c>
      <c r="Q699" s="8">
        <f t="shared" si="53"/>
        <v>49</v>
      </c>
      <c r="R699" s="2" t="s">
        <v>28</v>
      </c>
      <c r="S699" s="24">
        <f t="shared" si="54"/>
        <v>0.02</v>
      </c>
    </row>
    <row r="700" spans="1:19" x14ac:dyDescent="0.25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>VLOOKUP(F700,'Customer Info'!$A:$B,2,0)</f>
        <v>Jim</v>
      </c>
      <c r="H700" s="6" t="str">
        <f>VLOOKUP(F700,'Customer Info'!$A$1:$C$501,3,0)</f>
        <v>Epp</v>
      </c>
      <c r="I700" s="6" t="str">
        <f>VLOOKUP(F700,Customer,5,0)</f>
        <v>Jingmen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15174</v>
      </c>
      <c r="O700" s="2">
        <v>29</v>
      </c>
      <c r="P700" s="8">
        <f t="shared" si="52"/>
        <v>15203</v>
      </c>
      <c r="Q700" s="8">
        <f t="shared" si="53"/>
        <v>855</v>
      </c>
      <c r="R700" s="2" t="s">
        <v>28</v>
      </c>
      <c r="S700" s="24">
        <f t="shared" si="54"/>
        <v>0.05</v>
      </c>
    </row>
    <row r="701" spans="1:19" x14ac:dyDescent="0.25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>VLOOKUP(F701,'Customer Info'!$A:$B,2,0)</f>
        <v>Thais</v>
      </c>
      <c r="H701" s="6" t="str">
        <f>VLOOKUP(F701,'Customer Info'!$A$1:$C$501,3,0)</f>
        <v>Sissman</v>
      </c>
      <c r="I701" s="6" t="str">
        <f>VLOOKUP(F701,Customer,5,0)</f>
        <v>Essen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15288</v>
      </c>
      <c r="O701" s="2">
        <v>48</v>
      </c>
      <c r="P701" s="8">
        <f t="shared" si="52"/>
        <v>15336</v>
      </c>
      <c r="Q701" s="8">
        <f t="shared" si="53"/>
        <v>1008</v>
      </c>
      <c r="R701" s="2" t="s">
        <v>50</v>
      </c>
      <c r="S701" s="24">
        <f t="shared" si="54"/>
        <v>0.05</v>
      </c>
    </row>
    <row r="702" spans="1:19" x14ac:dyDescent="0.25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>VLOOKUP(F702,'Customer Info'!$A:$B,2,0)</f>
        <v>Harry</v>
      </c>
      <c r="H702" s="6" t="str">
        <f>VLOOKUP(F702,'Customer Info'!$A$1:$C$501,3,0)</f>
        <v>Marie</v>
      </c>
      <c r="I702" s="6" t="str">
        <f>VLOOKUP(F702,Customer,5,0)</f>
        <v>Mataram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716</v>
      </c>
      <c r="O702" s="2">
        <v>30</v>
      </c>
      <c r="P702" s="8">
        <f t="shared" si="52"/>
        <v>746</v>
      </c>
      <c r="Q702" s="8">
        <f t="shared" si="53"/>
        <v>52</v>
      </c>
      <c r="R702" s="2" t="s">
        <v>28</v>
      </c>
      <c r="S702" s="24">
        <f t="shared" si="54"/>
        <v>0.02</v>
      </c>
    </row>
    <row r="703" spans="1:19" x14ac:dyDescent="0.25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>VLOOKUP(F703,'Customer Info'!$A:$B,2,0)</f>
        <v>Thomas</v>
      </c>
      <c r="H703" s="6" t="str">
        <f>VLOOKUP(F703,'Customer Info'!$A$1:$C$501,3,0)</f>
        <v>Boland</v>
      </c>
      <c r="I703" s="6" t="str">
        <f>VLOOKUP(F703,Customer,5,0)</f>
        <v>Surabaya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11528</v>
      </c>
      <c r="O703" s="2">
        <v>61</v>
      </c>
      <c r="P703" s="8">
        <f t="shared" si="52"/>
        <v>11589</v>
      </c>
      <c r="Q703" s="8">
        <f t="shared" si="53"/>
        <v>759</v>
      </c>
      <c r="R703" s="2" t="s">
        <v>28</v>
      </c>
      <c r="S703" s="24">
        <f t="shared" si="54"/>
        <v>0.05</v>
      </c>
    </row>
    <row r="704" spans="1:19" x14ac:dyDescent="0.25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>VLOOKUP(F704,'Customer Info'!$A:$B,2,0)</f>
        <v>Sarah</v>
      </c>
      <c r="H704" s="6" t="str">
        <f>VLOOKUP(F704,'Customer Info'!$A$1:$C$501,3,0)</f>
        <v>Bern</v>
      </c>
      <c r="I704" s="6" t="str">
        <f>VLOOKUP(F704,Customer,5,0)</f>
        <v>Wollongong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167</v>
      </c>
      <c r="O704" s="2">
        <v>30</v>
      </c>
      <c r="P704" s="8">
        <f t="shared" si="52"/>
        <v>197</v>
      </c>
      <c r="Q704" s="8">
        <f t="shared" si="53"/>
        <v>15</v>
      </c>
      <c r="R704" s="2" t="s">
        <v>26</v>
      </c>
      <c r="S704" s="24">
        <f t="shared" si="54"/>
        <v>0.02</v>
      </c>
    </row>
    <row r="705" spans="1:19" x14ac:dyDescent="0.25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>VLOOKUP(F705,'Customer Info'!$A:$B,2,0)</f>
        <v>Joel</v>
      </c>
      <c r="H705" s="6" t="str">
        <f>VLOOKUP(F705,'Customer Info'!$A$1:$C$501,3,0)</f>
        <v>Eaton</v>
      </c>
      <c r="I705" s="6" t="str">
        <f>VLOOKUP(F705,Customer,5,0)</f>
        <v>Nuremberg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35867</v>
      </c>
      <c r="O705" s="2">
        <v>33</v>
      </c>
      <c r="P705" s="8">
        <f t="shared" si="52"/>
        <v>35900</v>
      </c>
      <c r="Q705" s="8">
        <f t="shared" si="53"/>
        <v>1703</v>
      </c>
      <c r="R705" s="2" t="s">
        <v>28</v>
      </c>
      <c r="S705" s="24">
        <f t="shared" si="54"/>
        <v>7.0000000000000007E-2</v>
      </c>
    </row>
    <row r="706" spans="1:19" x14ac:dyDescent="0.25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>VLOOKUP(F706,'Customer Info'!$A:$B,2,0)</f>
        <v>Alan</v>
      </c>
      <c r="H706" s="6" t="str">
        <f>VLOOKUP(F706,'Customer Info'!$A$1:$C$501,3,0)</f>
        <v>Schoenberger</v>
      </c>
      <c r="I706" s="6" t="str">
        <f>VLOOKUP(F706,Customer,5,0)</f>
        <v>Anshan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16320</v>
      </c>
      <c r="O706" s="2">
        <v>71</v>
      </c>
      <c r="P706" s="8">
        <f t="shared" si="52"/>
        <v>16391</v>
      </c>
      <c r="Q706" s="8">
        <f t="shared" si="53"/>
        <v>1370</v>
      </c>
      <c r="R706" s="2" t="s">
        <v>26</v>
      </c>
      <c r="S706" s="24">
        <f t="shared" si="54"/>
        <v>0.05</v>
      </c>
    </row>
    <row r="707" spans="1:19" x14ac:dyDescent="0.25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>VLOOKUP(F707,'Customer Info'!$A:$B,2,0)</f>
        <v>Duane</v>
      </c>
      <c r="H707" s="6" t="str">
        <f>VLOOKUP(F707,'Customer Info'!$A$1:$C$501,3,0)</f>
        <v>Huffman</v>
      </c>
      <c r="I707" s="6" t="str">
        <f>VLOOKUP(F707,Customer,5,0)</f>
        <v>Jakarta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164</v>
      </c>
      <c r="O707" s="2">
        <v>10</v>
      </c>
      <c r="P707" s="8">
        <f t="shared" si="52"/>
        <v>174</v>
      </c>
      <c r="Q707" s="8">
        <f t="shared" si="53"/>
        <v>6</v>
      </c>
      <c r="R707" s="2" t="s">
        <v>28</v>
      </c>
      <c r="S707" s="24">
        <f t="shared" si="54"/>
        <v>0.02</v>
      </c>
    </row>
    <row r="708" spans="1:19" x14ac:dyDescent="0.25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>VLOOKUP(F708,'Customer Info'!$A:$B,2,0)</f>
        <v>Tracy</v>
      </c>
      <c r="H708" s="6" t="str">
        <f>VLOOKUP(F708,'Customer Info'!$A$1:$C$501,3,0)</f>
        <v>Blumstein</v>
      </c>
      <c r="I708" s="6" t="str">
        <f>VLOOKUP(F708,Customer,5,0)</f>
        <v>Guangzhou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4803</v>
      </c>
      <c r="O708" s="2">
        <v>96</v>
      </c>
      <c r="P708" s="8">
        <f t="shared" si="52"/>
        <v>4899</v>
      </c>
      <c r="Q708" s="8">
        <f t="shared" si="53"/>
        <v>273</v>
      </c>
      <c r="R708" s="2" t="s">
        <v>28</v>
      </c>
      <c r="S708" s="24">
        <f t="shared" si="54"/>
        <v>0.02</v>
      </c>
    </row>
    <row r="709" spans="1:19" x14ac:dyDescent="0.25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>VLOOKUP(F709,'Customer Info'!$A:$B,2,0)</f>
        <v>Thea</v>
      </c>
      <c r="H709" s="6" t="str">
        <f>VLOOKUP(F709,'Customer Info'!$A$1:$C$501,3,0)</f>
        <v>Hudgings</v>
      </c>
      <c r="I709" s="6" t="str">
        <f>VLOOKUP(F709,Customer,5,0)</f>
        <v>Anshan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81</v>
      </c>
      <c r="O709" s="2">
        <v>10</v>
      </c>
      <c r="P709" s="8">
        <f t="shared" si="52"/>
        <v>91</v>
      </c>
      <c r="Q709" s="8">
        <f t="shared" si="53"/>
        <v>4</v>
      </c>
      <c r="R709" s="2" t="s">
        <v>28</v>
      </c>
      <c r="S709" s="24">
        <f t="shared" si="54"/>
        <v>0.02</v>
      </c>
    </row>
    <row r="710" spans="1:19" x14ac:dyDescent="0.25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>VLOOKUP(F710,'Customer Info'!$A:$B,2,0)</f>
        <v>Bruce</v>
      </c>
      <c r="H710" s="6" t="str">
        <f>VLOOKUP(F710,'Customer Info'!$A$1:$C$501,3,0)</f>
        <v>Geld</v>
      </c>
      <c r="I710" s="6" t="str">
        <f>VLOOKUP(F710,Customer,5,0)</f>
        <v>Wollongong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2250</v>
      </c>
      <c r="O710" s="2">
        <v>76</v>
      </c>
      <c r="P710" s="8">
        <f t="shared" si="52"/>
        <v>2326</v>
      </c>
      <c r="Q710" s="8">
        <f t="shared" si="53"/>
        <v>170</v>
      </c>
      <c r="R710" s="2" t="s">
        <v>50</v>
      </c>
      <c r="S710" s="24">
        <f t="shared" si="54"/>
        <v>0.02</v>
      </c>
    </row>
    <row r="711" spans="1:19" x14ac:dyDescent="0.25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>VLOOKUP(F711,'Customer Info'!$A:$B,2,0)</f>
        <v>Art</v>
      </c>
      <c r="H711" s="6" t="str">
        <f>VLOOKUP(F711,'Customer Info'!$A$1:$C$501,3,0)</f>
        <v>Foster</v>
      </c>
      <c r="I711" s="6" t="str">
        <f>VLOOKUP(F711,Customer,5,0)</f>
        <v>Devonport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19062</v>
      </c>
      <c r="O711" s="2">
        <v>58</v>
      </c>
      <c r="P711" s="8">
        <f t="shared" si="52"/>
        <v>19120</v>
      </c>
      <c r="Q711" s="8">
        <f t="shared" si="53"/>
        <v>1755</v>
      </c>
      <c r="R711" s="2" t="s">
        <v>28</v>
      </c>
      <c r="S711" s="24">
        <f t="shared" si="54"/>
        <v>0.05</v>
      </c>
    </row>
    <row r="712" spans="1:19" x14ac:dyDescent="0.25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>VLOOKUP(F712,'Customer Info'!$A:$B,2,0)</f>
        <v>Mike</v>
      </c>
      <c r="H712" s="6" t="str">
        <f>VLOOKUP(F712,'Customer Info'!$A$1:$C$501,3,0)</f>
        <v>Vittorini</v>
      </c>
      <c r="I712" s="6" t="str">
        <f>VLOOKUP(F712,Customer,5,0)</f>
        <v>Naihati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3580</v>
      </c>
      <c r="O712" s="2">
        <v>86</v>
      </c>
      <c r="P712" s="8">
        <f t="shared" si="52"/>
        <v>3666</v>
      </c>
      <c r="Q712" s="8">
        <f t="shared" si="53"/>
        <v>168</v>
      </c>
      <c r="R712" s="2" t="s">
        <v>26</v>
      </c>
      <c r="S712" s="24">
        <f t="shared" si="54"/>
        <v>0.02</v>
      </c>
    </row>
    <row r="713" spans="1:19" x14ac:dyDescent="0.25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>VLOOKUP(F713,'Customer Info'!$A:$B,2,0)</f>
        <v>Dean</v>
      </c>
      <c r="H713" s="6" t="str">
        <f>VLOOKUP(F713,'Customer Info'!$A$1:$C$501,3,0)</f>
        <v>Katz</v>
      </c>
      <c r="I713" s="6" t="str">
        <f>VLOOKUP(F713,Customer,5,0)</f>
        <v>Changzhou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1610</v>
      </c>
      <c r="O713" s="2">
        <v>28</v>
      </c>
      <c r="P713" s="8">
        <f t="shared" si="52"/>
        <v>1638</v>
      </c>
      <c r="Q713" s="8">
        <f t="shared" si="53"/>
        <v>118</v>
      </c>
      <c r="R713" s="2" t="s">
        <v>28</v>
      </c>
      <c r="S713" s="24">
        <f t="shared" si="54"/>
        <v>0.02</v>
      </c>
    </row>
    <row r="714" spans="1:19" x14ac:dyDescent="0.25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>VLOOKUP(F714,'Customer Info'!$A:$B,2,0)</f>
        <v>Jeremy</v>
      </c>
      <c r="H714" s="6" t="str">
        <f>VLOOKUP(F714,'Customer Info'!$A$1:$C$501,3,0)</f>
        <v>Ellison</v>
      </c>
      <c r="I714" s="6" t="str">
        <f>VLOOKUP(F714,Customer,5,0)</f>
        <v>Faridabad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92</v>
      </c>
      <c r="O714" s="2">
        <v>10</v>
      </c>
      <c r="P714" s="8">
        <f t="shared" si="52"/>
        <v>102</v>
      </c>
      <c r="Q714" s="8">
        <f t="shared" si="53"/>
        <v>7</v>
      </c>
      <c r="R714" s="2" t="s">
        <v>28</v>
      </c>
      <c r="S714" s="24">
        <f t="shared" si="54"/>
        <v>0.02</v>
      </c>
    </row>
    <row r="715" spans="1:19" x14ac:dyDescent="0.25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>VLOOKUP(F715,'Customer Info'!$A:$B,2,0)</f>
        <v>Jessica</v>
      </c>
      <c r="H715" s="6" t="str">
        <f>VLOOKUP(F715,'Customer Info'!$A$1:$C$501,3,0)</f>
        <v>Myrick</v>
      </c>
      <c r="I715" s="6" t="str">
        <f>VLOOKUP(F715,Customer,5,0)</f>
        <v>Jakarta</v>
      </c>
      <c r="J715" s="2">
        <v>1635</v>
      </c>
      <c r="K715" s="2">
        <v>1573</v>
      </c>
      <c r="L715" s="2">
        <v>2</v>
      </c>
      <c r="M715" s="7">
        <f t="shared" ref="M715:M778" si="55">K715*L715</f>
        <v>3146</v>
      </c>
      <c r="N715" s="7">
        <f t="shared" ref="N715:N778" si="56">J715*L715</f>
        <v>3270</v>
      </c>
      <c r="O715" s="2">
        <v>39</v>
      </c>
      <c r="P715" s="8">
        <f t="shared" ref="P715:P778" si="57">N715+O715</f>
        <v>3309</v>
      </c>
      <c r="Q715" s="8">
        <f t="shared" ref="Q715:Q778" si="58">N715-M715</f>
        <v>124</v>
      </c>
      <c r="R715" s="2" t="s">
        <v>50</v>
      </c>
      <c r="S715" s="24">
        <f t="shared" ref="S715:S778" si="59">VLOOKUP(N715,$T$1:$U$7,2,TRUE)</f>
        <v>0.02</v>
      </c>
    </row>
    <row r="716" spans="1:19" x14ac:dyDescent="0.25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>VLOOKUP(F716,'Customer Info'!$A:$B,2,0)</f>
        <v>Maureen</v>
      </c>
      <c r="H716" s="6" t="str">
        <f>VLOOKUP(F716,'Customer Info'!$A$1:$C$501,3,0)</f>
        <v>Gastineau</v>
      </c>
      <c r="I716" s="6" t="str">
        <f>VLOOKUP(F716,Customer,5,0)</f>
        <v>Melton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8">
        <f t="shared" si="57"/>
        <v>6779</v>
      </c>
      <c r="Q716" s="8">
        <f t="shared" si="58"/>
        <v>380</v>
      </c>
      <c r="R716" s="2" t="s">
        <v>28</v>
      </c>
      <c r="S716" s="24">
        <f t="shared" si="59"/>
        <v>0.05</v>
      </c>
    </row>
    <row r="717" spans="1:19" x14ac:dyDescent="0.25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>VLOOKUP(F717,'Customer Info'!$A:$B,2,0)</f>
        <v>Anthony</v>
      </c>
      <c r="H717" s="6" t="str">
        <f>VLOOKUP(F717,'Customer Info'!$A$1:$C$501,3,0)</f>
        <v>Garverick</v>
      </c>
      <c r="I717" s="6" t="str">
        <f>VLOOKUP(F717,Customer,5,0)</f>
        <v>Delhi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8">
        <f t="shared" si="57"/>
        <v>8214</v>
      </c>
      <c r="Q717" s="8">
        <f t="shared" si="58"/>
        <v>385</v>
      </c>
      <c r="R717" s="2" t="s">
        <v>28</v>
      </c>
      <c r="S717" s="24">
        <f t="shared" si="59"/>
        <v>0.05</v>
      </c>
    </row>
    <row r="718" spans="1:19" x14ac:dyDescent="0.25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>VLOOKUP(F718,'Customer Info'!$A:$B,2,0)</f>
        <v>Debra</v>
      </c>
      <c r="H718" s="6" t="str">
        <f>VLOOKUP(F718,'Customer Info'!$A$1:$C$501,3,0)</f>
        <v>Catini</v>
      </c>
      <c r="I718" s="6" t="str">
        <f>VLOOKUP(F718,Customer,5,0)</f>
        <v>Zhengzhou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8">
        <f t="shared" si="57"/>
        <v>229</v>
      </c>
      <c r="Q718" s="8">
        <f t="shared" si="58"/>
        <v>23</v>
      </c>
      <c r="R718" s="2" t="s">
        <v>28</v>
      </c>
      <c r="S718" s="24">
        <f t="shared" si="59"/>
        <v>0.02</v>
      </c>
    </row>
    <row r="719" spans="1:19" x14ac:dyDescent="0.25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>VLOOKUP(F719,'Customer Info'!$A:$B,2,0)</f>
        <v>Valerie</v>
      </c>
      <c r="H719" s="6" t="str">
        <f>VLOOKUP(F719,'Customer Info'!$A$1:$C$501,3,0)</f>
        <v>Takahito</v>
      </c>
      <c r="I719" s="6" t="str">
        <f>VLOOKUP(F719,Customer,5,0)</f>
        <v>Surat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8">
        <f t="shared" si="57"/>
        <v>1161</v>
      </c>
      <c r="Q719" s="8">
        <f t="shared" si="58"/>
        <v>70</v>
      </c>
      <c r="R719" s="2" t="s">
        <v>28</v>
      </c>
      <c r="S719" s="24">
        <f t="shared" si="59"/>
        <v>0.02</v>
      </c>
    </row>
    <row r="720" spans="1:19" x14ac:dyDescent="0.25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>VLOOKUP(F720,'Customer Info'!$A:$B,2,0)</f>
        <v>Julia</v>
      </c>
      <c r="H720" s="6" t="str">
        <f>VLOOKUP(F720,'Customer Info'!$A$1:$C$501,3,0)</f>
        <v>Dunbar</v>
      </c>
      <c r="I720" s="6" t="str">
        <f>VLOOKUP(F720,Customer,5,0)</f>
        <v>Melbourne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33922</v>
      </c>
      <c r="O720" s="2">
        <v>86</v>
      </c>
      <c r="P720" s="8">
        <f t="shared" si="57"/>
        <v>34008</v>
      </c>
      <c r="Q720" s="8">
        <f t="shared" si="58"/>
        <v>2478</v>
      </c>
      <c r="R720" s="2" t="s">
        <v>28</v>
      </c>
      <c r="S720" s="24">
        <f t="shared" si="59"/>
        <v>7.0000000000000007E-2</v>
      </c>
    </row>
    <row r="721" spans="1:19" x14ac:dyDescent="0.25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>VLOOKUP(F721,'Customer Info'!$A:$B,2,0)</f>
        <v>Ralph</v>
      </c>
      <c r="H721" s="6" t="str">
        <f>VLOOKUP(F721,'Customer Info'!$A$1:$C$501,3,0)</f>
        <v>Kennedy</v>
      </c>
      <c r="I721" s="6" t="str">
        <f>VLOOKUP(F721,Customer,5,0)</f>
        <v>Bundaberg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3690</v>
      </c>
      <c r="O721" s="2">
        <v>92</v>
      </c>
      <c r="P721" s="8">
        <f t="shared" si="57"/>
        <v>3782</v>
      </c>
      <c r="Q721" s="8">
        <f t="shared" si="58"/>
        <v>206</v>
      </c>
      <c r="R721" s="2" t="s">
        <v>26</v>
      </c>
      <c r="S721" s="24">
        <f t="shared" si="59"/>
        <v>0.02</v>
      </c>
    </row>
    <row r="722" spans="1:19" x14ac:dyDescent="0.25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>VLOOKUP(F722,'Customer Info'!$A:$B,2,0)</f>
        <v>Patricia</v>
      </c>
      <c r="H722" s="6" t="str">
        <f>VLOOKUP(F722,'Customer Info'!$A$1:$C$501,3,0)</f>
        <v>Hirasaki</v>
      </c>
      <c r="I722" s="6" t="str">
        <f>VLOOKUP(F722,Customer,5,0)</f>
        <v>Pimpri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6925</v>
      </c>
      <c r="O722" s="2">
        <v>25</v>
      </c>
      <c r="P722" s="8">
        <f t="shared" si="57"/>
        <v>6950</v>
      </c>
      <c r="Q722" s="8">
        <f t="shared" si="58"/>
        <v>450</v>
      </c>
      <c r="R722" s="2" t="s">
        <v>50</v>
      </c>
      <c r="S722" s="24">
        <f t="shared" si="59"/>
        <v>0.05</v>
      </c>
    </row>
    <row r="723" spans="1:19" x14ac:dyDescent="0.25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>VLOOKUP(F723,'Customer Info'!$A:$B,2,0)</f>
        <v>Steve</v>
      </c>
      <c r="H723" s="6" t="str">
        <f>VLOOKUP(F723,'Customer Info'!$A$1:$C$501,3,0)</f>
        <v>Carroll</v>
      </c>
      <c r="I723" s="6" t="str">
        <f>VLOOKUP(F723,Customer,5,0)</f>
        <v>Qingdao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2338</v>
      </c>
      <c r="O723" s="2">
        <v>41</v>
      </c>
      <c r="P723" s="8">
        <f t="shared" si="57"/>
        <v>2379</v>
      </c>
      <c r="Q723" s="8">
        <f t="shared" si="58"/>
        <v>194</v>
      </c>
      <c r="R723" s="2" t="s">
        <v>50</v>
      </c>
      <c r="S723" s="24">
        <f t="shared" si="59"/>
        <v>0.02</v>
      </c>
    </row>
    <row r="724" spans="1:19" x14ac:dyDescent="0.25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>VLOOKUP(F724,'Customer Info'!$A:$B,2,0)</f>
        <v>Paul</v>
      </c>
      <c r="H724" s="6" t="str">
        <f>VLOOKUP(F724,'Customer Info'!$A$1:$C$501,3,0)</f>
        <v>Gonzalez</v>
      </c>
      <c r="I724" s="6" t="str">
        <f>VLOOKUP(F724,Customer,5,0)</f>
        <v>Durgapur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497</v>
      </c>
      <c r="O724" s="2">
        <v>10</v>
      </c>
      <c r="P724" s="8">
        <f t="shared" si="57"/>
        <v>507</v>
      </c>
      <c r="Q724" s="8">
        <f t="shared" si="58"/>
        <v>49</v>
      </c>
      <c r="R724" s="2" t="s">
        <v>50</v>
      </c>
      <c r="S724" s="24">
        <f t="shared" si="59"/>
        <v>0.02</v>
      </c>
    </row>
    <row r="725" spans="1:19" x14ac:dyDescent="0.25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>VLOOKUP(F725,'Customer Info'!$A:$B,2,0)</f>
        <v>Mick</v>
      </c>
      <c r="H725" s="6" t="str">
        <f>VLOOKUP(F725,'Customer Info'!$A$1:$C$501,3,0)</f>
        <v>Brown</v>
      </c>
      <c r="I725" s="6" t="str">
        <f>VLOOKUP(F725,Customer,5,0)</f>
        <v>Frankfurt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417</v>
      </c>
      <c r="O725" s="2">
        <v>30</v>
      </c>
      <c r="P725" s="8">
        <f t="shared" si="57"/>
        <v>447</v>
      </c>
      <c r="Q725" s="8">
        <f t="shared" si="58"/>
        <v>18</v>
      </c>
      <c r="R725" s="2" t="s">
        <v>50</v>
      </c>
      <c r="S725" s="24">
        <f t="shared" si="59"/>
        <v>0.02</v>
      </c>
    </row>
    <row r="726" spans="1:19" x14ac:dyDescent="0.25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>VLOOKUP(F726,'Customer Info'!$A:$B,2,0)</f>
        <v>Hunter</v>
      </c>
      <c r="H726" s="6" t="str">
        <f>VLOOKUP(F726,'Customer Info'!$A$1:$C$501,3,0)</f>
        <v>Glantz</v>
      </c>
      <c r="I726" s="6" t="str">
        <f>VLOOKUP(F726,Customer,5,0)</f>
        <v>Panihati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224</v>
      </c>
      <c r="O726" s="2">
        <v>97</v>
      </c>
      <c r="P726" s="8">
        <f t="shared" si="57"/>
        <v>321</v>
      </c>
      <c r="Q726" s="8">
        <f t="shared" si="58"/>
        <v>14</v>
      </c>
      <c r="R726" s="2" t="s">
        <v>50</v>
      </c>
      <c r="S726" s="24">
        <f t="shared" si="59"/>
        <v>0.02</v>
      </c>
    </row>
    <row r="727" spans="1:19" x14ac:dyDescent="0.25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>VLOOKUP(F727,'Customer Info'!$A:$B,2,0)</f>
        <v>Logan</v>
      </c>
      <c r="H727" s="6" t="str">
        <f>VLOOKUP(F727,'Customer Info'!$A$1:$C$501,3,0)</f>
        <v>Currie</v>
      </c>
      <c r="I727" s="6" t="str">
        <f>VLOOKUP(F727,Customer,5,0)</f>
        <v>Anshan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1116</v>
      </c>
      <c r="O727" s="2">
        <v>78</v>
      </c>
      <c r="P727" s="8">
        <f t="shared" si="57"/>
        <v>1194</v>
      </c>
      <c r="Q727" s="8">
        <f t="shared" si="58"/>
        <v>100</v>
      </c>
      <c r="R727" s="2" t="s">
        <v>50</v>
      </c>
      <c r="S727" s="24">
        <f t="shared" si="59"/>
        <v>0.02</v>
      </c>
    </row>
    <row r="728" spans="1:19" x14ac:dyDescent="0.25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>VLOOKUP(F728,'Customer Info'!$A:$B,2,0)</f>
        <v>Dianna</v>
      </c>
      <c r="H728" s="6" t="str">
        <f>VLOOKUP(F728,'Customer Info'!$A$1:$C$501,3,0)</f>
        <v>Vittorini</v>
      </c>
      <c r="I728" s="6" t="str">
        <f>VLOOKUP(F728,Customer,5,0)</f>
        <v>Gold Coast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24520</v>
      </c>
      <c r="O728" s="2">
        <v>82</v>
      </c>
      <c r="P728" s="8">
        <f t="shared" si="57"/>
        <v>24602</v>
      </c>
      <c r="Q728" s="8">
        <f t="shared" si="58"/>
        <v>2025</v>
      </c>
      <c r="R728" s="2" t="s">
        <v>28</v>
      </c>
      <c r="S728" s="24">
        <f t="shared" si="59"/>
        <v>0.05</v>
      </c>
    </row>
    <row r="729" spans="1:19" x14ac:dyDescent="0.25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>VLOOKUP(F729,'Customer Info'!$A:$B,2,0)</f>
        <v>Tom</v>
      </c>
      <c r="H729" s="6" t="str">
        <f>VLOOKUP(F729,'Customer Info'!$A$1:$C$501,3,0)</f>
        <v>Boeckenhauer</v>
      </c>
      <c r="I729" s="6" t="str">
        <f>VLOOKUP(F729,Customer,5,0)</f>
        <v>Neunkirchen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270</v>
      </c>
      <c r="O729" s="2">
        <v>30</v>
      </c>
      <c r="P729" s="8">
        <f t="shared" si="57"/>
        <v>300</v>
      </c>
      <c r="Q729" s="8">
        <f t="shared" si="58"/>
        <v>12</v>
      </c>
      <c r="R729" s="2" t="s">
        <v>28</v>
      </c>
      <c r="S729" s="24">
        <f t="shared" si="59"/>
        <v>0.02</v>
      </c>
    </row>
    <row r="730" spans="1:19" x14ac:dyDescent="0.25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>VLOOKUP(F730,'Customer Info'!$A:$B,2,0)</f>
        <v>Dana</v>
      </c>
      <c r="H730" s="6" t="str">
        <f>VLOOKUP(F730,'Customer Info'!$A$1:$C$501,3,0)</f>
        <v>Kaydos</v>
      </c>
      <c r="I730" s="6" t="str">
        <f>VLOOKUP(F730,Customer,5,0)</f>
        <v>Nagercoil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2080</v>
      </c>
      <c r="O730" s="2">
        <v>67</v>
      </c>
      <c r="P730" s="8">
        <f t="shared" si="57"/>
        <v>2147</v>
      </c>
      <c r="Q730" s="8">
        <f t="shared" si="58"/>
        <v>172</v>
      </c>
      <c r="R730" s="2" t="s">
        <v>28</v>
      </c>
      <c r="S730" s="24">
        <f t="shared" si="59"/>
        <v>0.02</v>
      </c>
    </row>
    <row r="731" spans="1:19" x14ac:dyDescent="0.25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>VLOOKUP(F731,'Customer Info'!$A:$B,2,0)</f>
        <v>Alex</v>
      </c>
      <c r="H731" s="6" t="str">
        <f>VLOOKUP(F731,'Customer Info'!$A$1:$C$501,3,0)</f>
        <v>Avila</v>
      </c>
      <c r="I731" s="6" t="str">
        <f>VLOOKUP(F731,Customer,5,0)</f>
        <v>Newcastle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3996</v>
      </c>
      <c r="O731" s="2">
        <v>30</v>
      </c>
      <c r="P731" s="8">
        <f t="shared" si="57"/>
        <v>4026</v>
      </c>
      <c r="Q731" s="8">
        <f t="shared" si="58"/>
        <v>150</v>
      </c>
      <c r="R731" s="2" t="s">
        <v>50</v>
      </c>
      <c r="S731" s="24">
        <f t="shared" si="59"/>
        <v>0.02</v>
      </c>
    </row>
    <row r="732" spans="1:19" x14ac:dyDescent="0.25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>VLOOKUP(F732,'Customer Info'!$A:$B,2,0)</f>
        <v>Nancy</v>
      </c>
      <c r="H732" s="6" t="str">
        <f>VLOOKUP(F732,'Customer Info'!$A$1:$C$501,3,0)</f>
        <v>Lomonaco</v>
      </c>
      <c r="I732" s="6" t="str">
        <f>VLOOKUP(F732,Customer,5,0)</f>
        <v>Tengzhou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9154</v>
      </c>
      <c r="O732" s="2">
        <v>20</v>
      </c>
      <c r="P732" s="8">
        <f t="shared" si="57"/>
        <v>9174</v>
      </c>
      <c r="Q732" s="8">
        <f t="shared" si="58"/>
        <v>584</v>
      </c>
      <c r="R732" s="2" t="s">
        <v>28</v>
      </c>
      <c r="S732" s="24">
        <f t="shared" si="59"/>
        <v>0.05</v>
      </c>
    </row>
    <row r="733" spans="1:19" x14ac:dyDescent="0.25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>VLOOKUP(F733,'Customer Info'!$A:$B,2,0)</f>
        <v>Mick</v>
      </c>
      <c r="H733" s="6" t="str">
        <f>VLOOKUP(F733,'Customer Info'!$A$1:$C$501,3,0)</f>
        <v>Brown</v>
      </c>
      <c r="I733" s="6" t="str">
        <f>VLOOKUP(F733,Customer,5,0)</f>
        <v>Shenzhen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507</v>
      </c>
      <c r="O733" s="2">
        <v>30</v>
      </c>
      <c r="P733" s="8">
        <f t="shared" si="57"/>
        <v>537</v>
      </c>
      <c r="Q733" s="8">
        <f t="shared" si="58"/>
        <v>27</v>
      </c>
      <c r="R733" s="2" t="s">
        <v>50</v>
      </c>
      <c r="S733" s="24">
        <f t="shared" si="59"/>
        <v>0.02</v>
      </c>
    </row>
    <row r="734" spans="1:19" x14ac:dyDescent="0.25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>VLOOKUP(F734,'Customer Info'!$A:$B,2,0)</f>
        <v>Yana</v>
      </c>
      <c r="H734" s="6" t="str">
        <f>VLOOKUP(F734,'Customer Info'!$A$1:$C$501,3,0)</f>
        <v>Sorensen</v>
      </c>
      <c r="I734" s="6" t="str">
        <f>VLOOKUP(F734,Customer,5,0)</f>
        <v>Hangzhou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138455</v>
      </c>
      <c r="O734" s="2">
        <v>57</v>
      </c>
      <c r="P734" s="8">
        <f t="shared" si="57"/>
        <v>138512</v>
      </c>
      <c r="Q734" s="8">
        <f t="shared" si="58"/>
        <v>10375</v>
      </c>
      <c r="R734" s="2" t="s">
        <v>56</v>
      </c>
      <c r="S734" s="24">
        <f t="shared" si="59"/>
        <v>0.12</v>
      </c>
    </row>
    <row r="735" spans="1:19" x14ac:dyDescent="0.25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>VLOOKUP(F735,'Customer Info'!$A:$B,2,0)</f>
        <v>Lindsay</v>
      </c>
      <c r="H735" s="6" t="str">
        <f>VLOOKUP(F735,'Customer Info'!$A$1:$C$501,3,0)</f>
        <v>Castell</v>
      </c>
      <c r="I735" s="6" t="str">
        <f>VLOOKUP(F735,Customer,5,0)</f>
        <v>Depok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83073</v>
      </c>
      <c r="O735" s="2">
        <v>97</v>
      </c>
      <c r="P735" s="8">
        <f t="shared" si="57"/>
        <v>83170</v>
      </c>
      <c r="Q735" s="8">
        <f t="shared" si="58"/>
        <v>6225</v>
      </c>
      <c r="R735" s="2" t="s">
        <v>28</v>
      </c>
      <c r="S735" s="24">
        <f t="shared" si="59"/>
        <v>0.09</v>
      </c>
    </row>
    <row r="736" spans="1:19" x14ac:dyDescent="0.25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>VLOOKUP(F736,'Customer Info'!$A:$B,2,0)</f>
        <v>Philip</v>
      </c>
      <c r="H736" s="6" t="str">
        <f>VLOOKUP(F736,'Customer Info'!$A$1:$C$501,3,0)</f>
        <v>Fox</v>
      </c>
      <c r="I736" s="6" t="str">
        <f>VLOOKUP(F736,Customer,5,0)</f>
        <v>Remscheid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555</v>
      </c>
      <c r="O736" s="2">
        <v>30</v>
      </c>
      <c r="P736" s="8">
        <f t="shared" si="57"/>
        <v>585</v>
      </c>
      <c r="Q736" s="8">
        <f t="shared" si="58"/>
        <v>33</v>
      </c>
      <c r="R736" s="2" t="s">
        <v>28</v>
      </c>
      <c r="S736" s="24">
        <f t="shared" si="59"/>
        <v>0.02</v>
      </c>
    </row>
    <row r="737" spans="1:19" x14ac:dyDescent="0.25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>VLOOKUP(F737,'Customer Info'!$A:$B,2,0)</f>
        <v>Vivek</v>
      </c>
      <c r="H737" s="6" t="str">
        <f>VLOOKUP(F737,'Customer Info'!$A$1:$C$501,3,0)</f>
        <v>Gonzalez</v>
      </c>
      <c r="I737" s="6" t="str">
        <f>VLOOKUP(F737,Customer,5,0)</f>
        <v>Nanyang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1637</v>
      </c>
      <c r="O737" s="2">
        <v>75</v>
      </c>
      <c r="P737" s="8">
        <f t="shared" si="57"/>
        <v>1712</v>
      </c>
      <c r="Q737" s="8">
        <f t="shared" si="58"/>
        <v>105</v>
      </c>
      <c r="R737" s="2" t="s">
        <v>26</v>
      </c>
      <c r="S737" s="24">
        <f t="shared" si="59"/>
        <v>0.02</v>
      </c>
    </row>
    <row r="738" spans="1:19" x14ac:dyDescent="0.25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>VLOOKUP(F738,'Customer Info'!$A:$B,2,0)</f>
        <v>Susan</v>
      </c>
      <c r="H738" s="6" t="str">
        <f>VLOOKUP(F738,'Customer Info'!$A$1:$C$501,3,0)</f>
        <v>Pistek</v>
      </c>
      <c r="I738" s="6" t="str">
        <f>VLOOKUP(F738,Customer,5,0)</f>
        <v>Padang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3138</v>
      </c>
      <c r="O738" s="2">
        <v>95</v>
      </c>
      <c r="P738" s="8">
        <f t="shared" si="57"/>
        <v>3233</v>
      </c>
      <c r="Q738" s="8">
        <f t="shared" si="58"/>
        <v>206</v>
      </c>
      <c r="R738" s="2" t="s">
        <v>28</v>
      </c>
      <c r="S738" s="24">
        <f t="shared" si="59"/>
        <v>0.02</v>
      </c>
    </row>
    <row r="739" spans="1:19" x14ac:dyDescent="0.25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>VLOOKUP(F739,'Customer Info'!$A:$B,2,0)</f>
        <v>Dionis</v>
      </c>
      <c r="H739" s="6" t="str">
        <f>VLOOKUP(F739,'Customer Info'!$A$1:$C$501,3,0)</f>
        <v>Lloyd</v>
      </c>
      <c r="I739" s="6" t="str">
        <f>VLOOKUP(F739,Customer,5,0)</f>
        <v>Kamarhati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416</v>
      </c>
      <c r="O739" s="2">
        <v>85</v>
      </c>
      <c r="P739" s="8">
        <f t="shared" si="57"/>
        <v>501</v>
      </c>
      <c r="Q739" s="8">
        <f t="shared" si="58"/>
        <v>42</v>
      </c>
      <c r="R739" s="2" t="s">
        <v>28</v>
      </c>
      <c r="S739" s="24">
        <f t="shared" si="59"/>
        <v>0.02</v>
      </c>
    </row>
    <row r="740" spans="1:19" x14ac:dyDescent="0.25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>VLOOKUP(F740,'Customer Info'!$A:$B,2,0)</f>
        <v>Debra</v>
      </c>
      <c r="H740" s="6" t="str">
        <f>VLOOKUP(F740,'Customer Info'!$A$1:$C$501,3,0)</f>
        <v>Catini</v>
      </c>
      <c r="I740" s="6" t="str">
        <f>VLOOKUP(F740,Customer,5,0)</f>
        <v>Brisbane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2034</v>
      </c>
      <c r="O740" s="2">
        <v>80</v>
      </c>
      <c r="P740" s="8">
        <f t="shared" si="57"/>
        <v>2114</v>
      </c>
      <c r="Q740" s="8">
        <f t="shared" si="58"/>
        <v>134</v>
      </c>
      <c r="R740" s="2" t="s">
        <v>28</v>
      </c>
      <c r="S740" s="24">
        <f t="shared" si="59"/>
        <v>0.02</v>
      </c>
    </row>
    <row r="741" spans="1:19" x14ac:dyDescent="0.25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>VLOOKUP(F741,'Customer Info'!$A:$B,2,0)</f>
        <v>Tamara</v>
      </c>
      <c r="H741" s="6" t="str">
        <f>VLOOKUP(F741,'Customer Info'!$A$1:$C$501,3,0)</f>
        <v>Willingham</v>
      </c>
      <c r="I741" s="6" t="str">
        <f>VLOOKUP(F741,Customer,5,0)</f>
        <v>Sindelfingen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21981</v>
      </c>
      <c r="O741" s="2">
        <v>91</v>
      </c>
      <c r="P741" s="8">
        <f t="shared" si="57"/>
        <v>22072</v>
      </c>
      <c r="Q741" s="8">
        <f t="shared" si="58"/>
        <v>2007</v>
      </c>
      <c r="R741" s="2" t="s">
        <v>28</v>
      </c>
      <c r="S741" s="24">
        <f t="shared" si="59"/>
        <v>0.05</v>
      </c>
    </row>
    <row r="742" spans="1:19" x14ac:dyDescent="0.25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>VLOOKUP(F742,'Customer Info'!$A:$B,2,0)</f>
        <v>Thomas</v>
      </c>
      <c r="H742" s="6" t="str">
        <f>VLOOKUP(F742,'Customer Info'!$A$1:$C$501,3,0)</f>
        <v>Boland</v>
      </c>
      <c r="I742" s="6" t="str">
        <f>VLOOKUP(F742,Customer,5,0)</f>
        <v>Surabaya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12680</v>
      </c>
      <c r="O742" s="2">
        <v>100</v>
      </c>
      <c r="P742" s="8">
        <f t="shared" si="57"/>
        <v>12780</v>
      </c>
      <c r="Q742" s="8">
        <f t="shared" si="58"/>
        <v>720</v>
      </c>
      <c r="R742" s="2" t="s">
        <v>28</v>
      </c>
      <c r="S742" s="24">
        <f t="shared" si="59"/>
        <v>0.05</v>
      </c>
    </row>
    <row r="743" spans="1:19" x14ac:dyDescent="0.25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>VLOOKUP(F743,'Customer Info'!$A:$B,2,0)</f>
        <v>Robert</v>
      </c>
      <c r="H743" s="6" t="str">
        <f>VLOOKUP(F743,'Customer Info'!$A$1:$C$501,3,0)</f>
        <v>Dilbeck</v>
      </c>
      <c r="I743" s="6" t="str">
        <f>VLOOKUP(F743,Customer,5,0)</f>
        <v>Bihar Sharif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810</v>
      </c>
      <c r="O743" s="2">
        <v>35</v>
      </c>
      <c r="P743" s="8">
        <f t="shared" si="57"/>
        <v>845</v>
      </c>
      <c r="Q743" s="8">
        <f t="shared" si="58"/>
        <v>48</v>
      </c>
      <c r="R743" s="2" t="s">
        <v>26</v>
      </c>
      <c r="S743" s="24">
        <f t="shared" si="59"/>
        <v>0.02</v>
      </c>
    </row>
    <row r="744" spans="1:19" x14ac:dyDescent="0.25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>VLOOKUP(F744,'Customer Info'!$A:$B,2,0)</f>
        <v>Patrick</v>
      </c>
      <c r="H744" s="6" t="str">
        <f>VLOOKUP(F744,'Customer Info'!$A$1:$C$501,3,0)</f>
        <v>Bzostek</v>
      </c>
      <c r="I744" s="6" t="str">
        <f>VLOOKUP(F744,Customer,5,0)</f>
        <v>Brisbane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10854</v>
      </c>
      <c r="O744" s="2">
        <v>61</v>
      </c>
      <c r="P744" s="8">
        <f t="shared" si="57"/>
        <v>10915</v>
      </c>
      <c r="Q744" s="8">
        <f t="shared" si="58"/>
        <v>708</v>
      </c>
      <c r="R744" s="2" t="s">
        <v>28</v>
      </c>
      <c r="S744" s="24">
        <f t="shared" si="59"/>
        <v>0.05</v>
      </c>
    </row>
    <row r="745" spans="1:19" x14ac:dyDescent="0.25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>VLOOKUP(F745,'Customer Info'!$A:$B,2,0)</f>
        <v>Harold</v>
      </c>
      <c r="H745" s="6" t="str">
        <f>VLOOKUP(F745,'Customer Info'!$A$1:$C$501,3,0)</f>
        <v>Dahlen</v>
      </c>
      <c r="I745" s="6" t="str">
        <f>VLOOKUP(F745,Customer,5,0)</f>
        <v>Jakarta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3152</v>
      </c>
      <c r="O745" s="2">
        <v>63</v>
      </c>
      <c r="P745" s="8">
        <f t="shared" si="57"/>
        <v>3215</v>
      </c>
      <c r="Q745" s="8">
        <f t="shared" si="58"/>
        <v>90</v>
      </c>
      <c r="R745" s="2" t="s">
        <v>26</v>
      </c>
      <c r="S745" s="24">
        <f t="shared" si="59"/>
        <v>0.02</v>
      </c>
    </row>
    <row r="746" spans="1:19" x14ac:dyDescent="0.25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>VLOOKUP(F746,'Customer Info'!$A:$B,2,0)</f>
        <v>John</v>
      </c>
      <c r="H746" s="6" t="str">
        <f>VLOOKUP(F746,'Customer Info'!$A$1:$C$501,3,0)</f>
        <v>Huston</v>
      </c>
      <c r="I746" s="6" t="str">
        <f>VLOOKUP(F746,Customer,5,0)</f>
        <v>Jena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1574</v>
      </c>
      <c r="O746" s="2">
        <v>88</v>
      </c>
      <c r="P746" s="8">
        <f t="shared" si="57"/>
        <v>1662</v>
      </c>
      <c r="Q746" s="8">
        <f t="shared" si="58"/>
        <v>116</v>
      </c>
      <c r="R746" s="2" t="s">
        <v>26</v>
      </c>
      <c r="S746" s="24">
        <f t="shared" si="59"/>
        <v>0.02</v>
      </c>
    </row>
    <row r="747" spans="1:19" x14ac:dyDescent="0.25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>VLOOKUP(F747,'Customer Info'!$A:$B,2,0)</f>
        <v>Michael</v>
      </c>
      <c r="H747" s="6" t="str">
        <f>VLOOKUP(F747,'Customer Info'!$A$1:$C$501,3,0)</f>
        <v>Moore</v>
      </c>
      <c r="I747" s="6" t="str">
        <f>VLOOKUP(F747,Customer,5,0)</f>
        <v>Geelong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5663</v>
      </c>
      <c r="O747" s="2">
        <v>28</v>
      </c>
      <c r="P747" s="8">
        <f t="shared" si="57"/>
        <v>5691</v>
      </c>
      <c r="Q747" s="8">
        <f t="shared" si="58"/>
        <v>273</v>
      </c>
      <c r="R747" s="2" t="s">
        <v>50</v>
      </c>
      <c r="S747" s="24">
        <f t="shared" si="59"/>
        <v>0.05</v>
      </c>
    </row>
    <row r="748" spans="1:19" x14ac:dyDescent="0.25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>VLOOKUP(F748,'Customer Info'!$A:$B,2,0)</f>
        <v>Eileen</v>
      </c>
      <c r="H748" s="6" t="str">
        <f>VLOOKUP(F748,'Customer Info'!$A$1:$C$501,3,0)</f>
        <v>Kiefer</v>
      </c>
      <c r="I748" s="6" t="str">
        <f>VLOOKUP(F748,Customer,5,0)</f>
        <v>Hamm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8604</v>
      </c>
      <c r="O748" s="2">
        <v>30</v>
      </c>
      <c r="P748" s="8">
        <f t="shared" si="57"/>
        <v>8634</v>
      </c>
      <c r="Q748" s="8">
        <f t="shared" si="58"/>
        <v>568</v>
      </c>
      <c r="R748" s="2" t="s">
        <v>28</v>
      </c>
      <c r="S748" s="24">
        <f t="shared" si="59"/>
        <v>0.05</v>
      </c>
    </row>
    <row r="749" spans="1:19" x14ac:dyDescent="0.25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>VLOOKUP(F749,'Customer Info'!$A:$B,2,0)</f>
        <v>Natalie</v>
      </c>
      <c r="H749" s="6" t="str">
        <f>VLOOKUP(F749,'Customer Info'!$A$1:$C$501,3,0)</f>
        <v>Webber</v>
      </c>
      <c r="I749" s="6" t="str">
        <f>VLOOKUP(F749,Customer,5,0)</f>
        <v>Ningbo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1393</v>
      </c>
      <c r="O749" s="2">
        <v>30</v>
      </c>
      <c r="P749" s="8">
        <f t="shared" si="57"/>
        <v>1423</v>
      </c>
      <c r="Q749" s="8">
        <f t="shared" si="58"/>
        <v>161</v>
      </c>
      <c r="R749" s="2" t="s">
        <v>26</v>
      </c>
      <c r="S749" s="24">
        <f t="shared" si="59"/>
        <v>0.02</v>
      </c>
    </row>
    <row r="750" spans="1:19" x14ac:dyDescent="0.25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>VLOOKUP(F750,'Customer Info'!$A:$B,2,0)</f>
        <v>Troy</v>
      </c>
      <c r="H750" s="6" t="str">
        <f>VLOOKUP(F750,'Customer Info'!$A$1:$C$501,3,0)</f>
        <v>Blackwell</v>
      </c>
      <c r="I750" s="6" t="str">
        <f>VLOOKUP(F750,Customer,5,0)</f>
        <v>Krefeld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30186</v>
      </c>
      <c r="O750" s="2">
        <v>91</v>
      </c>
      <c r="P750" s="8">
        <f t="shared" si="57"/>
        <v>30277</v>
      </c>
      <c r="Q750" s="8">
        <f t="shared" si="58"/>
        <v>2268</v>
      </c>
      <c r="R750" s="2" t="s">
        <v>28</v>
      </c>
      <c r="S750" s="24">
        <f t="shared" si="59"/>
        <v>7.0000000000000007E-2</v>
      </c>
    </row>
    <row r="751" spans="1:19" x14ac:dyDescent="0.25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>VLOOKUP(F751,'Customer Info'!$A:$B,2,0)</f>
        <v>Kristen</v>
      </c>
      <c r="H751" s="6" t="str">
        <f>VLOOKUP(F751,'Customer Info'!$A$1:$C$501,3,0)</f>
        <v>Hastings</v>
      </c>
      <c r="I751" s="6" t="str">
        <f>VLOOKUP(F751,Customer,5,0)</f>
        <v>Shihezi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1828</v>
      </c>
      <c r="O751" s="2">
        <v>83</v>
      </c>
      <c r="P751" s="8">
        <f t="shared" si="57"/>
        <v>1911</v>
      </c>
      <c r="Q751" s="8">
        <f t="shared" si="58"/>
        <v>168</v>
      </c>
      <c r="R751" s="2" t="s">
        <v>28</v>
      </c>
      <c r="S751" s="24">
        <f t="shared" si="59"/>
        <v>0.02</v>
      </c>
    </row>
    <row r="752" spans="1:19" x14ac:dyDescent="0.25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>VLOOKUP(F752,'Customer Info'!$A:$B,2,0)</f>
        <v>Carl</v>
      </c>
      <c r="H752" s="6" t="str">
        <f>VLOOKUP(F752,'Customer Info'!$A$1:$C$501,3,0)</f>
        <v>Weiss</v>
      </c>
      <c r="I752" s="6" t="str">
        <f>VLOOKUP(F752,Customer,5,0)</f>
        <v>Delhi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2844</v>
      </c>
      <c r="O752" s="2">
        <v>91</v>
      </c>
      <c r="P752" s="8">
        <f t="shared" si="57"/>
        <v>2935</v>
      </c>
      <c r="Q752" s="8">
        <f t="shared" si="58"/>
        <v>186</v>
      </c>
      <c r="R752" s="2" t="s">
        <v>28</v>
      </c>
      <c r="S752" s="24">
        <f t="shared" si="59"/>
        <v>0.02</v>
      </c>
    </row>
    <row r="753" spans="1:19" x14ac:dyDescent="0.25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>VLOOKUP(F753,'Customer Info'!$A:$B,2,0)</f>
        <v>Ritsa</v>
      </c>
      <c r="H753" s="6" t="str">
        <f>VLOOKUP(F753,'Customer Info'!$A$1:$C$501,3,0)</f>
        <v>Hightower</v>
      </c>
      <c r="I753" s="6" t="str">
        <f>VLOOKUP(F753,Customer,5,0)</f>
        <v>Hamburg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59265</v>
      </c>
      <c r="O753" s="2">
        <v>52</v>
      </c>
      <c r="P753" s="8">
        <f t="shared" si="57"/>
        <v>59317</v>
      </c>
      <c r="Q753" s="8">
        <f t="shared" si="58"/>
        <v>4320</v>
      </c>
      <c r="R753" s="2" t="s">
        <v>28</v>
      </c>
      <c r="S753" s="24">
        <f t="shared" si="59"/>
        <v>0.09</v>
      </c>
    </row>
    <row r="754" spans="1:19" x14ac:dyDescent="0.25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>VLOOKUP(F754,'Customer Info'!$A:$B,2,0)</f>
        <v>Ryan</v>
      </c>
      <c r="H754" s="6" t="str">
        <f>VLOOKUP(F754,'Customer Info'!$A$1:$C$501,3,0)</f>
        <v>Akin</v>
      </c>
      <c r="I754" s="6" t="str">
        <f>VLOOKUP(F754,Customer,5,0)</f>
        <v>Bayreuth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417</v>
      </c>
      <c r="O754" s="2">
        <v>30</v>
      </c>
      <c r="P754" s="8">
        <f t="shared" si="57"/>
        <v>447</v>
      </c>
      <c r="Q754" s="8">
        <f t="shared" si="58"/>
        <v>18</v>
      </c>
      <c r="R754" s="2" t="s">
        <v>28</v>
      </c>
      <c r="S754" s="24">
        <f t="shared" si="59"/>
        <v>0.02</v>
      </c>
    </row>
    <row r="755" spans="1:19" x14ac:dyDescent="0.25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>VLOOKUP(F755,'Customer Info'!$A:$B,2,0)</f>
        <v>Julia</v>
      </c>
      <c r="H755" s="6" t="str">
        <f>VLOOKUP(F755,'Customer Info'!$A$1:$C$501,3,0)</f>
        <v>Barnett</v>
      </c>
      <c r="I755" s="6" t="str">
        <f>VLOOKUP(F755,Customer,5,0)</f>
        <v>Zhuhai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11232</v>
      </c>
      <c r="O755" s="2">
        <v>47</v>
      </c>
      <c r="P755" s="8">
        <f t="shared" si="57"/>
        <v>11279</v>
      </c>
      <c r="Q755" s="8">
        <f t="shared" si="58"/>
        <v>536</v>
      </c>
      <c r="R755" s="2" t="s">
        <v>50</v>
      </c>
      <c r="S755" s="24">
        <f t="shared" si="59"/>
        <v>0.05</v>
      </c>
    </row>
    <row r="756" spans="1:19" x14ac:dyDescent="0.25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>VLOOKUP(F756,'Customer Info'!$A:$B,2,0)</f>
        <v>Toby</v>
      </c>
      <c r="H756" s="6" t="str">
        <f>VLOOKUP(F756,'Customer Info'!$A$1:$C$501,3,0)</f>
        <v>Swindell</v>
      </c>
      <c r="I756" s="6" t="str">
        <f>VLOOKUP(F756,Customer,5,0)</f>
        <v>Ninghai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8721</v>
      </c>
      <c r="O756" s="2">
        <v>59</v>
      </c>
      <c r="P756" s="8">
        <f t="shared" si="57"/>
        <v>8780</v>
      </c>
      <c r="Q756" s="8">
        <f t="shared" si="58"/>
        <v>720</v>
      </c>
      <c r="R756" s="2" t="s">
        <v>50</v>
      </c>
      <c r="S756" s="24">
        <f t="shared" si="59"/>
        <v>0.05</v>
      </c>
    </row>
    <row r="757" spans="1:19" x14ac:dyDescent="0.25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>VLOOKUP(F757,'Customer Info'!$A:$B,2,0)</f>
        <v>Trudy</v>
      </c>
      <c r="H757" s="6" t="str">
        <f>VLOOKUP(F757,'Customer Info'!$A$1:$C$501,3,0)</f>
        <v>Glocke</v>
      </c>
      <c r="I757" s="6" t="str">
        <f>VLOOKUP(F757,Customer,5,0)</f>
        <v>Huaiyin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5106</v>
      </c>
      <c r="O757" s="2">
        <v>62</v>
      </c>
      <c r="P757" s="8">
        <f t="shared" si="57"/>
        <v>5168</v>
      </c>
      <c r="Q757" s="8">
        <f t="shared" si="58"/>
        <v>468</v>
      </c>
      <c r="R757" s="2" t="s">
        <v>28</v>
      </c>
      <c r="S757" s="24">
        <f t="shared" si="59"/>
        <v>0.05</v>
      </c>
    </row>
    <row r="758" spans="1:19" x14ac:dyDescent="0.25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>VLOOKUP(F758,'Customer Info'!$A:$B,2,0)</f>
        <v>Stuart</v>
      </c>
      <c r="H758" s="6" t="str">
        <f>VLOOKUP(F758,'Customer Info'!$A$1:$C$501,3,0)</f>
        <v>Van</v>
      </c>
      <c r="I758" s="6" t="str">
        <f>VLOOKUP(F758,Customer,5,0)</f>
        <v>Hobart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8888</v>
      </c>
      <c r="O758" s="2">
        <v>88</v>
      </c>
      <c r="P758" s="8">
        <f t="shared" si="57"/>
        <v>8976</v>
      </c>
      <c r="Q758" s="8">
        <f t="shared" si="58"/>
        <v>564</v>
      </c>
      <c r="R758" s="2" t="s">
        <v>26</v>
      </c>
      <c r="S758" s="24">
        <f t="shared" si="59"/>
        <v>0.05</v>
      </c>
    </row>
    <row r="759" spans="1:19" x14ac:dyDescent="0.25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>VLOOKUP(F759,'Customer Info'!$A:$B,2,0)</f>
        <v>Tom</v>
      </c>
      <c r="H759" s="6" t="str">
        <f>VLOOKUP(F759,'Customer Info'!$A$1:$C$501,3,0)</f>
        <v>Zandusky</v>
      </c>
      <c r="I759" s="6" t="str">
        <f>VLOOKUP(F759,Customer,5,0)</f>
        <v>Hobart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25096</v>
      </c>
      <c r="O759" s="2">
        <v>77</v>
      </c>
      <c r="P759" s="8">
        <f t="shared" si="57"/>
        <v>25173</v>
      </c>
      <c r="Q759" s="8">
        <f t="shared" si="58"/>
        <v>724</v>
      </c>
      <c r="R759" s="2" t="s">
        <v>26</v>
      </c>
      <c r="S759" s="24">
        <f t="shared" si="59"/>
        <v>7.0000000000000007E-2</v>
      </c>
    </row>
    <row r="760" spans="1:19" x14ac:dyDescent="0.25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>VLOOKUP(F760,'Customer Info'!$A:$B,2,0)</f>
        <v>Dennis</v>
      </c>
      <c r="H760" s="6" t="str">
        <f>VLOOKUP(F760,'Customer Info'!$A$1:$C$501,3,0)</f>
        <v>Pardue</v>
      </c>
      <c r="I760" s="6" t="str">
        <f>VLOOKUP(F760,Customer,5,0)</f>
        <v>Wollongong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35008</v>
      </c>
      <c r="O760" s="2">
        <v>20</v>
      </c>
      <c r="P760" s="8">
        <f t="shared" si="57"/>
        <v>35028</v>
      </c>
      <c r="Q760" s="8">
        <f t="shared" si="58"/>
        <v>3500</v>
      </c>
      <c r="R760" s="2" t="s">
        <v>50</v>
      </c>
      <c r="S760" s="24">
        <f t="shared" si="59"/>
        <v>7.0000000000000007E-2</v>
      </c>
    </row>
    <row r="761" spans="1:19" x14ac:dyDescent="0.25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>VLOOKUP(F761,'Customer Info'!$A:$B,2,0)</f>
        <v>Barry</v>
      </c>
      <c r="H761" s="6" t="str">
        <f>VLOOKUP(F761,'Customer Info'!$A$1:$C$501,3,0)</f>
        <v>Franzšsisch</v>
      </c>
      <c r="I761" s="6" t="str">
        <f>VLOOKUP(F761,Customer,5,0)</f>
        <v>Canberra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384</v>
      </c>
      <c r="O761" s="2">
        <v>10</v>
      </c>
      <c r="P761" s="8">
        <f t="shared" si="57"/>
        <v>394</v>
      </c>
      <c r="Q761" s="8">
        <f t="shared" si="58"/>
        <v>36</v>
      </c>
      <c r="R761" s="2" t="s">
        <v>28</v>
      </c>
      <c r="S761" s="24">
        <f t="shared" si="59"/>
        <v>0.02</v>
      </c>
    </row>
    <row r="762" spans="1:19" x14ac:dyDescent="0.25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>VLOOKUP(F762,'Customer Info'!$A:$B,2,0)</f>
        <v>Bruce</v>
      </c>
      <c r="H762" s="6" t="str">
        <f>VLOOKUP(F762,'Customer Info'!$A$1:$C$501,3,0)</f>
        <v>Geld</v>
      </c>
      <c r="I762" s="6" t="str">
        <f>VLOOKUP(F762,Customer,5,0)</f>
        <v>Wollongong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29470</v>
      </c>
      <c r="O762" s="2">
        <v>84</v>
      </c>
      <c r="P762" s="8">
        <f t="shared" si="57"/>
        <v>29554</v>
      </c>
      <c r="Q762" s="8">
        <f t="shared" si="58"/>
        <v>1365</v>
      </c>
      <c r="R762" s="2" t="s">
        <v>50</v>
      </c>
      <c r="S762" s="24">
        <f t="shared" si="59"/>
        <v>7.0000000000000007E-2</v>
      </c>
    </row>
    <row r="763" spans="1:19" x14ac:dyDescent="0.25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>VLOOKUP(F763,'Customer Info'!$A:$B,2,0)</f>
        <v>Kelly</v>
      </c>
      <c r="H763" s="6" t="str">
        <f>VLOOKUP(F763,'Customer Info'!$A$1:$C$501,3,0)</f>
        <v>Williams</v>
      </c>
      <c r="I763" s="6" t="str">
        <f>VLOOKUP(F763,Customer,5,0)</f>
        <v>Sydney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8585</v>
      </c>
      <c r="O763" s="2">
        <v>31</v>
      </c>
      <c r="P763" s="8">
        <f t="shared" si="57"/>
        <v>8616</v>
      </c>
      <c r="Q763" s="8">
        <f t="shared" si="58"/>
        <v>325</v>
      </c>
      <c r="R763" s="2" t="s">
        <v>50</v>
      </c>
      <c r="S763" s="24">
        <f t="shared" si="59"/>
        <v>0.05</v>
      </c>
    </row>
    <row r="764" spans="1:19" x14ac:dyDescent="0.25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>VLOOKUP(F764,'Customer Info'!$A:$B,2,0)</f>
        <v>Irene</v>
      </c>
      <c r="H764" s="6" t="str">
        <f>VLOOKUP(F764,'Customer Info'!$A$1:$C$501,3,0)</f>
        <v>Maddox</v>
      </c>
      <c r="I764" s="6" t="str">
        <f>VLOOKUP(F764,Customer,5,0)</f>
        <v>Bhavnagar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4239</v>
      </c>
      <c r="O764" s="2">
        <v>87</v>
      </c>
      <c r="P764" s="8">
        <f t="shared" si="57"/>
        <v>4326</v>
      </c>
      <c r="Q764" s="8">
        <f t="shared" si="58"/>
        <v>237</v>
      </c>
      <c r="R764" s="2" t="s">
        <v>28</v>
      </c>
      <c r="S764" s="24">
        <f t="shared" si="59"/>
        <v>0.02</v>
      </c>
    </row>
    <row r="765" spans="1:19" x14ac:dyDescent="0.25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>VLOOKUP(F765,'Customer Info'!$A:$B,2,0)</f>
        <v>Tamara</v>
      </c>
      <c r="H765" s="6" t="str">
        <f>VLOOKUP(F765,'Customer Info'!$A$1:$C$501,3,0)</f>
        <v>Willingham</v>
      </c>
      <c r="I765" s="6" t="str">
        <f>VLOOKUP(F765,Customer,5,0)</f>
        <v>Perth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3053</v>
      </c>
      <c r="O765" s="2">
        <v>27</v>
      </c>
      <c r="P765" s="8">
        <f t="shared" si="57"/>
        <v>3080</v>
      </c>
      <c r="Q765" s="8">
        <f t="shared" si="58"/>
        <v>116</v>
      </c>
      <c r="R765" s="2" t="s">
        <v>28</v>
      </c>
      <c r="S765" s="24">
        <f t="shared" si="59"/>
        <v>0.02</v>
      </c>
    </row>
    <row r="766" spans="1:19" x14ac:dyDescent="0.25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>VLOOKUP(F766,'Customer Info'!$A:$B,2,0)</f>
        <v>Steven</v>
      </c>
      <c r="H766" s="6" t="str">
        <f>VLOOKUP(F766,'Customer Info'!$A$1:$C$501,3,0)</f>
        <v>Cartwright</v>
      </c>
      <c r="I766" s="6" t="str">
        <f>VLOOKUP(F766,Customer,5,0)</f>
        <v>Newcastle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15844</v>
      </c>
      <c r="O766" s="2">
        <v>28</v>
      </c>
      <c r="P766" s="8">
        <f t="shared" si="57"/>
        <v>15872</v>
      </c>
      <c r="Q766" s="8">
        <f t="shared" si="58"/>
        <v>1188</v>
      </c>
      <c r="R766" s="2" t="s">
        <v>28</v>
      </c>
      <c r="S766" s="24">
        <f t="shared" si="59"/>
        <v>0.05</v>
      </c>
    </row>
    <row r="767" spans="1:19" x14ac:dyDescent="0.25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>VLOOKUP(F767,'Customer Info'!$A:$B,2,0)</f>
        <v>Bill</v>
      </c>
      <c r="H767" s="6" t="str">
        <f>VLOOKUP(F767,'Customer Info'!$A$1:$C$501,3,0)</f>
        <v>Stewart</v>
      </c>
      <c r="I767" s="6" t="str">
        <f>VLOOKUP(F767,Customer,5,0)</f>
        <v>Wenling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221528</v>
      </c>
      <c r="O767" s="2">
        <v>39</v>
      </c>
      <c r="P767" s="8">
        <f t="shared" si="57"/>
        <v>221567</v>
      </c>
      <c r="Q767" s="8">
        <f t="shared" si="58"/>
        <v>16600</v>
      </c>
      <c r="R767" s="2" t="s">
        <v>28</v>
      </c>
      <c r="S767" s="24">
        <f t="shared" si="59"/>
        <v>0.12</v>
      </c>
    </row>
    <row r="768" spans="1:19" x14ac:dyDescent="0.25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>VLOOKUP(F768,'Customer Info'!$A:$B,2,0)</f>
        <v>Benjamin</v>
      </c>
      <c r="H768" s="6" t="str">
        <f>VLOOKUP(F768,'Customer Info'!$A$1:$C$501,3,0)</f>
        <v>Patterson</v>
      </c>
      <c r="I768" s="6" t="str">
        <f>VLOOKUP(F768,Customer,5,0)</f>
        <v>Wollongong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40302</v>
      </c>
      <c r="O768" s="2">
        <v>54</v>
      </c>
      <c r="P768" s="8">
        <f t="shared" si="57"/>
        <v>40356</v>
      </c>
      <c r="Q768" s="8">
        <f t="shared" si="58"/>
        <v>2574</v>
      </c>
      <c r="R768" s="2" t="s">
        <v>28</v>
      </c>
      <c r="S768" s="24">
        <f t="shared" si="59"/>
        <v>7.0000000000000007E-2</v>
      </c>
    </row>
    <row r="769" spans="1:19" x14ac:dyDescent="0.25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>VLOOKUP(F769,'Customer Info'!$A:$B,2,0)</f>
        <v>Troy</v>
      </c>
      <c r="H769" s="6" t="str">
        <f>VLOOKUP(F769,'Customer Info'!$A$1:$C$501,3,0)</f>
        <v>Staebel</v>
      </c>
      <c r="I769" s="6" t="str">
        <f>VLOOKUP(F769,Customer,5,0)</f>
        <v>Canberra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13416</v>
      </c>
      <c r="O769" s="2">
        <v>93</v>
      </c>
      <c r="P769" s="8">
        <f t="shared" si="57"/>
        <v>13509</v>
      </c>
      <c r="Q769" s="8">
        <f t="shared" si="58"/>
        <v>1008</v>
      </c>
      <c r="R769" s="2" t="s">
        <v>28</v>
      </c>
      <c r="S769" s="24">
        <f t="shared" si="59"/>
        <v>0.05</v>
      </c>
    </row>
    <row r="770" spans="1:19" x14ac:dyDescent="0.25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>VLOOKUP(F770,'Customer Info'!$A:$B,2,0)</f>
        <v>Duane</v>
      </c>
      <c r="H770" s="6" t="str">
        <f>VLOOKUP(F770,'Customer Info'!$A$1:$C$501,3,0)</f>
        <v>Huffman</v>
      </c>
      <c r="I770" s="6" t="str">
        <f>VLOOKUP(F770,Customer,5,0)</f>
        <v>Jakarta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2906</v>
      </c>
      <c r="O770" s="2">
        <v>76</v>
      </c>
      <c r="P770" s="8">
        <f t="shared" si="57"/>
        <v>2982</v>
      </c>
      <c r="Q770" s="8">
        <f t="shared" si="58"/>
        <v>84</v>
      </c>
      <c r="R770" s="2" t="s">
        <v>28</v>
      </c>
      <c r="S770" s="24">
        <f t="shared" si="59"/>
        <v>0.02</v>
      </c>
    </row>
    <row r="771" spans="1:19" x14ac:dyDescent="0.25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>VLOOKUP(F771,'Customer Info'!$A:$B,2,0)</f>
        <v>Trudy</v>
      </c>
      <c r="H771" s="6" t="str">
        <f>VLOOKUP(F771,'Customer Info'!$A$1:$C$501,3,0)</f>
        <v>Glocke</v>
      </c>
      <c r="I771" s="6" t="str">
        <f>VLOOKUP(F771,Customer,5,0)</f>
        <v>Huaiyin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1362</v>
      </c>
      <c r="O771" s="2">
        <v>58</v>
      </c>
      <c r="P771" s="8">
        <f t="shared" si="57"/>
        <v>1420</v>
      </c>
      <c r="Q771" s="8">
        <f t="shared" si="58"/>
        <v>78</v>
      </c>
      <c r="R771" s="2" t="s">
        <v>28</v>
      </c>
      <c r="S771" s="24">
        <f t="shared" si="59"/>
        <v>0.02</v>
      </c>
    </row>
    <row r="772" spans="1:19" x14ac:dyDescent="0.25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>VLOOKUP(F772,'Customer Info'!$A:$B,2,0)</f>
        <v>Eugene</v>
      </c>
      <c r="H772" s="6" t="str">
        <f>VLOOKUP(F772,'Customer Info'!$A$1:$C$501,3,0)</f>
        <v>Hildebrand</v>
      </c>
      <c r="I772" s="6" t="str">
        <f>VLOOKUP(F772,Customer,5,0)</f>
        <v>Sindelfingen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272</v>
      </c>
      <c r="O772" s="2">
        <v>10</v>
      </c>
      <c r="P772" s="8">
        <f t="shared" si="57"/>
        <v>282</v>
      </c>
      <c r="Q772" s="8">
        <f t="shared" si="58"/>
        <v>20</v>
      </c>
      <c r="R772" s="2" t="s">
        <v>28</v>
      </c>
      <c r="S772" s="24">
        <f t="shared" si="59"/>
        <v>0.02</v>
      </c>
    </row>
    <row r="773" spans="1:19" x14ac:dyDescent="0.25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>VLOOKUP(F773,'Customer Info'!$A:$B,2,0)</f>
        <v>Ted</v>
      </c>
      <c r="H773" s="6" t="str">
        <f>VLOOKUP(F773,'Customer Info'!$A$1:$C$501,3,0)</f>
        <v>Trevino</v>
      </c>
      <c r="I773" s="6" t="str">
        <f>VLOOKUP(F773,Customer,5,0)</f>
        <v>Gold Coast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24480</v>
      </c>
      <c r="O773" s="2">
        <v>59</v>
      </c>
      <c r="P773" s="8">
        <f t="shared" si="57"/>
        <v>24539</v>
      </c>
      <c r="Q773" s="8">
        <f t="shared" si="58"/>
        <v>2055</v>
      </c>
      <c r="R773" s="2" t="s">
        <v>28</v>
      </c>
      <c r="S773" s="24">
        <f t="shared" si="59"/>
        <v>0.05</v>
      </c>
    </row>
    <row r="774" spans="1:19" x14ac:dyDescent="0.25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>VLOOKUP(F774,'Customer Info'!$A:$B,2,0)</f>
        <v>Laurel</v>
      </c>
      <c r="H774" s="6" t="str">
        <f>VLOOKUP(F774,'Customer Info'!$A$1:$C$501,3,0)</f>
        <v>Workman</v>
      </c>
      <c r="I774" s="6" t="str">
        <f>VLOOKUP(F774,Customer,5,0)</f>
        <v>Dongguan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5904</v>
      </c>
      <c r="O774" s="2">
        <v>99</v>
      </c>
      <c r="P774" s="8">
        <f t="shared" si="57"/>
        <v>6003</v>
      </c>
      <c r="Q774" s="8">
        <f t="shared" si="58"/>
        <v>441</v>
      </c>
      <c r="R774" s="2" t="s">
        <v>28</v>
      </c>
      <c r="S774" s="24">
        <f t="shared" si="59"/>
        <v>0.05</v>
      </c>
    </row>
    <row r="775" spans="1:19" x14ac:dyDescent="0.25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>VLOOKUP(F775,'Customer Info'!$A:$B,2,0)</f>
        <v>Elpida</v>
      </c>
      <c r="H775" s="6" t="str">
        <f>VLOOKUP(F775,'Customer Info'!$A$1:$C$501,3,0)</f>
        <v>Rittenbach</v>
      </c>
      <c r="I775" s="6" t="str">
        <f>VLOOKUP(F775,Customer,5,0)</f>
        <v>Melbourne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11232</v>
      </c>
      <c r="O775" s="2">
        <v>61</v>
      </c>
      <c r="P775" s="8">
        <f t="shared" si="57"/>
        <v>11293</v>
      </c>
      <c r="Q775" s="8">
        <f t="shared" si="58"/>
        <v>536</v>
      </c>
      <c r="R775" s="2" t="s">
        <v>50</v>
      </c>
      <c r="S775" s="24">
        <f t="shared" si="59"/>
        <v>0.05</v>
      </c>
    </row>
    <row r="776" spans="1:19" x14ac:dyDescent="0.25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>VLOOKUP(F776,'Customer Info'!$A:$B,2,0)</f>
        <v>Rachel</v>
      </c>
      <c r="H776" s="6" t="str">
        <f>VLOOKUP(F776,'Customer Info'!$A$1:$C$501,3,0)</f>
        <v>Payne</v>
      </c>
      <c r="I776" s="6" t="str">
        <f>VLOOKUP(F776,Customer,5,0)</f>
        <v>Caloundra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1032</v>
      </c>
      <c r="O776" s="2">
        <v>51</v>
      </c>
      <c r="P776" s="8">
        <f t="shared" si="57"/>
        <v>1083</v>
      </c>
      <c r="Q776" s="8">
        <f t="shared" si="58"/>
        <v>86</v>
      </c>
      <c r="R776" s="2" t="s">
        <v>28</v>
      </c>
      <c r="S776" s="24">
        <f t="shared" si="59"/>
        <v>0.02</v>
      </c>
    </row>
    <row r="777" spans="1:19" x14ac:dyDescent="0.25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>VLOOKUP(F777,'Customer Info'!$A:$B,2,0)</f>
        <v>Duane</v>
      </c>
      <c r="H777" s="6" t="str">
        <f>VLOOKUP(F777,'Customer Info'!$A$1:$C$501,3,0)</f>
        <v>Noonan</v>
      </c>
      <c r="I777" s="6" t="str">
        <f>VLOOKUP(F777,Customer,5,0)</f>
        <v>Durg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7806</v>
      </c>
      <c r="O777" s="2">
        <v>63</v>
      </c>
      <c r="P777" s="8">
        <f t="shared" si="57"/>
        <v>7869</v>
      </c>
      <c r="Q777" s="8">
        <f t="shared" si="58"/>
        <v>717</v>
      </c>
      <c r="R777" s="2" t="s">
        <v>50</v>
      </c>
      <c r="S777" s="24">
        <f t="shared" si="59"/>
        <v>0.05</v>
      </c>
    </row>
    <row r="778" spans="1:19" x14ac:dyDescent="0.25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>VLOOKUP(F778,'Customer Info'!$A:$B,2,0)</f>
        <v>Damala</v>
      </c>
      <c r="H778" s="6" t="str">
        <f>VLOOKUP(F778,'Customer Info'!$A$1:$C$501,3,0)</f>
        <v>Kotsonis</v>
      </c>
      <c r="I778" s="6" t="str">
        <f>VLOOKUP(F778,Customer,5,0)</f>
        <v>Berlin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3308</v>
      </c>
      <c r="O778" s="2">
        <v>32</v>
      </c>
      <c r="P778" s="8">
        <f t="shared" si="57"/>
        <v>3340</v>
      </c>
      <c r="Q778" s="8">
        <f t="shared" si="58"/>
        <v>154</v>
      </c>
      <c r="R778" s="2" t="s">
        <v>56</v>
      </c>
      <c r="S778" s="24">
        <f t="shared" si="59"/>
        <v>0.02</v>
      </c>
    </row>
    <row r="779" spans="1:19" x14ac:dyDescent="0.25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>VLOOKUP(F779,'Customer Info'!$A:$B,2,0)</f>
        <v>Adrian</v>
      </c>
      <c r="H779" s="6" t="str">
        <f>VLOOKUP(F779,'Customer Info'!$A$1:$C$501,3,0)</f>
        <v>Barton</v>
      </c>
      <c r="I779" s="6" t="str">
        <f>VLOOKUP(F779,Customer,5,0)</f>
        <v>Wetzlar</v>
      </c>
      <c r="J779" s="2">
        <v>1808</v>
      </c>
      <c r="K779" s="2">
        <v>1740</v>
      </c>
      <c r="L779" s="2">
        <v>2</v>
      </c>
      <c r="M779" s="7">
        <f t="shared" ref="M779:M842" si="60">K779*L779</f>
        <v>3480</v>
      </c>
      <c r="N779" s="7">
        <f t="shared" ref="N779:N842" si="61">J779*L779</f>
        <v>3616</v>
      </c>
      <c r="O779" s="2">
        <v>35</v>
      </c>
      <c r="P779" s="8">
        <f t="shared" ref="P779:P842" si="62">N779+O779</f>
        <v>3651</v>
      </c>
      <c r="Q779" s="8">
        <f t="shared" ref="Q779:Q842" si="63">N779-M779</f>
        <v>136</v>
      </c>
      <c r="R779" s="2" t="s">
        <v>28</v>
      </c>
      <c r="S779" s="24">
        <f t="shared" ref="S779:S842" si="64">VLOOKUP(N779,$T$1:$U$7,2,TRUE)</f>
        <v>0.02</v>
      </c>
    </row>
    <row r="780" spans="1:19" x14ac:dyDescent="0.25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>VLOOKUP(F780,'Customer Info'!$A:$B,2,0)</f>
        <v>Eugene</v>
      </c>
      <c r="H780" s="6" t="str">
        <f>VLOOKUP(F780,'Customer Info'!$A$1:$C$501,3,0)</f>
        <v>Moren</v>
      </c>
      <c r="I780" s="6" t="str">
        <f>VLOOKUP(F780,Customer,5,0)</f>
        <v>Patiala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8">
        <f t="shared" si="62"/>
        <v>18111</v>
      </c>
      <c r="Q780" s="8">
        <f t="shared" si="63"/>
        <v>1005</v>
      </c>
      <c r="R780" s="2" t="s">
        <v>28</v>
      </c>
      <c r="S780" s="24">
        <f t="shared" si="64"/>
        <v>0.05</v>
      </c>
    </row>
    <row r="781" spans="1:19" x14ac:dyDescent="0.25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>VLOOKUP(F781,'Customer Info'!$A:$B,2,0)</f>
        <v>Shui</v>
      </c>
      <c r="H781" s="6" t="str">
        <f>VLOOKUP(F781,'Customer Info'!$A$1:$C$501,3,0)</f>
        <v>Tom</v>
      </c>
      <c r="I781" s="6" t="str">
        <f>VLOOKUP(F781,Customer,5,0)</f>
        <v>Melbourne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8">
        <f t="shared" si="62"/>
        <v>11874</v>
      </c>
      <c r="Q781" s="8">
        <f t="shared" si="63"/>
        <v>1300</v>
      </c>
      <c r="R781" s="2" t="s">
        <v>28</v>
      </c>
      <c r="S781" s="24">
        <f t="shared" si="64"/>
        <v>0.05</v>
      </c>
    </row>
    <row r="782" spans="1:19" x14ac:dyDescent="0.25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>VLOOKUP(F782,'Customer Info'!$A:$B,2,0)</f>
        <v>Greg</v>
      </c>
      <c r="H782" s="6" t="str">
        <f>VLOOKUP(F782,'Customer Info'!$A$1:$C$501,3,0)</f>
        <v>Hansen</v>
      </c>
      <c r="I782" s="6" t="str">
        <f>VLOOKUP(F782,Customer,5,0)</f>
        <v>Canberra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8">
        <f t="shared" si="62"/>
        <v>262</v>
      </c>
      <c r="Q782" s="8">
        <f t="shared" si="63"/>
        <v>16</v>
      </c>
      <c r="R782" s="2" t="s">
        <v>50</v>
      </c>
      <c r="S782" s="24">
        <f t="shared" si="64"/>
        <v>0.02</v>
      </c>
    </row>
    <row r="783" spans="1:19" x14ac:dyDescent="0.25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>VLOOKUP(F783,'Customer Info'!$A:$B,2,0)</f>
        <v>Mark</v>
      </c>
      <c r="H783" s="6" t="str">
        <f>VLOOKUP(F783,'Customer Info'!$A$1:$C$501,3,0)</f>
        <v>Cousins</v>
      </c>
      <c r="I783" s="6" t="str">
        <f>VLOOKUP(F783,Customer,5,0)</f>
        <v>Karimnagar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8">
        <f t="shared" si="62"/>
        <v>37998</v>
      </c>
      <c r="Q783" s="8">
        <f t="shared" si="63"/>
        <v>3133</v>
      </c>
      <c r="R783" s="2" t="s">
        <v>28</v>
      </c>
      <c r="S783" s="24">
        <f t="shared" si="64"/>
        <v>7.0000000000000007E-2</v>
      </c>
    </row>
    <row r="784" spans="1:19" x14ac:dyDescent="0.25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>VLOOKUP(F784,'Customer Info'!$A:$B,2,0)</f>
        <v>Gary</v>
      </c>
      <c r="H784" s="6" t="str">
        <f>VLOOKUP(F784,'Customer Info'!$A$1:$C$501,3,0)</f>
        <v>Hansen</v>
      </c>
      <c r="I784" s="6" t="str">
        <f>VLOOKUP(F784,Customer,5,0)</f>
        <v>Dewas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6611</v>
      </c>
      <c r="O784" s="2">
        <v>83</v>
      </c>
      <c r="P784" s="8">
        <f t="shared" si="62"/>
        <v>6694</v>
      </c>
      <c r="Q784" s="8">
        <f t="shared" si="63"/>
        <v>668</v>
      </c>
      <c r="R784" s="2" t="s">
        <v>50</v>
      </c>
      <c r="S784" s="24">
        <f t="shared" si="64"/>
        <v>0.05</v>
      </c>
    </row>
    <row r="785" spans="1:19" x14ac:dyDescent="0.25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>VLOOKUP(F785,'Customer Info'!$A:$B,2,0)</f>
        <v>Ralph</v>
      </c>
      <c r="H785" s="6" t="str">
        <f>VLOOKUP(F785,'Customer Info'!$A$1:$C$501,3,0)</f>
        <v>Arnett</v>
      </c>
      <c r="I785" s="6" t="str">
        <f>VLOOKUP(F785,Customer,5,0)</f>
        <v>Jhansi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30492</v>
      </c>
      <c r="O785" s="2">
        <v>42</v>
      </c>
      <c r="P785" s="8">
        <f t="shared" si="62"/>
        <v>30534</v>
      </c>
      <c r="Q785" s="8">
        <f t="shared" si="63"/>
        <v>2236</v>
      </c>
      <c r="R785" s="2" t="s">
        <v>28</v>
      </c>
      <c r="S785" s="24">
        <f t="shared" si="64"/>
        <v>7.0000000000000007E-2</v>
      </c>
    </row>
    <row r="786" spans="1:19" x14ac:dyDescent="0.25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>VLOOKUP(F786,'Customer Info'!$A:$B,2,0)</f>
        <v>Ivan</v>
      </c>
      <c r="H786" s="6" t="str">
        <f>VLOOKUP(F786,'Customer Info'!$A$1:$C$501,3,0)</f>
        <v>Gibson</v>
      </c>
      <c r="I786" s="6" t="str">
        <f>VLOOKUP(F786,Customer,5,0)</f>
        <v>Perth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367780</v>
      </c>
      <c r="O786" s="2">
        <v>66</v>
      </c>
      <c r="P786" s="8">
        <f t="shared" si="62"/>
        <v>367846</v>
      </c>
      <c r="Q786" s="8">
        <f t="shared" si="63"/>
        <v>20690</v>
      </c>
      <c r="R786" s="2" t="s">
        <v>28</v>
      </c>
      <c r="S786" s="24">
        <f t="shared" si="64"/>
        <v>0.15</v>
      </c>
    </row>
    <row r="787" spans="1:19" x14ac:dyDescent="0.25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>VLOOKUP(F787,'Customer Info'!$A:$B,2,0)</f>
        <v>Erica</v>
      </c>
      <c r="H787" s="6" t="str">
        <f>VLOOKUP(F787,'Customer Info'!$A$1:$C$501,3,0)</f>
        <v>Smith</v>
      </c>
      <c r="I787" s="6" t="str">
        <f>VLOOKUP(F787,Customer,5,0)</f>
        <v>Halle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7380</v>
      </c>
      <c r="O787" s="2">
        <v>83</v>
      </c>
      <c r="P787" s="8">
        <f t="shared" si="62"/>
        <v>7463</v>
      </c>
      <c r="Q787" s="8">
        <f t="shared" si="63"/>
        <v>412</v>
      </c>
      <c r="R787" s="2" t="s">
        <v>28</v>
      </c>
      <c r="S787" s="24">
        <f t="shared" si="64"/>
        <v>0.05</v>
      </c>
    </row>
    <row r="788" spans="1:19" x14ac:dyDescent="0.25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>VLOOKUP(F788,'Customer Info'!$A:$B,2,0)</f>
        <v>Steven</v>
      </c>
      <c r="H788" s="6" t="str">
        <f>VLOOKUP(F788,'Customer Info'!$A$1:$C$501,3,0)</f>
        <v>Ward</v>
      </c>
      <c r="I788" s="6" t="str">
        <f>VLOOKUP(F788,Customer,5,0)</f>
        <v>Adelaide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4668</v>
      </c>
      <c r="O788" s="2">
        <v>90</v>
      </c>
      <c r="P788" s="8">
        <f t="shared" si="62"/>
        <v>4758</v>
      </c>
      <c r="Q788" s="8">
        <f t="shared" si="63"/>
        <v>426</v>
      </c>
      <c r="R788" s="2" t="s">
        <v>28</v>
      </c>
      <c r="S788" s="24">
        <f t="shared" si="64"/>
        <v>0.02</v>
      </c>
    </row>
    <row r="789" spans="1:19" x14ac:dyDescent="0.25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>VLOOKUP(F789,'Customer Info'!$A:$B,2,0)</f>
        <v>Cathy</v>
      </c>
      <c r="H789" s="6" t="str">
        <f>VLOOKUP(F789,'Customer Info'!$A$1:$C$501,3,0)</f>
        <v>Hwang</v>
      </c>
      <c r="I789" s="6" t="str">
        <f>VLOOKUP(F789,Customer,5,0)</f>
        <v>Ballarat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2370</v>
      </c>
      <c r="O789" s="2">
        <v>29</v>
      </c>
      <c r="P789" s="8">
        <f t="shared" si="62"/>
        <v>2399</v>
      </c>
      <c r="Q789" s="8">
        <f t="shared" si="63"/>
        <v>155</v>
      </c>
      <c r="R789" s="2" t="s">
        <v>50</v>
      </c>
      <c r="S789" s="24">
        <f t="shared" si="64"/>
        <v>0.02</v>
      </c>
    </row>
    <row r="790" spans="1:19" x14ac:dyDescent="0.25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>VLOOKUP(F790,'Customer Info'!$A:$B,2,0)</f>
        <v>Rachel</v>
      </c>
      <c r="H790" s="6" t="str">
        <f>VLOOKUP(F790,'Customer Info'!$A$1:$C$501,3,0)</f>
        <v>Payne</v>
      </c>
      <c r="I790" s="6" t="str">
        <f>VLOOKUP(F790,Customer,5,0)</f>
        <v>Raipur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4704</v>
      </c>
      <c r="O790" s="2">
        <v>48</v>
      </c>
      <c r="P790" s="8">
        <f t="shared" si="62"/>
        <v>4752</v>
      </c>
      <c r="Q790" s="8">
        <f t="shared" si="63"/>
        <v>343</v>
      </c>
      <c r="R790" s="2" t="s">
        <v>26</v>
      </c>
      <c r="S790" s="24">
        <f t="shared" si="64"/>
        <v>0.02</v>
      </c>
    </row>
    <row r="791" spans="1:19" x14ac:dyDescent="0.25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>VLOOKUP(F791,'Customer Info'!$A:$B,2,0)</f>
        <v>Roger</v>
      </c>
      <c r="H791" s="6" t="str">
        <f>VLOOKUP(F791,'Customer Info'!$A$1:$C$501,3,0)</f>
        <v>Demir</v>
      </c>
      <c r="I791" s="6" t="str">
        <f>VLOOKUP(F791,Customer,5,0)</f>
        <v>Wollongong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8869</v>
      </c>
      <c r="O791" s="2">
        <v>60</v>
      </c>
      <c r="P791" s="8">
        <f t="shared" si="62"/>
        <v>8929</v>
      </c>
      <c r="Q791" s="8">
        <f t="shared" si="63"/>
        <v>963</v>
      </c>
      <c r="R791" s="2" t="s">
        <v>28</v>
      </c>
      <c r="S791" s="24">
        <f t="shared" si="64"/>
        <v>0.05</v>
      </c>
    </row>
    <row r="792" spans="1:19" x14ac:dyDescent="0.25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>VLOOKUP(F792,'Customer Info'!$A:$B,2,0)</f>
        <v>Liz</v>
      </c>
      <c r="H792" s="6" t="str">
        <f>VLOOKUP(F792,'Customer Info'!$A$1:$C$501,3,0)</f>
        <v>Pelletier</v>
      </c>
      <c r="I792" s="6" t="str">
        <f>VLOOKUP(F792,Customer,5,0)</f>
        <v>Zigong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3304</v>
      </c>
      <c r="O792" s="2">
        <v>91</v>
      </c>
      <c r="P792" s="8">
        <f t="shared" si="62"/>
        <v>3395</v>
      </c>
      <c r="Q792" s="8">
        <f t="shared" si="63"/>
        <v>280</v>
      </c>
      <c r="R792" s="2" t="s">
        <v>50</v>
      </c>
      <c r="S792" s="24">
        <f t="shared" si="64"/>
        <v>0.02</v>
      </c>
    </row>
    <row r="793" spans="1:19" x14ac:dyDescent="0.25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>VLOOKUP(F793,'Customer Info'!$A:$B,2,0)</f>
        <v>Brooke</v>
      </c>
      <c r="H793" s="6" t="str">
        <f>VLOOKUP(F793,'Customer Info'!$A$1:$C$501,3,0)</f>
        <v>Gillingham</v>
      </c>
      <c r="I793" s="6" t="str">
        <f>VLOOKUP(F793,Customer,5,0)</f>
        <v>Mysore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23990</v>
      </c>
      <c r="O793" s="2">
        <v>64</v>
      </c>
      <c r="P793" s="8">
        <f t="shared" si="62"/>
        <v>24054</v>
      </c>
      <c r="Q793" s="8">
        <f t="shared" si="63"/>
        <v>1750</v>
      </c>
      <c r="R793" s="2" t="s">
        <v>50</v>
      </c>
      <c r="S793" s="24">
        <f t="shared" si="64"/>
        <v>0.05</v>
      </c>
    </row>
    <row r="794" spans="1:19" x14ac:dyDescent="0.25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>VLOOKUP(F794,'Customer Info'!$A:$B,2,0)</f>
        <v>Neoma</v>
      </c>
      <c r="H794" s="6" t="str">
        <f>VLOOKUP(F794,'Customer Info'!$A$1:$C$501,3,0)</f>
        <v>Murray</v>
      </c>
      <c r="I794" s="6" t="str">
        <f>VLOOKUP(F794,Customer,5,0)</f>
        <v>Guwahati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18948</v>
      </c>
      <c r="O794" s="2">
        <v>34</v>
      </c>
      <c r="P794" s="8">
        <f t="shared" si="62"/>
        <v>18982</v>
      </c>
      <c r="Q794" s="8">
        <f t="shared" si="63"/>
        <v>1056</v>
      </c>
      <c r="R794" s="2" t="s">
        <v>28</v>
      </c>
      <c r="S794" s="24">
        <f t="shared" si="64"/>
        <v>0.05</v>
      </c>
    </row>
    <row r="795" spans="1:19" x14ac:dyDescent="0.25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>VLOOKUP(F795,'Customer Info'!$A:$B,2,0)</f>
        <v>Laurel</v>
      </c>
      <c r="H795" s="6" t="str">
        <f>VLOOKUP(F795,'Customer Info'!$A$1:$C$501,3,0)</f>
        <v>Workman</v>
      </c>
      <c r="I795" s="6" t="str">
        <f>VLOOKUP(F795,Customer,5,0)</f>
        <v>Dongguan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36060</v>
      </c>
      <c r="O795" s="2">
        <v>93</v>
      </c>
      <c r="P795" s="8">
        <f t="shared" si="62"/>
        <v>36153</v>
      </c>
      <c r="Q795" s="8">
        <f t="shared" si="63"/>
        <v>2375</v>
      </c>
      <c r="R795" s="2" t="s">
        <v>26</v>
      </c>
      <c r="S795" s="24">
        <f t="shared" si="64"/>
        <v>7.0000000000000007E-2</v>
      </c>
    </row>
    <row r="796" spans="1:19" x14ac:dyDescent="0.25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>VLOOKUP(F796,'Customer Info'!$A:$B,2,0)</f>
        <v>Mark</v>
      </c>
      <c r="H796" s="6" t="str">
        <f>VLOOKUP(F796,'Customer Info'!$A$1:$C$501,3,0)</f>
        <v>Cousins</v>
      </c>
      <c r="I796" s="6" t="str">
        <f>VLOOKUP(F796,Customer,5,0)</f>
        <v>Karimnagar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393</v>
      </c>
      <c r="O796" s="2">
        <v>30</v>
      </c>
      <c r="P796" s="8">
        <f t="shared" si="62"/>
        <v>423</v>
      </c>
      <c r="Q796" s="8">
        <f t="shared" si="63"/>
        <v>21</v>
      </c>
      <c r="R796" s="2" t="s">
        <v>28</v>
      </c>
      <c r="S796" s="24">
        <f t="shared" si="64"/>
        <v>0.02</v>
      </c>
    </row>
    <row r="797" spans="1:19" x14ac:dyDescent="0.25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>VLOOKUP(F797,'Customer Info'!$A:$B,2,0)</f>
        <v>Lisa</v>
      </c>
      <c r="H797" s="6" t="str">
        <f>VLOOKUP(F797,'Customer Info'!$A$1:$C$501,3,0)</f>
        <v>DeCherney</v>
      </c>
      <c r="I797" s="6" t="str">
        <f>VLOOKUP(F797,Customer,5,0)</f>
        <v>Sydney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56008</v>
      </c>
      <c r="O797" s="2">
        <v>34</v>
      </c>
      <c r="P797" s="8">
        <f t="shared" si="62"/>
        <v>56042</v>
      </c>
      <c r="Q797" s="8">
        <f t="shared" si="63"/>
        <v>4200</v>
      </c>
      <c r="R797" s="2" t="s">
        <v>28</v>
      </c>
      <c r="S797" s="24">
        <f t="shared" si="64"/>
        <v>0.09</v>
      </c>
    </row>
    <row r="798" spans="1:19" x14ac:dyDescent="0.25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>VLOOKUP(F798,'Customer Info'!$A:$B,2,0)</f>
        <v>Fred</v>
      </c>
      <c r="H798" s="6" t="str">
        <f>VLOOKUP(F798,'Customer Info'!$A$1:$C$501,3,0)</f>
        <v>Hopkins</v>
      </c>
      <c r="I798" s="6" t="str">
        <f>VLOOKUP(F798,Customer,5,0)</f>
        <v>Sydney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9306</v>
      </c>
      <c r="O798" s="2">
        <v>85</v>
      </c>
      <c r="P798" s="8">
        <f t="shared" si="62"/>
        <v>9391</v>
      </c>
      <c r="Q798" s="8">
        <f t="shared" si="63"/>
        <v>845</v>
      </c>
      <c r="R798" s="2" t="s">
        <v>28</v>
      </c>
      <c r="S798" s="24">
        <f t="shared" si="64"/>
        <v>0.05</v>
      </c>
    </row>
    <row r="799" spans="1:19" x14ac:dyDescent="0.25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>VLOOKUP(F799,'Customer Info'!$A:$B,2,0)</f>
        <v>Candace</v>
      </c>
      <c r="H799" s="6" t="str">
        <f>VLOOKUP(F799,'Customer Info'!$A$1:$C$501,3,0)</f>
        <v>McMahon</v>
      </c>
      <c r="I799" s="6" t="str">
        <f>VLOOKUP(F799,Customer,5,0)</f>
        <v>Canberra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5151</v>
      </c>
      <c r="O799" s="2">
        <v>69</v>
      </c>
      <c r="P799" s="8">
        <f t="shared" si="62"/>
        <v>5220</v>
      </c>
      <c r="Q799" s="8">
        <f t="shared" si="63"/>
        <v>195</v>
      </c>
      <c r="R799" s="2" t="s">
        <v>28</v>
      </c>
      <c r="S799" s="24">
        <f t="shared" si="64"/>
        <v>0.05</v>
      </c>
    </row>
    <row r="800" spans="1:19" x14ac:dyDescent="0.25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>VLOOKUP(F800,'Customer Info'!$A:$B,2,0)</f>
        <v>Ionia</v>
      </c>
      <c r="H800" s="6" t="str">
        <f>VLOOKUP(F800,'Customer Info'!$A$1:$C$501,3,0)</f>
        <v>McGrath</v>
      </c>
      <c r="I800" s="6" t="str">
        <f>VLOOKUP(F800,Customer,5,0)</f>
        <v>Dormagen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582</v>
      </c>
      <c r="O800" s="2">
        <v>10</v>
      </c>
      <c r="P800" s="8">
        <f t="shared" si="62"/>
        <v>592</v>
      </c>
      <c r="Q800" s="8">
        <f t="shared" si="63"/>
        <v>30</v>
      </c>
      <c r="R800" s="2" t="s">
        <v>50</v>
      </c>
      <c r="S800" s="24">
        <f t="shared" si="64"/>
        <v>0.02</v>
      </c>
    </row>
    <row r="801" spans="1:19" x14ac:dyDescent="0.25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>VLOOKUP(F801,'Customer Info'!$A:$B,2,0)</f>
        <v>Dennis</v>
      </c>
      <c r="H801" s="6" t="str">
        <f>VLOOKUP(F801,'Customer Info'!$A$1:$C$501,3,0)</f>
        <v>Pardue</v>
      </c>
      <c r="I801" s="6" t="str">
        <f>VLOOKUP(F801,Customer,5,0)</f>
        <v>Wollongong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5102</v>
      </c>
      <c r="O801" s="2">
        <v>86</v>
      </c>
      <c r="P801" s="8">
        <f t="shared" si="62"/>
        <v>5188</v>
      </c>
      <c r="Q801" s="8">
        <f t="shared" si="63"/>
        <v>190</v>
      </c>
      <c r="R801" s="2" t="s">
        <v>28</v>
      </c>
      <c r="S801" s="24">
        <f t="shared" si="64"/>
        <v>0.05</v>
      </c>
    </row>
    <row r="802" spans="1:19" x14ac:dyDescent="0.25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>VLOOKUP(F802,'Customer Info'!$A:$B,2,0)</f>
        <v>Paul</v>
      </c>
      <c r="H802" s="6" t="str">
        <f>VLOOKUP(F802,'Customer Info'!$A$1:$C$501,3,0)</f>
        <v>Stevenson</v>
      </c>
      <c r="I802" s="6" t="str">
        <f>VLOOKUP(F802,Customer,5,0)</f>
        <v>Kwinana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992</v>
      </c>
      <c r="O802" s="2">
        <v>77</v>
      </c>
      <c r="P802" s="8">
        <f t="shared" si="62"/>
        <v>1069</v>
      </c>
      <c r="Q802" s="8">
        <f t="shared" si="63"/>
        <v>64</v>
      </c>
      <c r="R802" s="2" t="s">
        <v>28</v>
      </c>
      <c r="S802" s="24">
        <f t="shared" si="64"/>
        <v>0.02</v>
      </c>
    </row>
    <row r="803" spans="1:19" x14ac:dyDescent="0.25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>VLOOKUP(F803,'Customer Info'!$A:$B,2,0)</f>
        <v>Jonathan</v>
      </c>
      <c r="H803" s="6" t="str">
        <f>VLOOKUP(F803,'Customer Info'!$A$1:$C$501,3,0)</f>
        <v>Howell</v>
      </c>
      <c r="I803" s="6" t="str">
        <f>VLOOKUP(F803,Customer,5,0)</f>
        <v>Guangshui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7065</v>
      </c>
      <c r="O803" s="2">
        <v>63</v>
      </c>
      <c r="P803" s="8">
        <f t="shared" si="62"/>
        <v>7128</v>
      </c>
      <c r="Q803" s="8">
        <f t="shared" si="63"/>
        <v>520</v>
      </c>
      <c r="R803" s="2" t="s">
        <v>26</v>
      </c>
      <c r="S803" s="24">
        <f t="shared" si="64"/>
        <v>0.05</v>
      </c>
    </row>
    <row r="804" spans="1:19" x14ac:dyDescent="0.25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>VLOOKUP(F804,'Customer Info'!$A:$B,2,0)</f>
        <v>Eileen</v>
      </c>
      <c r="H804" s="6" t="str">
        <f>VLOOKUP(F804,'Customer Info'!$A$1:$C$501,3,0)</f>
        <v>Kiefer</v>
      </c>
      <c r="I804" s="6" t="str">
        <f>VLOOKUP(F804,Customer,5,0)</f>
        <v>Cologne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6465</v>
      </c>
      <c r="O804" s="2">
        <v>62</v>
      </c>
      <c r="P804" s="8">
        <f t="shared" si="62"/>
        <v>6527</v>
      </c>
      <c r="Q804" s="8">
        <f t="shared" si="63"/>
        <v>423</v>
      </c>
      <c r="R804" s="2" t="s">
        <v>28</v>
      </c>
      <c r="S804" s="24">
        <f t="shared" si="64"/>
        <v>0.05</v>
      </c>
    </row>
    <row r="805" spans="1:19" x14ac:dyDescent="0.25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>VLOOKUP(F805,'Customer Info'!$A:$B,2,0)</f>
        <v>Ralph</v>
      </c>
      <c r="H805" s="6" t="str">
        <f>VLOOKUP(F805,'Customer Info'!$A$1:$C$501,3,0)</f>
        <v>Arnett</v>
      </c>
      <c r="I805" s="6" t="str">
        <f>VLOOKUP(F805,Customer,5,0)</f>
        <v>Jhansi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390</v>
      </c>
      <c r="O805" s="2">
        <v>30</v>
      </c>
      <c r="P805" s="8">
        <f t="shared" si="62"/>
        <v>420</v>
      </c>
      <c r="Q805" s="8">
        <f t="shared" si="63"/>
        <v>24</v>
      </c>
      <c r="R805" s="2" t="s">
        <v>28</v>
      </c>
      <c r="S805" s="24">
        <f t="shared" si="64"/>
        <v>0.02</v>
      </c>
    </row>
    <row r="806" spans="1:19" x14ac:dyDescent="0.25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>VLOOKUP(F806,'Customer Info'!$A:$B,2,0)</f>
        <v>Deirdre</v>
      </c>
      <c r="H806" s="6" t="str">
        <f>VLOOKUP(F806,'Customer Info'!$A$1:$C$501,3,0)</f>
        <v>Greer</v>
      </c>
      <c r="I806" s="6" t="str">
        <f>VLOOKUP(F806,Customer,5,0)</f>
        <v>Perth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441</v>
      </c>
      <c r="O806" s="2">
        <v>10</v>
      </c>
      <c r="P806" s="8">
        <f t="shared" si="62"/>
        <v>451</v>
      </c>
      <c r="Q806" s="8">
        <f t="shared" si="63"/>
        <v>28</v>
      </c>
      <c r="R806" s="2" t="s">
        <v>28</v>
      </c>
      <c r="S806" s="24">
        <f t="shared" si="64"/>
        <v>0.02</v>
      </c>
    </row>
    <row r="807" spans="1:19" x14ac:dyDescent="0.25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>VLOOKUP(F807,'Customer Info'!$A:$B,2,0)</f>
        <v>Mick</v>
      </c>
      <c r="H807" s="6" t="str">
        <f>VLOOKUP(F807,'Customer Info'!$A$1:$C$501,3,0)</f>
        <v>Brown</v>
      </c>
      <c r="I807" s="6" t="str">
        <f>VLOOKUP(F807,Customer,5,0)</f>
        <v>Frankfurt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679</v>
      </c>
      <c r="O807" s="2">
        <v>85</v>
      </c>
      <c r="P807" s="8">
        <f t="shared" si="62"/>
        <v>764</v>
      </c>
      <c r="Q807" s="8">
        <f t="shared" si="63"/>
        <v>25</v>
      </c>
      <c r="R807" s="2" t="s">
        <v>26</v>
      </c>
      <c r="S807" s="24">
        <f t="shared" si="64"/>
        <v>0.02</v>
      </c>
    </row>
    <row r="808" spans="1:19" x14ac:dyDescent="0.25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>VLOOKUP(F808,'Customer Info'!$A:$B,2,0)</f>
        <v>Sung</v>
      </c>
      <c r="H808" s="6" t="str">
        <f>VLOOKUP(F808,'Customer Info'!$A$1:$C$501,3,0)</f>
        <v>Pak</v>
      </c>
      <c r="I808" s="6" t="str">
        <f>VLOOKUP(F808,Customer,5,0)</f>
        <v>Chaozhou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3548</v>
      </c>
      <c r="O808" s="2">
        <v>91</v>
      </c>
      <c r="P808" s="8">
        <f t="shared" si="62"/>
        <v>3639</v>
      </c>
      <c r="Q808" s="8">
        <f t="shared" si="63"/>
        <v>292</v>
      </c>
      <c r="R808" s="2" t="s">
        <v>56</v>
      </c>
      <c r="S808" s="24">
        <f t="shared" si="64"/>
        <v>0.02</v>
      </c>
    </row>
    <row r="809" spans="1:19" x14ac:dyDescent="0.25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>VLOOKUP(F809,'Customer Info'!$A:$B,2,0)</f>
        <v>Adrian</v>
      </c>
      <c r="H809" s="6" t="str">
        <f>VLOOKUP(F809,'Customer Info'!$A$1:$C$501,3,0)</f>
        <v>Barton</v>
      </c>
      <c r="I809" s="6" t="str">
        <f>VLOOKUP(F809,Customer,5,0)</f>
        <v>Zigong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10200</v>
      </c>
      <c r="O809" s="2">
        <v>22</v>
      </c>
      <c r="P809" s="8">
        <f t="shared" si="62"/>
        <v>10222</v>
      </c>
      <c r="Q809" s="8">
        <f t="shared" si="63"/>
        <v>480</v>
      </c>
      <c r="R809" s="2" t="s">
        <v>50</v>
      </c>
      <c r="S809" s="24">
        <f t="shared" si="64"/>
        <v>0.05</v>
      </c>
    </row>
    <row r="810" spans="1:19" x14ac:dyDescent="0.25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>VLOOKUP(F810,'Customer Info'!$A:$B,2,0)</f>
        <v>Michael</v>
      </c>
      <c r="H810" s="6" t="str">
        <f>VLOOKUP(F810,'Customer Info'!$A$1:$C$501,3,0)</f>
        <v>Moore</v>
      </c>
      <c r="I810" s="6" t="str">
        <f>VLOOKUP(F810,Customer,5,0)</f>
        <v>Melbourne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18308</v>
      </c>
      <c r="O810" s="2">
        <v>42</v>
      </c>
      <c r="P810" s="8">
        <f t="shared" si="62"/>
        <v>18350</v>
      </c>
      <c r="Q810" s="8">
        <f t="shared" si="63"/>
        <v>1188</v>
      </c>
      <c r="R810" s="2" t="s">
        <v>50</v>
      </c>
      <c r="S810" s="24">
        <f t="shared" si="64"/>
        <v>0.05</v>
      </c>
    </row>
    <row r="811" spans="1:19" x14ac:dyDescent="0.25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>VLOOKUP(F811,'Customer Info'!$A:$B,2,0)</f>
        <v>Elpida</v>
      </c>
      <c r="H811" s="6" t="str">
        <f>VLOOKUP(F811,'Customer Info'!$A$1:$C$501,3,0)</f>
        <v>Rittenbach</v>
      </c>
      <c r="I811" s="6" t="str">
        <f>VLOOKUP(F811,Customer,5,0)</f>
        <v>Melbourne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3136</v>
      </c>
      <c r="O811" s="2">
        <v>75</v>
      </c>
      <c r="P811" s="8">
        <f t="shared" si="62"/>
        <v>3211</v>
      </c>
      <c r="Q811" s="8">
        <f t="shared" si="63"/>
        <v>146</v>
      </c>
      <c r="R811" s="2" t="s">
        <v>28</v>
      </c>
      <c r="S811" s="24">
        <f t="shared" si="64"/>
        <v>0.02</v>
      </c>
    </row>
    <row r="812" spans="1:19" x14ac:dyDescent="0.25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>VLOOKUP(F812,'Customer Info'!$A:$B,2,0)</f>
        <v>Hunter</v>
      </c>
      <c r="H812" s="6" t="str">
        <f>VLOOKUP(F812,'Customer Info'!$A$1:$C$501,3,0)</f>
        <v>Glantz</v>
      </c>
      <c r="I812" s="6" t="str">
        <f>VLOOKUP(F812,Customer,5,0)</f>
        <v>Panihati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568</v>
      </c>
      <c r="O812" s="2">
        <v>30</v>
      </c>
      <c r="P812" s="8">
        <f t="shared" si="62"/>
        <v>598</v>
      </c>
      <c r="Q812" s="8">
        <f t="shared" si="63"/>
        <v>32</v>
      </c>
      <c r="R812" s="2" t="s">
        <v>50</v>
      </c>
      <c r="S812" s="24">
        <f t="shared" si="64"/>
        <v>0.02</v>
      </c>
    </row>
    <row r="813" spans="1:19" x14ac:dyDescent="0.25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>VLOOKUP(F813,'Customer Info'!$A:$B,2,0)</f>
        <v>Thomas</v>
      </c>
      <c r="H813" s="6" t="str">
        <f>VLOOKUP(F813,'Customer Info'!$A$1:$C$501,3,0)</f>
        <v>Brumley</v>
      </c>
      <c r="I813" s="6" t="str">
        <f>VLOOKUP(F813,Customer,5,0)</f>
        <v>Jinan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1169</v>
      </c>
      <c r="O813" s="2">
        <v>50</v>
      </c>
      <c r="P813" s="8">
        <f t="shared" si="62"/>
        <v>1219</v>
      </c>
      <c r="Q813" s="8">
        <f t="shared" si="63"/>
        <v>97</v>
      </c>
      <c r="R813" s="2" t="s">
        <v>28</v>
      </c>
      <c r="S813" s="24">
        <f t="shared" si="64"/>
        <v>0.02</v>
      </c>
    </row>
    <row r="814" spans="1:19" x14ac:dyDescent="0.25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>VLOOKUP(F814,'Customer Info'!$A:$B,2,0)</f>
        <v>Michelle</v>
      </c>
      <c r="H814" s="6" t="str">
        <f>VLOOKUP(F814,'Customer Info'!$A$1:$C$501,3,0)</f>
        <v>Arnett</v>
      </c>
      <c r="I814" s="6" t="str">
        <f>VLOOKUP(F814,Customer,5,0)</f>
        <v>Palembang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5703</v>
      </c>
      <c r="O814" s="2">
        <v>60</v>
      </c>
      <c r="P814" s="8">
        <f t="shared" si="62"/>
        <v>5763</v>
      </c>
      <c r="Q814" s="8">
        <f t="shared" si="63"/>
        <v>273</v>
      </c>
      <c r="R814" s="2" t="s">
        <v>50</v>
      </c>
      <c r="S814" s="24">
        <f t="shared" si="64"/>
        <v>0.05</v>
      </c>
    </row>
    <row r="815" spans="1:19" x14ac:dyDescent="0.25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>VLOOKUP(F815,'Customer Info'!$A:$B,2,0)</f>
        <v>Alex</v>
      </c>
      <c r="H815" s="6" t="str">
        <f>VLOOKUP(F815,'Customer Info'!$A$1:$C$501,3,0)</f>
        <v>Grayson</v>
      </c>
      <c r="I815" s="6" t="str">
        <f>VLOOKUP(F815,Customer,5,0)</f>
        <v>Anyang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21576</v>
      </c>
      <c r="O815" s="2">
        <v>24</v>
      </c>
      <c r="P815" s="8">
        <f t="shared" si="62"/>
        <v>21600</v>
      </c>
      <c r="Q815" s="8">
        <f t="shared" si="63"/>
        <v>1592</v>
      </c>
      <c r="R815" s="2" t="s">
        <v>50</v>
      </c>
      <c r="S815" s="24">
        <f t="shared" si="64"/>
        <v>0.05</v>
      </c>
    </row>
    <row r="816" spans="1:19" x14ac:dyDescent="0.25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>VLOOKUP(F816,'Customer Info'!$A:$B,2,0)</f>
        <v>Craig</v>
      </c>
      <c r="H816" s="6" t="str">
        <f>VLOOKUP(F816,'Customer Info'!$A$1:$C$501,3,0)</f>
        <v>Carroll</v>
      </c>
      <c r="I816" s="6" t="str">
        <f>VLOOKUP(F816,Customer,5,0)</f>
        <v>Augsburg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11268</v>
      </c>
      <c r="O816" s="2">
        <v>67</v>
      </c>
      <c r="P816" s="8">
        <f t="shared" si="62"/>
        <v>11335</v>
      </c>
      <c r="Q816" s="8">
        <f t="shared" si="63"/>
        <v>528</v>
      </c>
      <c r="R816" s="2" t="s">
        <v>28</v>
      </c>
      <c r="S816" s="24">
        <f t="shared" si="64"/>
        <v>0.05</v>
      </c>
    </row>
    <row r="817" spans="1:19" x14ac:dyDescent="0.25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>VLOOKUP(F817,'Customer Info'!$A:$B,2,0)</f>
        <v>Max</v>
      </c>
      <c r="H817" s="6" t="str">
        <f>VLOOKUP(F817,'Customer Info'!$A$1:$C$501,3,0)</f>
        <v>Jones</v>
      </c>
      <c r="I817" s="6" t="str">
        <f>VLOOKUP(F817,Customer,5,0)</f>
        <v>Yuncheng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540</v>
      </c>
      <c r="O817" s="2">
        <v>10</v>
      </c>
      <c r="P817" s="8">
        <f t="shared" si="62"/>
        <v>550</v>
      </c>
      <c r="Q817" s="8">
        <f t="shared" si="63"/>
        <v>18</v>
      </c>
      <c r="R817" s="2" t="s">
        <v>28</v>
      </c>
      <c r="S817" s="24">
        <f t="shared" si="64"/>
        <v>0.02</v>
      </c>
    </row>
    <row r="818" spans="1:19" x14ac:dyDescent="0.25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>VLOOKUP(F818,'Customer Info'!$A:$B,2,0)</f>
        <v>Tom</v>
      </c>
      <c r="H818" s="6" t="str">
        <f>VLOOKUP(F818,'Customer Info'!$A$1:$C$501,3,0)</f>
        <v>Stivers</v>
      </c>
      <c r="I818" s="6" t="str">
        <f>VLOOKUP(F818,Customer,5,0)</f>
        <v>Guangzhou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2365</v>
      </c>
      <c r="O818" s="2">
        <v>91</v>
      </c>
      <c r="P818" s="8">
        <f t="shared" si="62"/>
        <v>2456</v>
      </c>
      <c r="Q818" s="8">
        <f t="shared" si="63"/>
        <v>133</v>
      </c>
      <c r="R818" s="2" t="s">
        <v>28</v>
      </c>
      <c r="S818" s="24">
        <f t="shared" si="64"/>
        <v>0.02</v>
      </c>
    </row>
    <row r="819" spans="1:19" x14ac:dyDescent="0.25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>VLOOKUP(F819,'Customer Info'!$A:$B,2,0)</f>
        <v>Alice</v>
      </c>
      <c r="H819" s="6" t="str">
        <f>VLOOKUP(F819,'Customer Info'!$A$1:$C$501,3,0)</f>
        <v>McCarthy</v>
      </c>
      <c r="I819" s="6" t="str">
        <f>VLOOKUP(F819,Customer,5,0)</f>
        <v>Berlin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9142</v>
      </c>
      <c r="O819" s="2">
        <v>81</v>
      </c>
      <c r="P819" s="8">
        <f t="shared" si="62"/>
        <v>9223</v>
      </c>
      <c r="Q819" s="8">
        <f t="shared" si="63"/>
        <v>763</v>
      </c>
      <c r="R819" s="2" t="s">
        <v>26</v>
      </c>
      <c r="S819" s="24">
        <f t="shared" si="64"/>
        <v>0.05</v>
      </c>
    </row>
    <row r="820" spans="1:19" x14ac:dyDescent="0.25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>VLOOKUP(F820,'Customer Info'!$A:$B,2,0)</f>
        <v>Peter</v>
      </c>
      <c r="H820" s="6" t="str">
        <f>VLOOKUP(F820,'Customer Info'!$A$1:$C$501,3,0)</f>
        <v>BŸhler</v>
      </c>
      <c r="I820" s="6" t="str">
        <f>VLOOKUP(F820,Customer,5,0)</f>
        <v>Wolfsburg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2379</v>
      </c>
      <c r="O820" s="2">
        <v>64</v>
      </c>
      <c r="P820" s="8">
        <f t="shared" si="62"/>
        <v>2443</v>
      </c>
      <c r="Q820" s="8">
        <f t="shared" si="63"/>
        <v>114</v>
      </c>
      <c r="R820" s="2" t="s">
        <v>50</v>
      </c>
      <c r="S820" s="24">
        <f t="shared" si="64"/>
        <v>0.02</v>
      </c>
    </row>
    <row r="821" spans="1:19" x14ac:dyDescent="0.25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>VLOOKUP(F821,'Customer Info'!$A:$B,2,0)</f>
        <v>Bobby</v>
      </c>
      <c r="H821" s="6" t="str">
        <f>VLOOKUP(F821,'Customer Info'!$A$1:$C$501,3,0)</f>
        <v>Odegard</v>
      </c>
      <c r="I821" s="6" t="str">
        <f>VLOOKUP(F821,Customer,5,0)</f>
        <v>Adelaide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555</v>
      </c>
      <c r="O821" s="2">
        <v>30</v>
      </c>
      <c r="P821" s="8">
        <f t="shared" si="62"/>
        <v>585</v>
      </c>
      <c r="Q821" s="8">
        <f t="shared" si="63"/>
        <v>33</v>
      </c>
      <c r="R821" s="2" t="s">
        <v>26</v>
      </c>
      <c r="S821" s="24">
        <f t="shared" si="64"/>
        <v>0.02</v>
      </c>
    </row>
    <row r="822" spans="1:19" x14ac:dyDescent="0.25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>VLOOKUP(F822,'Customer Info'!$A:$B,2,0)</f>
        <v>Ann</v>
      </c>
      <c r="H822" s="6" t="str">
        <f>VLOOKUP(F822,'Customer Info'!$A$1:$C$501,3,0)</f>
        <v>Chong</v>
      </c>
      <c r="I822" s="6" t="str">
        <f>VLOOKUP(F822,Customer,5,0)</f>
        <v>Sydney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19901</v>
      </c>
      <c r="O822" s="2">
        <v>80</v>
      </c>
      <c r="P822" s="8">
        <f t="shared" si="62"/>
        <v>19981</v>
      </c>
      <c r="Q822" s="8">
        <f t="shared" si="63"/>
        <v>756</v>
      </c>
      <c r="R822" s="2" t="s">
        <v>50</v>
      </c>
      <c r="S822" s="24">
        <f t="shared" si="64"/>
        <v>0.05</v>
      </c>
    </row>
    <row r="823" spans="1:19" x14ac:dyDescent="0.25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>VLOOKUP(F823,'Customer Info'!$A:$B,2,0)</f>
        <v>Mitch</v>
      </c>
      <c r="H823" s="6" t="str">
        <f>VLOOKUP(F823,'Customer Info'!$A$1:$C$501,3,0)</f>
        <v>Willingham</v>
      </c>
      <c r="I823" s="6" t="str">
        <f>VLOOKUP(F823,Customer,5,0)</f>
        <v>Berlin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366</v>
      </c>
      <c r="O823" s="2">
        <v>30</v>
      </c>
      <c r="P823" s="8">
        <f t="shared" si="62"/>
        <v>396</v>
      </c>
      <c r="Q823" s="8">
        <f t="shared" si="63"/>
        <v>22</v>
      </c>
      <c r="R823" s="2" t="s">
        <v>50</v>
      </c>
      <c r="S823" s="24">
        <f t="shared" si="64"/>
        <v>0.02</v>
      </c>
    </row>
    <row r="824" spans="1:19" x14ac:dyDescent="0.25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>VLOOKUP(F824,'Customer Info'!$A:$B,2,0)</f>
        <v>Magdelene</v>
      </c>
      <c r="H824" s="6" t="str">
        <f>VLOOKUP(F824,'Customer Info'!$A$1:$C$501,3,0)</f>
        <v>Morse</v>
      </c>
      <c r="I824" s="6" t="str">
        <f>VLOOKUP(F824,Customer,5,0)</f>
        <v>Berlin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2250</v>
      </c>
      <c r="O824" s="2">
        <v>29</v>
      </c>
      <c r="P824" s="8">
        <f t="shared" si="62"/>
        <v>2279</v>
      </c>
      <c r="Q824" s="8">
        <f t="shared" si="63"/>
        <v>170</v>
      </c>
      <c r="R824" s="2" t="s">
        <v>28</v>
      </c>
      <c r="S824" s="24">
        <f t="shared" si="64"/>
        <v>0.02</v>
      </c>
    </row>
    <row r="825" spans="1:19" x14ac:dyDescent="0.25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>VLOOKUP(F825,'Customer Info'!$A:$B,2,0)</f>
        <v>Lisa</v>
      </c>
      <c r="H825" s="6" t="str">
        <f>VLOOKUP(F825,'Customer Info'!$A$1:$C$501,3,0)</f>
        <v>Ryan</v>
      </c>
      <c r="I825" s="6" t="str">
        <f>VLOOKUP(F825,Customer,5,0)</f>
        <v>Berlin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4412</v>
      </c>
      <c r="O825" s="2">
        <v>92</v>
      </c>
      <c r="P825" s="8">
        <f t="shared" si="62"/>
        <v>4504</v>
      </c>
      <c r="Q825" s="8">
        <f t="shared" si="63"/>
        <v>292</v>
      </c>
      <c r="R825" s="2" t="s">
        <v>28</v>
      </c>
      <c r="S825" s="24">
        <f t="shared" si="64"/>
        <v>0.02</v>
      </c>
    </row>
    <row r="826" spans="1:19" x14ac:dyDescent="0.25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>VLOOKUP(F826,'Customer Info'!$A:$B,2,0)</f>
        <v>Maureen</v>
      </c>
      <c r="H826" s="6" t="str">
        <f>VLOOKUP(F826,'Customer Info'!$A$1:$C$501,3,0)</f>
        <v>Gastineau</v>
      </c>
      <c r="I826" s="6" t="str">
        <f>VLOOKUP(F826,Customer,5,0)</f>
        <v>Melton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8972</v>
      </c>
      <c r="O826" s="2">
        <v>20</v>
      </c>
      <c r="P826" s="8">
        <f t="shared" si="62"/>
        <v>8992</v>
      </c>
      <c r="Q826" s="8">
        <f t="shared" si="63"/>
        <v>972</v>
      </c>
      <c r="R826" s="2" t="s">
        <v>26</v>
      </c>
      <c r="S826" s="24">
        <f t="shared" si="64"/>
        <v>0.05</v>
      </c>
    </row>
    <row r="827" spans="1:19" x14ac:dyDescent="0.25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>VLOOKUP(F827,'Customer Info'!$A:$B,2,0)</f>
        <v>Harold</v>
      </c>
      <c r="H827" s="6" t="str">
        <f>VLOOKUP(F827,'Customer Info'!$A$1:$C$501,3,0)</f>
        <v>Pawlan</v>
      </c>
      <c r="I827" s="6" t="str">
        <f>VLOOKUP(F827,Customer,5,0)</f>
        <v>Banda Aceh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555</v>
      </c>
      <c r="O827" s="2">
        <v>30</v>
      </c>
      <c r="P827" s="8">
        <f t="shared" si="62"/>
        <v>585</v>
      </c>
      <c r="Q827" s="8">
        <f t="shared" si="63"/>
        <v>42</v>
      </c>
      <c r="R827" s="2" t="s">
        <v>28</v>
      </c>
      <c r="S827" s="24">
        <f t="shared" si="64"/>
        <v>0.02</v>
      </c>
    </row>
    <row r="828" spans="1:19" x14ac:dyDescent="0.25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>VLOOKUP(F828,'Customer Info'!$A:$B,2,0)</f>
        <v>Jason</v>
      </c>
      <c r="H828" s="6" t="str">
        <f>VLOOKUP(F828,'Customer Info'!$A$1:$C$501,3,0)</f>
        <v>Gross</v>
      </c>
      <c r="I828" s="6" t="str">
        <f>VLOOKUP(F828,Customer,5,0)</f>
        <v>Sydney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4784</v>
      </c>
      <c r="O828" s="2">
        <v>32</v>
      </c>
      <c r="P828" s="8">
        <f t="shared" si="62"/>
        <v>4816</v>
      </c>
      <c r="Q828" s="8">
        <f t="shared" si="63"/>
        <v>266</v>
      </c>
      <c r="R828" s="2" t="s">
        <v>50</v>
      </c>
      <c r="S828" s="24">
        <f t="shared" si="64"/>
        <v>0.02</v>
      </c>
    </row>
    <row r="829" spans="1:19" x14ac:dyDescent="0.25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>VLOOKUP(F829,'Customer Info'!$A:$B,2,0)</f>
        <v>Meg</v>
      </c>
      <c r="H829" s="6" t="str">
        <f>VLOOKUP(F829,'Customer Info'!$A$1:$C$501,3,0)</f>
        <v>Tillman</v>
      </c>
      <c r="I829" s="6" t="str">
        <f>VLOOKUP(F829,Customer,5,0)</f>
        <v>Melbourne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6048</v>
      </c>
      <c r="O829" s="2">
        <v>93</v>
      </c>
      <c r="P829" s="8">
        <f t="shared" si="62"/>
        <v>6141</v>
      </c>
      <c r="Q829" s="8">
        <f t="shared" si="63"/>
        <v>60</v>
      </c>
      <c r="R829" s="2" t="s">
        <v>26</v>
      </c>
      <c r="S829" s="24">
        <f t="shared" si="64"/>
        <v>0.05</v>
      </c>
    </row>
    <row r="830" spans="1:19" x14ac:dyDescent="0.25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>VLOOKUP(F830,'Customer Info'!$A:$B,2,0)</f>
        <v>Eric</v>
      </c>
      <c r="H830" s="6" t="str">
        <f>VLOOKUP(F830,'Customer Info'!$A$1:$C$501,3,0)</f>
        <v>Barreto</v>
      </c>
      <c r="I830" s="6" t="str">
        <f>VLOOKUP(F830,Customer,5,0)</f>
        <v>Liaoyang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4784</v>
      </c>
      <c r="O830" s="2">
        <v>26</v>
      </c>
      <c r="P830" s="8">
        <f t="shared" si="62"/>
        <v>4810</v>
      </c>
      <c r="Q830" s="8">
        <f t="shared" si="63"/>
        <v>266</v>
      </c>
      <c r="R830" s="2" t="s">
        <v>26</v>
      </c>
      <c r="S830" s="24">
        <f t="shared" si="64"/>
        <v>0.02</v>
      </c>
    </row>
    <row r="831" spans="1:19" x14ac:dyDescent="0.25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>VLOOKUP(F831,'Customer Info'!$A:$B,2,0)</f>
        <v>John</v>
      </c>
      <c r="H831" s="6" t="str">
        <f>VLOOKUP(F831,'Customer Info'!$A$1:$C$501,3,0)</f>
        <v>Castell</v>
      </c>
      <c r="I831" s="6" t="str">
        <f>VLOOKUP(F831,Customer,5,0)</f>
        <v>Jakarta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254</v>
      </c>
      <c r="O831" s="2">
        <v>30</v>
      </c>
      <c r="P831" s="8">
        <f t="shared" si="62"/>
        <v>284</v>
      </c>
      <c r="Q831" s="8">
        <f t="shared" si="63"/>
        <v>22</v>
      </c>
      <c r="R831" s="2" t="s">
        <v>56</v>
      </c>
      <c r="S831" s="24">
        <f t="shared" si="64"/>
        <v>0.02</v>
      </c>
    </row>
    <row r="832" spans="1:19" x14ac:dyDescent="0.25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>VLOOKUP(F832,'Customer Info'!$A:$B,2,0)</f>
        <v>Alan</v>
      </c>
      <c r="H832" s="6" t="str">
        <f>VLOOKUP(F832,'Customer Info'!$A$1:$C$501,3,0)</f>
        <v>Shonely</v>
      </c>
      <c r="I832" s="6" t="str">
        <f>VLOOKUP(F832,Customer,5,0)</f>
        <v>Canberra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18036</v>
      </c>
      <c r="O832" s="2">
        <v>82</v>
      </c>
      <c r="P832" s="8">
        <f t="shared" si="62"/>
        <v>18118</v>
      </c>
      <c r="Q832" s="8">
        <f t="shared" si="63"/>
        <v>1005</v>
      </c>
      <c r="R832" s="2" t="s">
        <v>28</v>
      </c>
      <c r="S832" s="24">
        <f t="shared" si="64"/>
        <v>0.05</v>
      </c>
    </row>
    <row r="833" spans="1:19" x14ac:dyDescent="0.25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>VLOOKUP(F833,'Customer Info'!$A:$B,2,0)</f>
        <v>Lynn</v>
      </c>
      <c r="H833" s="6" t="str">
        <f>VLOOKUP(F833,'Customer Info'!$A$1:$C$501,3,0)</f>
        <v>Smith</v>
      </c>
      <c r="I833" s="6" t="str">
        <f>VLOOKUP(F833,Customer,5,0)</f>
        <v>Guiping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43095</v>
      </c>
      <c r="O833" s="2">
        <v>58</v>
      </c>
      <c r="P833" s="8">
        <f t="shared" si="62"/>
        <v>43153</v>
      </c>
      <c r="Q833" s="8">
        <f t="shared" si="63"/>
        <v>4300</v>
      </c>
      <c r="R833" s="2" t="s">
        <v>56</v>
      </c>
      <c r="S833" s="24">
        <f t="shared" si="64"/>
        <v>7.0000000000000007E-2</v>
      </c>
    </row>
    <row r="834" spans="1:19" x14ac:dyDescent="0.25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>VLOOKUP(F834,'Customer Info'!$A:$B,2,0)</f>
        <v>Liz</v>
      </c>
      <c r="H834" s="6" t="str">
        <f>VLOOKUP(F834,'Customer Info'!$A$1:$C$501,3,0)</f>
        <v>Pelletier</v>
      </c>
      <c r="I834" s="6" t="str">
        <f>VLOOKUP(F834,Customer,5,0)</f>
        <v>Zigong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12896</v>
      </c>
      <c r="O834" s="2">
        <v>48</v>
      </c>
      <c r="P834" s="8">
        <f t="shared" si="62"/>
        <v>12944</v>
      </c>
      <c r="Q834" s="8">
        <f t="shared" si="63"/>
        <v>1292</v>
      </c>
      <c r="R834" s="2" t="s">
        <v>28</v>
      </c>
      <c r="S834" s="24">
        <f t="shared" si="64"/>
        <v>0.05</v>
      </c>
    </row>
    <row r="835" spans="1:19" x14ac:dyDescent="0.25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>VLOOKUP(F835,'Customer Info'!$A:$B,2,0)</f>
        <v>Olvera</v>
      </c>
      <c r="H835" s="6" t="str">
        <f>VLOOKUP(F835,'Customer Info'!$A$1:$C$501,3,0)</f>
        <v>Toch</v>
      </c>
      <c r="I835" s="6" t="str">
        <f>VLOOKUP(F835,Customer,5,0)</f>
        <v>Wollongong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1601</v>
      </c>
      <c r="O835" s="2">
        <v>95</v>
      </c>
      <c r="P835" s="8">
        <f t="shared" si="62"/>
        <v>1696</v>
      </c>
      <c r="Q835" s="8">
        <f t="shared" si="63"/>
        <v>91</v>
      </c>
      <c r="R835" s="2" t="s">
        <v>50</v>
      </c>
      <c r="S835" s="24">
        <f t="shared" si="64"/>
        <v>0.02</v>
      </c>
    </row>
    <row r="836" spans="1:19" x14ac:dyDescent="0.25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>VLOOKUP(F836,'Customer Info'!$A:$B,2,0)</f>
        <v>Logan</v>
      </c>
      <c r="H836" s="6" t="str">
        <f>VLOOKUP(F836,'Customer Info'!$A$1:$C$501,3,0)</f>
        <v>Currie</v>
      </c>
      <c r="I836" s="6" t="str">
        <f>VLOOKUP(F836,Customer,5,0)</f>
        <v>Gold Coast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290</v>
      </c>
      <c r="O836" s="2">
        <v>30</v>
      </c>
      <c r="P836" s="8">
        <f t="shared" si="62"/>
        <v>320</v>
      </c>
      <c r="Q836" s="8">
        <f t="shared" si="63"/>
        <v>30</v>
      </c>
      <c r="R836" s="2" t="s">
        <v>28</v>
      </c>
      <c r="S836" s="24">
        <f t="shared" si="64"/>
        <v>0.02</v>
      </c>
    </row>
    <row r="837" spans="1:19" x14ac:dyDescent="0.25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>VLOOKUP(F837,'Customer Info'!$A:$B,2,0)</f>
        <v>Laurel</v>
      </c>
      <c r="H837" s="6" t="str">
        <f>VLOOKUP(F837,'Customer Info'!$A$1:$C$501,3,0)</f>
        <v>Workman</v>
      </c>
      <c r="I837" s="6" t="str">
        <f>VLOOKUP(F837,Customer,5,0)</f>
        <v>Leipzig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12498</v>
      </c>
      <c r="O837" s="2">
        <v>33</v>
      </c>
      <c r="P837" s="8">
        <f t="shared" si="62"/>
        <v>12531</v>
      </c>
      <c r="Q837" s="8">
        <f t="shared" si="63"/>
        <v>474</v>
      </c>
      <c r="R837" s="2" t="s">
        <v>28</v>
      </c>
      <c r="S837" s="24">
        <f t="shared" si="64"/>
        <v>0.05</v>
      </c>
    </row>
    <row r="838" spans="1:19" x14ac:dyDescent="0.25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>VLOOKUP(F838,'Customer Info'!$A:$B,2,0)</f>
        <v>Brooke</v>
      </c>
      <c r="H838" s="6" t="str">
        <f>VLOOKUP(F838,'Customer Info'!$A$1:$C$501,3,0)</f>
        <v>Gillingham</v>
      </c>
      <c r="I838" s="6" t="str">
        <f>VLOOKUP(F838,Customer,5,0)</f>
        <v>Geraldton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9506</v>
      </c>
      <c r="O838" s="2">
        <v>70</v>
      </c>
      <c r="P838" s="8">
        <f t="shared" si="62"/>
        <v>9576</v>
      </c>
      <c r="Q838" s="8">
        <f t="shared" si="63"/>
        <v>448</v>
      </c>
      <c r="R838" s="2" t="s">
        <v>28</v>
      </c>
      <c r="S838" s="24">
        <f t="shared" si="64"/>
        <v>0.05</v>
      </c>
    </row>
    <row r="839" spans="1:19" x14ac:dyDescent="0.25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>VLOOKUP(F839,'Customer Info'!$A:$B,2,0)</f>
        <v>Brad</v>
      </c>
      <c r="H839" s="6" t="str">
        <f>VLOOKUP(F839,'Customer Info'!$A$1:$C$501,3,0)</f>
        <v>Eason</v>
      </c>
      <c r="I839" s="6" t="str">
        <f>VLOOKUP(F839,Customer,5,0)</f>
        <v>Oberhausen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8723</v>
      </c>
      <c r="O839" s="2">
        <v>85</v>
      </c>
      <c r="P839" s="8">
        <f t="shared" si="62"/>
        <v>8808</v>
      </c>
      <c r="Q839" s="8">
        <f t="shared" si="63"/>
        <v>418</v>
      </c>
      <c r="R839" s="2" t="s">
        <v>28</v>
      </c>
      <c r="S839" s="24">
        <f t="shared" si="64"/>
        <v>0.05</v>
      </c>
    </row>
    <row r="840" spans="1:19" x14ac:dyDescent="0.25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>VLOOKUP(F840,'Customer Info'!$A:$B,2,0)</f>
        <v>Brad</v>
      </c>
      <c r="H840" s="6" t="str">
        <f>VLOOKUP(F840,'Customer Info'!$A$1:$C$501,3,0)</f>
        <v>Eason</v>
      </c>
      <c r="I840" s="6" t="str">
        <f>VLOOKUP(F840,Customer,5,0)</f>
        <v>Bogor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4974</v>
      </c>
      <c r="O840" s="2">
        <v>87</v>
      </c>
      <c r="P840" s="8">
        <f t="shared" si="62"/>
        <v>5061</v>
      </c>
      <c r="Q840" s="8">
        <f t="shared" si="63"/>
        <v>408</v>
      </c>
      <c r="R840" s="2" t="s">
        <v>28</v>
      </c>
      <c r="S840" s="24">
        <f t="shared" si="64"/>
        <v>0.02</v>
      </c>
    </row>
    <row r="841" spans="1:19" x14ac:dyDescent="0.25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>VLOOKUP(F841,'Customer Info'!$A:$B,2,0)</f>
        <v>Toby</v>
      </c>
      <c r="H841" s="6" t="str">
        <f>VLOOKUP(F841,'Customer Info'!$A$1:$C$501,3,0)</f>
        <v>Gnade</v>
      </c>
      <c r="I841" s="6" t="str">
        <f>VLOOKUP(F841,Customer,5,0)</f>
        <v>Bhopal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26048</v>
      </c>
      <c r="O841" s="2">
        <v>96</v>
      </c>
      <c r="P841" s="8">
        <f t="shared" si="62"/>
        <v>26144</v>
      </c>
      <c r="Q841" s="8">
        <f t="shared" si="63"/>
        <v>1696</v>
      </c>
      <c r="R841" s="2" t="s">
        <v>56</v>
      </c>
      <c r="S841" s="24">
        <f t="shared" si="64"/>
        <v>7.0000000000000007E-2</v>
      </c>
    </row>
    <row r="842" spans="1:19" x14ac:dyDescent="0.25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>VLOOKUP(F842,'Customer Info'!$A:$B,2,0)</f>
        <v>Brian</v>
      </c>
      <c r="H842" s="6" t="str">
        <f>VLOOKUP(F842,'Customer Info'!$A$1:$C$501,3,0)</f>
        <v>Stugart</v>
      </c>
      <c r="I842" s="6" t="str">
        <f>VLOOKUP(F842,Customer,5,0)</f>
        <v>Jakarta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2829</v>
      </c>
      <c r="O842" s="2">
        <v>20</v>
      </c>
      <c r="P842" s="8">
        <f t="shared" si="62"/>
        <v>2849</v>
      </c>
      <c r="Q842" s="8">
        <f t="shared" si="63"/>
        <v>233</v>
      </c>
      <c r="R842" s="2" t="s">
        <v>50</v>
      </c>
      <c r="S842" s="24">
        <f t="shared" si="64"/>
        <v>0.02</v>
      </c>
    </row>
    <row r="843" spans="1:19" x14ac:dyDescent="0.25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>VLOOKUP(F843,'Customer Info'!$A:$B,2,0)</f>
        <v>Sarah</v>
      </c>
      <c r="H843" s="6" t="str">
        <f>VLOOKUP(F843,'Customer Info'!$A$1:$C$501,3,0)</f>
        <v>Foster</v>
      </c>
      <c r="I843" s="6" t="str">
        <f>VLOOKUP(F843,Customer,5,0)</f>
        <v>Xianning</v>
      </c>
      <c r="J843" s="2">
        <v>288</v>
      </c>
      <c r="K843" s="2">
        <v>264</v>
      </c>
      <c r="L843" s="2">
        <v>3</v>
      </c>
      <c r="M843" s="7">
        <f t="shared" ref="M843:M906" si="65">K843*L843</f>
        <v>792</v>
      </c>
      <c r="N843" s="7">
        <f t="shared" ref="N843:N906" si="66">J843*L843</f>
        <v>864</v>
      </c>
      <c r="O843" s="2">
        <v>65</v>
      </c>
      <c r="P843" s="8">
        <f t="shared" ref="P843:P906" si="67">N843+O843</f>
        <v>929</v>
      </c>
      <c r="Q843" s="8">
        <f t="shared" ref="Q843:Q906" si="68">N843-M843</f>
        <v>72</v>
      </c>
      <c r="R843" s="2" t="s">
        <v>28</v>
      </c>
      <c r="S843" s="24">
        <f t="shared" ref="S843:S906" si="69">VLOOKUP(N843,$T$1:$U$7,2,TRUE)</f>
        <v>0.02</v>
      </c>
    </row>
    <row r="844" spans="1:19" x14ac:dyDescent="0.25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>VLOOKUP(F844,'Customer Info'!$A:$B,2,0)</f>
        <v>Patricia</v>
      </c>
      <c r="H844" s="6" t="str">
        <f>VLOOKUP(F844,'Customer Info'!$A$1:$C$501,3,0)</f>
        <v>Hirasaki</v>
      </c>
      <c r="I844" s="6" t="str">
        <f>VLOOKUP(F844,Customer,5,0)</f>
        <v>Pimpri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8">
        <f t="shared" si="67"/>
        <v>11917</v>
      </c>
      <c r="Q844" s="8">
        <f t="shared" si="68"/>
        <v>990</v>
      </c>
      <c r="R844" s="2" t="s">
        <v>28</v>
      </c>
      <c r="S844" s="24">
        <f t="shared" si="69"/>
        <v>0.05</v>
      </c>
    </row>
    <row r="845" spans="1:19" x14ac:dyDescent="0.25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>VLOOKUP(F845,'Customer Info'!$A:$B,2,0)</f>
        <v>Duane</v>
      </c>
      <c r="H845" s="6" t="str">
        <f>VLOOKUP(F845,'Customer Info'!$A$1:$C$501,3,0)</f>
        <v>Huffman</v>
      </c>
      <c r="I845" s="6" t="str">
        <f>VLOOKUP(F845,Customer,5,0)</f>
        <v>Jakarta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8">
        <f t="shared" si="67"/>
        <v>4951</v>
      </c>
      <c r="Q845" s="8">
        <f t="shared" si="68"/>
        <v>234</v>
      </c>
      <c r="R845" s="2" t="s">
        <v>28</v>
      </c>
      <c r="S845" s="24">
        <f t="shared" si="69"/>
        <v>0.02</v>
      </c>
    </row>
    <row r="846" spans="1:19" x14ac:dyDescent="0.25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>VLOOKUP(F846,'Customer Info'!$A:$B,2,0)</f>
        <v>Natalie</v>
      </c>
      <c r="H846" s="6" t="str">
        <f>VLOOKUP(F846,'Customer Info'!$A$1:$C$501,3,0)</f>
        <v>Webber</v>
      </c>
      <c r="I846" s="6" t="str">
        <f>VLOOKUP(F846,Customer,5,0)</f>
        <v>Ningbo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8">
        <f t="shared" si="67"/>
        <v>9789</v>
      </c>
      <c r="Q846" s="8">
        <f t="shared" si="68"/>
        <v>552</v>
      </c>
      <c r="R846" s="2" t="s">
        <v>50</v>
      </c>
      <c r="S846" s="24">
        <f t="shared" si="69"/>
        <v>0.05</v>
      </c>
    </row>
    <row r="847" spans="1:19" x14ac:dyDescent="0.25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>VLOOKUP(F847,'Customer Info'!$A:$B,2,0)</f>
        <v>Cyra</v>
      </c>
      <c r="H847" s="6" t="str">
        <f>VLOOKUP(F847,'Customer Info'!$A$1:$C$501,3,0)</f>
        <v>Reiten</v>
      </c>
      <c r="I847" s="6" t="str">
        <f>VLOOKUP(F847,Customer,5,0)</f>
        <v>Srinagar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8">
        <f t="shared" si="67"/>
        <v>54640</v>
      </c>
      <c r="Q847" s="8">
        <f t="shared" si="68"/>
        <v>522</v>
      </c>
      <c r="R847" s="2" t="s">
        <v>28</v>
      </c>
      <c r="S847" s="24">
        <f t="shared" si="69"/>
        <v>0.09</v>
      </c>
    </row>
    <row r="848" spans="1:19" x14ac:dyDescent="0.25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>VLOOKUP(F848,'Customer Info'!$A:$B,2,0)</f>
        <v>Ed</v>
      </c>
      <c r="H848" s="6" t="str">
        <f>VLOOKUP(F848,'Customer Info'!$A$1:$C$501,3,0)</f>
        <v>Braxton</v>
      </c>
      <c r="I848" s="6" t="str">
        <f>VLOOKUP(F848,Customer,5,0)</f>
        <v>Bhatpara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1568</v>
      </c>
      <c r="O848" s="2">
        <v>86</v>
      </c>
      <c r="P848" s="8">
        <f t="shared" si="67"/>
        <v>1654</v>
      </c>
      <c r="Q848" s="8">
        <f t="shared" si="68"/>
        <v>73</v>
      </c>
      <c r="R848" s="2" t="s">
        <v>28</v>
      </c>
      <c r="S848" s="24">
        <f t="shared" si="69"/>
        <v>0.02</v>
      </c>
    </row>
    <row r="849" spans="1:19" x14ac:dyDescent="0.25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>VLOOKUP(F849,'Customer Info'!$A:$B,2,0)</f>
        <v>Darren</v>
      </c>
      <c r="H849" s="6" t="str">
        <f>VLOOKUP(F849,'Customer Info'!$A$1:$C$501,3,0)</f>
        <v>Koutras</v>
      </c>
      <c r="I849" s="6" t="str">
        <f>VLOOKUP(F849,Customer,5,0)</f>
        <v>Pune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13222</v>
      </c>
      <c r="O849" s="2">
        <v>99</v>
      </c>
      <c r="P849" s="8">
        <f t="shared" si="67"/>
        <v>13321</v>
      </c>
      <c r="Q849" s="8">
        <f t="shared" si="68"/>
        <v>1336</v>
      </c>
      <c r="R849" s="2" t="s">
        <v>50</v>
      </c>
      <c r="S849" s="24">
        <f t="shared" si="69"/>
        <v>0.05</v>
      </c>
    </row>
    <row r="850" spans="1:19" x14ac:dyDescent="0.25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>VLOOKUP(F850,'Customer Info'!$A:$B,2,0)</f>
        <v>Rick</v>
      </c>
      <c r="H850" s="6" t="str">
        <f>VLOOKUP(F850,'Customer Info'!$A$1:$C$501,3,0)</f>
        <v>Reed</v>
      </c>
      <c r="I850" s="6" t="str">
        <f>VLOOKUP(F850,Customer,5,0)</f>
        <v>Lucknow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</v>
      </c>
      <c r="O850" s="2">
        <v>46</v>
      </c>
      <c r="P850" s="8">
        <f t="shared" si="67"/>
        <v>4532</v>
      </c>
      <c r="Q850" s="8">
        <f t="shared" si="68"/>
        <v>486</v>
      </c>
      <c r="R850" s="2" t="s">
        <v>28</v>
      </c>
      <c r="S850" s="24">
        <f t="shared" si="69"/>
        <v>0.02</v>
      </c>
    </row>
    <row r="851" spans="1:19" x14ac:dyDescent="0.25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>VLOOKUP(F851,'Customer Info'!$A:$B,2,0)</f>
        <v>Brad</v>
      </c>
      <c r="H851" s="6" t="str">
        <f>VLOOKUP(F851,'Customer Info'!$A$1:$C$501,3,0)</f>
        <v>Thomas</v>
      </c>
      <c r="I851" s="6" t="str">
        <f>VLOOKUP(F851,Customer,5,0)</f>
        <v>Udaipur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2996</v>
      </c>
      <c r="O851" s="2">
        <v>54</v>
      </c>
      <c r="P851" s="8">
        <f t="shared" si="67"/>
        <v>3050</v>
      </c>
      <c r="Q851" s="8">
        <f t="shared" si="68"/>
        <v>326</v>
      </c>
      <c r="R851" s="2" t="s">
        <v>28</v>
      </c>
      <c r="S851" s="24">
        <f t="shared" si="69"/>
        <v>0.02</v>
      </c>
    </row>
    <row r="852" spans="1:19" x14ac:dyDescent="0.25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>VLOOKUP(F852,'Customer Info'!$A:$B,2,0)</f>
        <v>Gary</v>
      </c>
      <c r="H852" s="6" t="str">
        <f>VLOOKUP(F852,'Customer Info'!$A$1:$C$501,3,0)</f>
        <v>Mitchum</v>
      </c>
      <c r="I852" s="6" t="str">
        <f>VLOOKUP(F852,Customer,5,0)</f>
        <v>Mildura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294</v>
      </c>
      <c r="O852" s="2">
        <v>30</v>
      </c>
      <c r="P852" s="8">
        <f t="shared" si="67"/>
        <v>324</v>
      </c>
      <c r="Q852" s="8">
        <f t="shared" si="68"/>
        <v>18</v>
      </c>
      <c r="R852" s="2" t="s">
        <v>28</v>
      </c>
      <c r="S852" s="24">
        <f t="shared" si="69"/>
        <v>0.02</v>
      </c>
    </row>
    <row r="853" spans="1:19" x14ac:dyDescent="0.25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>VLOOKUP(F853,'Customer Info'!$A:$B,2,0)</f>
        <v>Jessica</v>
      </c>
      <c r="H853" s="6" t="str">
        <f>VLOOKUP(F853,'Customer Info'!$A$1:$C$501,3,0)</f>
        <v>Myrick</v>
      </c>
      <c r="I853" s="6" t="str">
        <f>VLOOKUP(F853,Customer,5,0)</f>
        <v>Krefeld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498</v>
      </c>
      <c r="O853" s="2">
        <v>30</v>
      </c>
      <c r="P853" s="8">
        <f t="shared" si="67"/>
        <v>528</v>
      </c>
      <c r="Q853" s="8">
        <f t="shared" si="68"/>
        <v>51</v>
      </c>
      <c r="R853" s="2" t="s">
        <v>28</v>
      </c>
      <c r="S853" s="24">
        <f t="shared" si="69"/>
        <v>0.02</v>
      </c>
    </row>
    <row r="854" spans="1:19" x14ac:dyDescent="0.25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>VLOOKUP(F854,'Customer Info'!$A:$B,2,0)</f>
        <v>Robert</v>
      </c>
      <c r="H854" s="6" t="str">
        <f>VLOOKUP(F854,'Customer Info'!$A$1:$C$501,3,0)</f>
        <v>Waldorf</v>
      </c>
      <c r="I854" s="6" t="str">
        <f>VLOOKUP(F854,Customer,5,0)</f>
        <v>Emden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3456</v>
      </c>
      <c r="O854" s="2">
        <v>87</v>
      </c>
      <c r="P854" s="8">
        <f t="shared" si="67"/>
        <v>3543</v>
      </c>
      <c r="Q854" s="8">
        <f t="shared" si="68"/>
        <v>288</v>
      </c>
      <c r="R854" s="2" t="s">
        <v>28</v>
      </c>
      <c r="S854" s="24">
        <f t="shared" si="69"/>
        <v>0.02</v>
      </c>
    </row>
    <row r="855" spans="1:19" x14ac:dyDescent="0.25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>VLOOKUP(F855,'Customer Info'!$A:$B,2,0)</f>
        <v>Ben</v>
      </c>
      <c r="H855" s="6" t="str">
        <f>VLOOKUP(F855,'Customer Info'!$A$1:$C$501,3,0)</f>
        <v>Wallace</v>
      </c>
      <c r="I855" s="6" t="str">
        <f>VLOOKUP(F855,Customer,5,0)</f>
        <v>Shanghai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20103</v>
      </c>
      <c r="O855" s="2">
        <v>72</v>
      </c>
      <c r="P855" s="8">
        <f t="shared" si="67"/>
        <v>20175</v>
      </c>
      <c r="Q855" s="8">
        <f t="shared" si="68"/>
        <v>951</v>
      </c>
      <c r="R855" s="2" t="s">
        <v>50</v>
      </c>
      <c r="S855" s="24">
        <f t="shared" si="69"/>
        <v>0.05</v>
      </c>
    </row>
    <row r="856" spans="1:19" x14ac:dyDescent="0.25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>VLOOKUP(F856,'Customer Info'!$A:$B,2,0)</f>
        <v>Darren</v>
      </c>
      <c r="H856" s="6" t="str">
        <f>VLOOKUP(F856,'Customer Info'!$A$1:$C$501,3,0)</f>
        <v>Budd</v>
      </c>
      <c r="I856" s="6" t="str">
        <f>VLOOKUP(F856,Customer,5,0)</f>
        <v>Regensburg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393</v>
      </c>
      <c r="O856" s="2">
        <v>21</v>
      </c>
      <c r="P856" s="8">
        <f t="shared" si="67"/>
        <v>414</v>
      </c>
      <c r="Q856" s="8">
        <f t="shared" si="68"/>
        <v>19</v>
      </c>
      <c r="R856" s="2" t="s">
        <v>28</v>
      </c>
      <c r="S856" s="24">
        <f t="shared" si="69"/>
        <v>0.02</v>
      </c>
    </row>
    <row r="857" spans="1:19" x14ac:dyDescent="0.25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>VLOOKUP(F857,'Customer Info'!$A:$B,2,0)</f>
        <v>Philisse</v>
      </c>
      <c r="H857" s="6" t="str">
        <f>VLOOKUP(F857,'Customer Info'!$A$1:$C$501,3,0)</f>
        <v>Overcash</v>
      </c>
      <c r="I857" s="6" t="str">
        <f>VLOOKUP(F857,Customer,5,0)</f>
        <v>Devonport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14712</v>
      </c>
      <c r="O857" s="2">
        <v>82</v>
      </c>
      <c r="P857" s="8">
        <f t="shared" si="67"/>
        <v>14794</v>
      </c>
      <c r="Q857" s="8">
        <f t="shared" si="68"/>
        <v>1215</v>
      </c>
      <c r="R857" s="2" t="s">
        <v>28</v>
      </c>
      <c r="S857" s="24">
        <f t="shared" si="69"/>
        <v>0.05</v>
      </c>
    </row>
    <row r="858" spans="1:19" x14ac:dyDescent="0.25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>VLOOKUP(F858,'Customer Info'!$A:$B,2,0)</f>
        <v>Vivek</v>
      </c>
      <c r="H858" s="6" t="str">
        <f>VLOOKUP(F858,'Customer Info'!$A$1:$C$501,3,0)</f>
        <v>Gonzalez</v>
      </c>
      <c r="I858" s="6" t="str">
        <f>VLOOKUP(F858,Customer,5,0)</f>
        <v>Nanyang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546</v>
      </c>
      <c r="O858" s="2">
        <v>10</v>
      </c>
      <c r="P858" s="8">
        <f t="shared" si="67"/>
        <v>556</v>
      </c>
      <c r="Q858" s="8">
        <f t="shared" si="68"/>
        <v>28</v>
      </c>
      <c r="R858" s="2" t="s">
        <v>28</v>
      </c>
      <c r="S858" s="24">
        <f t="shared" si="69"/>
        <v>0.02</v>
      </c>
    </row>
    <row r="859" spans="1:19" x14ac:dyDescent="0.25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>VLOOKUP(F859,'Customer Info'!$A:$B,2,0)</f>
        <v>David</v>
      </c>
      <c r="H859" s="6" t="str">
        <f>VLOOKUP(F859,'Customer Info'!$A$1:$C$501,3,0)</f>
        <v>Smith</v>
      </c>
      <c r="I859" s="6" t="str">
        <f>VLOOKUP(F859,Customer,5,0)</f>
        <v>Surat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189</v>
      </c>
      <c r="O859" s="2">
        <v>10</v>
      </c>
      <c r="P859" s="8">
        <f t="shared" si="67"/>
        <v>199</v>
      </c>
      <c r="Q859" s="8">
        <f t="shared" si="68"/>
        <v>12</v>
      </c>
      <c r="R859" s="2" t="s">
        <v>28</v>
      </c>
      <c r="S859" s="24">
        <f t="shared" si="69"/>
        <v>0.02</v>
      </c>
    </row>
    <row r="860" spans="1:19" x14ac:dyDescent="0.25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>VLOOKUP(F860,'Customer Info'!$A:$B,2,0)</f>
        <v>Patrick</v>
      </c>
      <c r="H860" s="6" t="str">
        <f>VLOOKUP(F860,'Customer Info'!$A$1:$C$501,3,0)</f>
        <v>Bzostek</v>
      </c>
      <c r="I860" s="6" t="str">
        <f>VLOOKUP(F860,Customer,5,0)</f>
        <v>Brisbane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7160</v>
      </c>
      <c r="O860" s="2">
        <v>57</v>
      </c>
      <c r="P860" s="8">
        <f t="shared" si="67"/>
        <v>7217</v>
      </c>
      <c r="Q860" s="8">
        <f t="shared" si="68"/>
        <v>336</v>
      </c>
      <c r="R860" s="2" t="s">
        <v>28</v>
      </c>
      <c r="S860" s="24">
        <f t="shared" si="69"/>
        <v>0.05</v>
      </c>
    </row>
    <row r="861" spans="1:19" x14ac:dyDescent="0.25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>VLOOKUP(F861,'Customer Info'!$A:$B,2,0)</f>
        <v>Victoria</v>
      </c>
      <c r="H861" s="6" t="str">
        <f>VLOOKUP(F861,'Customer Info'!$A$1:$C$501,3,0)</f>
        <v>Brennan</v>
      </c>
      <c r="I861" s="6" t="str">
        <f>VLOOKUP(F861,Customer,5,0)</f>
        <v>Mangalore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726</v>
      </c>
      <c r="O861" s="2">
        <v>55</v>
      </c>
      <c r="P861" s="8">
        <f t="shared" si="67"/>
        <v>781</v>
      </c>
      <c r="Q861" s="8">
        <f t="shared" si="68"/>
        <v>80</v>
      </c>
      <c r="R861" s="2" t="s">
        <v>50</v>
      </c>
      <c r="S861" s="24">
        <f t="shared" si="69"/>
        <v>0.02</v>
      </c>
    </row>
    <row r="862" spans="1:19" x14ac:dyDescent="0.25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>VLOOKUP(F862,'Customer Info'!$A:$B,2,0)</f>
        <v>Caroline</v>
      </c>
      <c r="H862" s="6" t="str">
        <f>VLOOKUP(F862,'Customer Info'!$A$1:$C$501,3,0)</f>
        <v>Jumper</v>
      </c>
      <c r="I862" s="6" t="str">
        <f>VLOOKUP(F862,Customer,5,0)</f>
        <v>Xuzhou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5748</v>
      </c>
      <c r="O862" s="2">
        <v>97</v>
      </c>
      <c r="P862" s="8">
        <f t="shared" si="67"/>
        <v>5845</v>
      </c>
      <c r="Q862" s="8">
        <f t="shared" si="68"/>
        <v>216</v>
      </c>
      <c r="R862" s="2" t="s">
        <v>28</v>
      </c>
      <c r="S862" s="24">
        <f t="shared" si="69"/>
        <v>0.05</v>
      </c>
    </row>
    <row r="863" spans="1:19" x14ac:dyDescent="0.25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>VLOOKUP(F863,'Customer Info'!$A:$B,2,0)</f>
        <v>Sarah</v>
      </c>
      <c r="H863" s="6" t="str">
        <f>VLOOKUP(F863,'Customer Info'!$A$1:$C$501,3,0)</f>
        <v>Foster</v>
      </c>
      <c r="I863" s="6" t="str">
        <f>VLOOKUP(F863,Customer,5,0)</f>
        <v>Xianning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73</v>
      </c>
      <c r="O863" s="2">
        <v>10</v>
      </c>
      <c r="P863" s="8">
        <f t="shared" si="67"/>
        <v>83</v>
      </c>
      <c r="Q863" s="8">
        <f t="shared" si="68"/>
        <v>8</v>
      </c>
      <c r="R863" s="2" t="s">
        <v>26</v>
      </c>
      <c r="S863" s="24">
        <f t="shared" si="69"/>
        <v>0.02</v>
      </c>
    </row>
    <row r="864" spans="1:19" x14ac:dyDescent="0.25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>VLOOKUP(F864,'Customer Info'!$A:$B,2,0)</f>
        <v>Rachel</v>
      </c>
      <c r="H864" s="6" t="str">
        <f>VLOOKUP(F864,'Customer Info'!$A$1:$C$501,3,0)</f>
        <v>Payne</v>
      </c>
      <c r="I864" s="6" t="str">
        <f>VLOOKUP(F864,Customer,5,0)</f>
        <v>Caloundra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8492</v>
      </c>
      <c r="O864" s="2">
        <v>93</v>
      </c>
      <c r="P864" s="8">
        <f t="shared" si="67"/>
        <v>8585</v>
      </c>
      <c r="Q864" s="8">
        <f t="shared" si="68"/>
        <v>778</v>
      </c>
      <c r="R864" s="2" t="s">
        <v>50</v>
      </c>
      <c r="S864" s="24">
        <f t="shared" si="69"/>
        <v>0.05</v>
      </c>
    </row>
    <row r="865" spans="1:19" x14ac:dyDescent="0.25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>VLOOKUP(F865,'Customer Info'!$A:$B,2,0)</f>
        <v>Kelly</v>
      </c>
      <c r="H865" s="6" t="str">
        <f>VLOOKUP(F865,'Customer Info'!$A$1:$C$501,3,0)</f>
        <v>Williams</v>
      </c>
      <c r="I865" s="6" t="str">
        <f>VLOOKUP(F865,Customer,5,0)</f>
        <v>Sydney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651</v>
      </c>
      <c r="O865" s="2">
        <v>10</v>
      </c>
      <c r="P865" s="8">
        <f t="shared" si="67"/>
        <v>661</v>
      </c>
      <c r="Q865" s="8">
        <f t="shared" si="68"/>
        <v>49</v>
      </c>
      <c r="R865" s="2" t="s">
        <v>28</v>
      </c>
      <c r="S865" s="24">
        <f t="shared" si="69"/>
        <v>0.02</v>
      </c>
    </row>
    <row r="866" spans="1:19" x14ac:dyDescent="0.25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>VLOOKUP(F866,'Customer Info'!$A:$B,2,0)</f>
        <v>Kean</v>
      </c>
      <c r="H866" s="6" t="str">
        <f>VLOOKUP(F866,'Customer Info'!$A$1:$C$501,3,0)</f>
        <v>Thornton</v>
      </c>
      <c r="I866" s="6" t="str">
        <f>VLOOKUP(F866,Customer,5,0)</f>
        <v>Melbourne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4156</v>
      </c>
      <c r="O866" s="2">
        <v>45</v>
      </c>
      <c r="P866" s="8">
        <f t="shared" si="67"/>
        <v>4201</v>
      </c>
      <c r="Q866" s="8">
        <f t="shared" si="68"/>
        <v>414</v>
      </c>
      <c r="R866" s="2" t="s">
        <v>50</v>
      </c>
      <c r="S866" s="24">
        <f t="shared" si="69"/>
        <v>0.02</v>
      </c>
    </row>
    <row r="867" spans="1:19" x14ac:dyDescent="0.25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>VLOOKUP(F867,'Customer Info'!$A:$B,2,0)</f>
        <v>MaryBeth</v>
      </c>
      <c r="H867" s="6" t="str">
        <f>VLOOKUP(F867,'Customer Info'!$A$1:$C$501,3,0)</f>
        <v>Skach</v>
      </c>
      <c r="I867" s="6" t="str">
        <f>VLOOKUP(F867,Customer,5,0)</f>
        <v>Licheng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2826</v>
      </c>
      <c r="O867" s="2">
        <v>93</v>
      </c>
      <c r="P867" s="8">
        <f t="shared" si="67"/>
        <v>2919</v>
      </c>
      <c r="Q867" s="8">
        <f t="shared" si="68"/>
        <v>158</v>
      </c>
      <c r="R867" s="2" t="s">
        <v>28</v>
      </c>
      <c r="S867" s="24">
        <f t="shared" si="69"/>
        <v>0.02</v>
      </c>
    </row>
    <row r="868" spans="1:19" x14ac:dyDescent="0.25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>VLOOKUP(F868,'Customer Info'!$A:$B,2,0)</f>
        <v>Shirley</v>
      </c>
      <c r="H868" s="6" t="str">
        <f>VLOOKUP(F868,'Customer Info'!$A$1:$C$501,3,0)</f>
        <v>Schmidt</v>
      </c>
      <c r="I868" s="6" t="str">
        <f>VLOOKUP(F868,Customer,5,0)</f>
        <v>Bijapur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6951</v>
      </c>
      <c r="O868" s="2">
        <v>97</v>
      </c>
      <c r="P868" s="8">
        <f t="shared" si="67"/>
        <v>7048</v>
      </c>
      <c r="Q868" s="8">
        <f t="shared" si="68"/>
        <v>331</v>
      </c>
      <c r="R868" s="2" t="s">
        <v>28</v>
      </c>
      <c r="S868" s="24">
        <f t="shared" si="69"/>
        <v>0.05</v>
      </c>
    </row>
    <row r="869" spans="1:19" x14ac:dyDescent="0.25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>VLOOKUP(F869,'Customer Info'!$A:$B,2,0)</f>
        <v>Damala</v>
      </c>
      <c r="H869" s="6" t="str">
        <f>VLOOKUP(F869,'Customer Info'!$A$1:$C$501,3,0)</f>
        <v>Kotsonis</v>
      </c>
      <c r="I869" s="6" t="str">
        <f>VLOOKUP(F869,Customer,5,0)</f>
        <v>Berlin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1585</v>
      </c>
      <c r="O869" s="2">
        <v>77</v>
      </c>
      <c r="P869" s="8">
        <f t="shared" si="67"/>
        <v>1662</v>
      </c>
      <c r="Q869" s="8">
        <f t="shared" si="68"/>
        <v>90</v>
      </c>
      <c r="R869" s="2" t="s">
        <v>50</v>
      </c>
      <c r="S869" s="24">
        <f t="shared" si="69"/>
        <v>0.02</v>
      </c>
    </row>
    <row r="870" spans="1:19" x14ac:dyDescent="0.25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>VLOOKUP(F870,'Customer Info'!$A:$B,2,0)</f>
        <v>Robert</v>
      </c>
      <c r="H870" s="6" t="str">
        <f>VLOOKUP(F870,'Customer Info'!$A$1:$C$501,3,0)</f>
        <v>Waldorf</v>
      </c>
      <c r="I870" s="6" t="str">
        <f>VLOOKUP(F870,Customer,5,0)</f>
        <v>Emden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441</v>
      </c>
      <c r="O870" s="2">
        <v>10</v>
      </c>
      <c r="P870" s="8">
        <f t="shared" si="67"/>
        <v>451</v>
      </c>
      <c r="Q870" s="8">
        <f t="shared" si="68"/>
        <v>28</v>
      </c>
      <c r="R870" s="2" t="s">
        <v>50</v>
      </c>
      <c r="S870" s="24">
        <f t="shared" si="69"/>
        <v>0.02</v>
      </c>
    </row>
    <row r="871" spans="1:19" x14ac:dyDescent="0.25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>VLOOKUP(F871,'Customer Info'!$A:$B,2,0)</f>
        <v>MaryBeth</v>
      </c>
      <c r="H871" s="6" t="str">
        <f>VLOOKUP(F871,'Customer Info'!$A$1:$C$501,3,0)</f>
        <v>Skach</v>
      </c>
      <c r="I871" s="6" t="str">
        <f>VLOOKUP(F871,Customer,5,0)</f>
        <v>Licheng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128290</v>
      </c>
      <c r="O871" s="2">
        <v>66</v>
      </c>
      <c r="P871" s="8">
        <f t="shared" si="67"/>
        <v>128356</v>
      </c>
      <c r="Q871" s="8">
        <f t="shared" si="68"/>
        <v>5960</v>
      </c>
      <c r="R871" s="2" t="s">
        <v>28</v>
      </c>
      <c r="S871" s="24">
        <f t="shared" si="69"/>
        <v>0.12</v>
      </c>
    </row>
    <row r="872" spans="1:19" x14ac:dyDescent="0.25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>VLOOKUP(F872,'Customer Info'!$A:$B,2,0)</f>
        <v>Christy</v>
      </c>
      <c r="H872" s="6" t="str">
        <f>VLOOKUP(F872,'Customer Info'!$A$1:$C$501,3,0)</f>
        <v>Brittain</v>
      </c>
      <c r="I872" s="6" t="str">
        <f>VLOOKUP(F872,Customer,5,0)</f>
        <v>Ajmer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2907</v>
      </c>
      <c r="O872" s="2">
        <v>80</v>
      </c>
      <c r="P872" s="8">
        <f t="shared" si="67"/>
        <v>2987</v>
      </c>
      <c r="Q872" s="8">
        <f t="shared" si="68"/>
        <v>240</v>
      </c>
      <c r="R872" s="2" t="s">
        <v>26</v>
      </c>
      <c r="S872" s="24">
        <f t="shared" si="69"/>
        <v>0.02</v>
      </c>
    </row>
    <row r="873" spans="1:19" x14ac:dyDescent="0.25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>VLOOKUP(F873,'Customer Info'!$A:$B,2,0)</f>
        <v>Aaron</v>
      </c>
      <c r="H873" s="6" t="str">
        <f>VLOOKUP(F873,'Customer Info'!$A$1:$C$501,3,0)</f>
        <v>Bergman</v>
      </c>
      <c r="I873" s="6" t="str">
        <f>VLOOKUP(F873,Customer,5,0)</f>
        <v>Halle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18246</v>
      </c>
      <c r="O873" s="2">
        <v>94</v>
      </c>
      <c r="P873" s="8">
        <f t="shared" si="67"/>
        <v>18340</v>
      </c>
      <c r="Q873" s="8">
        <f t="shared" si="68"/>
        <v>684</v>
      </c>
      <c r="R873" s="2" t="s">
        <v>26</v>
      </c>
      <c r="S873" s="24">
        <f t="shared" si="69"/>
        <v>0.05</v>
      </c>
    </row>
    <row r="874" spans="1:19" x14ac:dyDescent="0.25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>VLOOKUP(F874,'Customer Info'!$A:$B,2,0)</f>
        <v>Aaron</v>
      </c>
      <c r="H874" s="6" t="str">
        <f>VLOOKUP(F874,'Customer Info'!$A$1:$C$501,3,0)</f>
        <v>Hawkins</v>
      </c>
      <c r="I874" s="6" t="str">
        <f>VLOOKUP(F874,Customer,5,0)</f>
        <v>Minden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3948</v>
      </c>
      <c r="O874" s="2">
        <v>92</v>
      </c>
      <c r="P874" s="8">
        <f t="shared" si="67"/>
        <v>4040</v>
      </c>
      <c r="Q874" s="8">
        <f t="shared" si="68"/>
        <v>258</v>
      </c>
      <c r="R874" s="2" t="s">
        <v>28</v>
      </c>
      <c r="S874" s="24">
        <f t="shared" si="69"/>
        <v>0.02</v>
      </c>
    </row>
    <row r="875" spans="1:19" x14ac:dyDescent="0.25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>VLOOKUP(F875,'Customer Info'!$A:$B,2,0)</f>
        <v>Nathan</v>
      </c>
      <c r="H875" s="6" t="str">
        <f>VLOOKUP(F875,'Customer Info'!$A$1:$C$501,3,0)</f>
        <v>Gelder</v>
      </c>
      <c r="I875" s="6" t="str">
        <f>VLOOKUP(F875,Customer,5,0)</f>
        <v>Depok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254</v>
      </c>
      <c r="O875" s="2">
        <v>30</v>
      </c>
      <c r="P875" s="8">
        <f t="shared" si="67"/>
        <v>284</v>
      </c>
      <c r="Q875" s="8">
        <f t="shared" si="68"/>
        <v>22</v>
      </c>
      <c r="R875" s="2" t="s">
        <v>28</v>
      </c>
      <c r="S875" s="24">
        <f t="shared" si="69"/>
        <v>0.02</v>
      </c>
    </row>
    <row r="876" spans="1:19" x14ac:dyDescent="0.25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>VLOOKUP(F876,'Customer Info'!$A:$B,2,0)</f>
        <v>Tom</v>
      </c>
      <c r="H876" s="6" t="str">
        <f>VLOOKUP(F876,'Customer Info'!$A$1:$C$501,3,0)</f>
        <v>Zandusky</v>
      </c>
      <c r="I876" s="6" t="str">
        <f>VLOOKUP(F876,Customer,5,0)</f>
        <v>Hobart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76656</v>
      </c>
      <c r="O876" s="2">
        <v>72</v>
      </c>
      <c r="P876" s="8">
        <f t="shared" si="67"/>
        <v>76728</v>
      </c>
      <c r="Q876" s="8">
        <f t="shared" si="68"/>
        <v>6328</v>
      </c>
      <c r="R876" s="2" t="s">
        <v>28</v>
      </c>
      <c r="S876" s="24">
        <f t="shared" si="69"/>
        <v>0.09</v>
      </c>
    </row>
    <row r="877" spans="1:19" x14ac:dyDescent="0.25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>VLOOKUP(F877,'Customer Info'!$A:$B,2,0)</f>
        <v>Nancy</v>
      </c>
      <c r="H877" s="6" t="str">
        <f>VLOOKUP(F877,'Customer Info'!$A$1:$C$501,3,0)</f>
        <v>Lomonaco</v>
      </c>
      <c r="I877" s="6" t="str">
        <f>VLOOKUP(F877,Customer,5,0)</f>
        <v>Tengzhou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414</v>
      </c>
      <c r="O877" s="2">
        <v>30</v>
      </c>
      <c r="P877" s="8">
        <f t="shared" si="67"/>
        <v>444</v>
      </c>
      <c r="Q877" s="8">
        <f t="shared" si="68"/>
        <v>30</v>
      </c>
      <c r="R877" s="2" t="s">
        <v>50</v>
      </c>
      <c r="S877" s="24">
        <f t="shared" si="69"/>
        <v>0.02</v>
      </c>
    </row>
    <row r="878" spans="1:19" x14ac:dyDescent="0.25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>VLOOKUP(F878,'Customer Info'!$A:$B,2,0)</f>
        <v>Carol</v>
      </c>
      <c r="H878" s="6" t="str">
        <f>VLOOKUP(F878,'Customer Info'!$A$1:$C$501,3,0)</f>
        <v>Adams</v>
      </c>
      <c r="I878" s="6" t="str">
        <f>VLOOKUP(F878,Customer,5,0)</f>
        <v>Cairns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2372</v>
      </c>
      <c r="O878" s="2">
        <v>39</v>
      </c>
      <c r="P878" s="8">
        <f t="shared" si="67"/>
        <v>2411</v>
      </c>
      <c r="Q878" s="8">
        <f t="shared" si="68"/>
        <v>90</v>
      </c>
      <c r="R878" s="2" t="s">
        <v>50</v>
      </c>
      <c r="S878" s="24">
        <f t="shared" si="69"/>
        <v>0.02</v>
      </c>
    </row>
    <row r="879" spans="1:19" x14ac:dyDescent="0.25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>VLOOKUP(F879,'Customer Info'!$A:$B,2,0)</f>
        <v>Bradley</v>
      </c>
      <c r="H879" s="6" t="str">
        <f>VLOOKUP(F879,'Customer Info'!$A$1:$C$501,3,0)</f>
        <v>Nguyen</v>
      </c>
      <c r="I879" s="6" t="str">
        <f>VLOOKUP(F879,Customer,5,0)</f>
        <v>Shenzhen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4084</v>
      </c>
      <c r="O879" s="2">
        <v>72</v>
      </c>
      <c r="P879" s="8">
        <f t="shared" si="67"/>
        <v>4156</v>
      </c>
      <c r="Q879" s="8">
        <f t="shared" si="68"/>
        <v>154</v>
      </c>
      <c r="R879" s="2" t="s">
        <v>26</v>
      </c>
      <c r="S879" s="24">
        <f t="shared" si="69"/>
        <v>0.02</v>
      </c>
    </row>
    <row r="880" spans="1:19" x14ac:dyDescent="0.25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>VLOOKUP(F880,'Customer Info'!$A:$B,2,0)</f>
        <v>Logan</v>
      </c>
      <c r="H880" s="6" t="str">
        <f>VLOOKUP(F880,'Customer Info'!$A$1:$C$501,3,0)</f>
        <v>Currie</v>
      </c>
      <c r="I880" s="6" t="str">
        <f>VLOOKUP(F880,Customer,5,0)</f>
        <v>Anshan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240</v>
      </c>
      <c r="O880" s="2">
        <v>10</v>
      </c>
      <c r="P880" s="8">
        <f t="shared" si="67"/>
        <v>250</v>
      </c>
      <c r="Q880" s="8">
        <f t="shared" si="68"/>
        <v>20</v>
      </c>
      <c r="R880" s="2" t="s">
        <v>28</v>
      </c>
      <c r="S880" s="24">
        <f t="shared" si="69"/>
        <v>0.02</v>
      </c>
    </row>
    <row r="881" spans="1:19" x14ac:dyDescent="0.25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>VLOOKUP(F881,'Customer Info'!$A:$B,2,0)</f>
        <v>Helen</v>
      </c>
      <c r="H881" s="6" t="str">
        <f>VLOOKUP(F881,'Customer Info'!$A$1:$C$501,3,0)</f>
        <v>Abelman</v>
      </c>
      <c r="I881" s="6" t="str">
        <f>VLOOKUP(F881,Customer,5,0)</f>
        <v>Berlin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17142</v>
      </c>
      <c r="O881" s="2">
        <v>45</v>
      </c>
      <c r="P881" s="8">
        <f t="shared" si="67"/>
        <v>17187</v>
      </c>
      <c r="Q881" s="8">
        <f t="shared" si="68"/>
        <v>1410</v>
      </c>
      <c r="R881" s="2" t="s">
        <v>28</v>
      </c>
      <c r="S881" s="24">
        <f t="shared" si="69"/>
        <v>0.05</v>
      </c>
    </row>
    <row r="882" spans="1:19" x14ac:dyDescent="0.25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>VLOOKUP(F882,'Customer Info'!$A:$B,2,0)</f>
        <v>Philisse</v>
      </c>
      <c r="H882" s="6" t="str">
        <f>VLOOKUP(F882,'Customer Info'!$A$1:$C$501,3,0)</f>
        <v>Overcash</v>
      </c>
      <c r="I882" s="6" t="str">
        <f>VLOOKUP(F882,Customer,5,0)</f>
        <v>Potsdam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127</v>
      </c>
      <c r="O882" s="2">
        <v>30</v>
      </c>
      <c r="P882" s="8">
        <f t="shared" si="67"/>
        <v>157</v>
      </c>
      <c r="Q882" s="8">
        <f t="shared" si="68"/>
        <v>11</v>
      </c>
      <c r="R882" s="2" t="s">
        <v>50</v>
      </c>
      <c r="S882" s="24">
        <f t="shared" si="69"/>
        <v>0.02</v>
      </c>
    </row>
    <row r="883" spans="1:19" x14ac:dyDescent="0.25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>VLOOKUP(F883,'Customer Info'!$A:$B,2,0)</f>
        <v>David</v>
      </c>
      <c r="H883" s="6" t="str">
        <f>VLOOKUP(F883,'Customer Info'!$A$1:$C$501,3,0)</f>
        <v>Kendrick</v>
      </c>
      <c r="I883" s="6" t="str">
        <f>VLOOKUP(F883,Customer,5,0)</f>
        <v>Kunming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1983</v>
      </c>
      <c r="O883" s="2">
        <v>57</v>
      </c>
      <c r="P883" s="8">
        <f t="shared" si="67"/>
        <v>2040</v>
      </c>
      <c r="Q883" s="8">
        <f t="shared" si="68"/>
        <v>75</v>
      </c>
      <c r="R883" s="2" t="s">
        <v>26</v>
      </c>
      <c r="S883" s="24">
        <f t="shared" si="69"/>
        <v>0.02</v>
      </c>
    </row>
    <row r="884" spans="1:19" x14ac:dyDescent="0.25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>VLOOKUP(F884,'Customer Info'!$A:$B,2,0)</f>
        <v>Christy</v>
      </c>
      <c r="H884" s="6" t="str">
        <f>VLOOKUP(F884,'Customer Info'!$A$1:$C$501,3,0)</f>
        <v>Brittain</v>
      </c>
      <c r="I884" s="6" t="str">
        <f>VLOOKUP(F884,Customer,5,0)</f>
        <v>Ajmer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194</v>
      </c>
      <c r="O884" s="2">
        <v>10</v>
      </c>
      <c r="P884" s="8">
        <f t="shared" si="67"/>
        <v>204</v>
      </c>
      <c r="Q884" s="8">
        <f t="shared" si="68"/>
        <v>10</v>
      </c>
      <c r="R884" s="2" t="s">
        <v>28</v>
      </c>
      <c r="S884" s="24">
        <f t="shared" si="69"/>
        <v>0.02</v>
      </c>
    </row>
    <row r="885" spans="1:19" x14ac:dyDescent="0.25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>VLOOKUP(F885,'Customer Info'!$A:$B,2,0)</f>
        <v>Sam</v>
      </c>
      <c r="H885" s="6" t="str">
        <f>VLOOKUP(F885,'Customer Info'!$A$1:$C$501,3,0)</f>
        <v>Zeldin</v>
      </c>
      <c r="I885" s="6" t="str">
        <f>VLOOKUP(F885,Customer,5,0)</f>
        <v>Yanji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4435</v>
      </c>
      <c r="O885" s="2">
        <v>24</v>
      </c>
      <c r="P885" s="8">
        <f t="shared" si="67"/>
        <v>4459</v>
      </c>
      <c r="Q885" s="8">
        <f t="shared" si="68"/>
        <v>365</v>
      </c>
      <c r="R885" s="2" t="s">
        <v>28</v>
      </c>
      <c r="S885" s="24">
        <f t="shared" si="69"/>
        <v>0.02</v>
      </c>
    </row>
    <row r="886" spans="1:19" x14ac:dyDescent="0.25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>VLOOKUP(F886,'Customer Info'!$A:$B,2,0)</f>
        <v>Olvera</v>
      </c>
      <c r="H886" s="6" t="str">
        <f>VLOOKUP(F886,'Customer Info'!$A$1:$C$501,3,0)</f>
        <v>Toch</v>
      </c>
      <c r="I886" s="6" t="str">
        <f>VLOOKUP(F886,Customer,5,0)</f>
        <v>Neubrandenburg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11764</v>
      </c>
      <c r="O886" s="2">
        <v>95</v>
      </c>
      <c r="P886" s="8">
        <f t="shared" si="67"/>
        <v>11859</v>
      </c>
      <c r="Q886" s="8">
        <f t="shared" si="68"/>
        <v>338</v>
      </c>
      <c r="R886" s="2" t="s">
        <v>28</v>
      </c>
      <c r="S886" s="24">
        <f t="shared" si="69"/>
        <v>0.05</v>
      </c>
    </row>
    <row r="887" spans="1:19" x14ac:dyDescent="0.25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>VLOOKUP(F887,'Customer Info'!$A:$B,2,0)</f>
        <v>Benjamin</v>
      </c>
      <c r="H887" s="6" t="str">
        <f>VLOOKUP(F887,'Customer Info'!$A$1:$C$501,3,0)</f>
        <v>Patterson</v>
      </c>
      <c r="I887" s="6" t="str">
        <f>VLOOKUP(F887,Customer,5,0)</f>
        <v>Tamworth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2078</v>
      </c>
      <c r="O887" s="2">
        <v>55</v>
      </c>
      <c r="P887" s="8">
        <f t="shared" si="67"/>
        <v>2133</v>
      </c>
      <c r="Q887" s="8">
        <f t="shared" si="68"/>
        <v>207</v>
      </c>
      <c r="R887" s="2" t="s">
        <v>28</v>
      </c>
      <c r="S887" s="24">
        <f t="shared" si="69"/>
        <v>0.02</v>
      </c>
    </row>
    <row r="888" spans="1:19" x14ac:dyDescent="0.25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>VLOOKUP(F888,'Customer Info'!$A:$B,2,0)</f>
        <v>Guy</v>
      </c>
      <c r="H888" s="6" t="str">
        <f>VLOOKUP(F888,'Customer Info'!$A$1:$C$501,3,0)</f>
        <v>Phonely</v>
      </c>
      <c r="I888" s="6" t="str">
        <f>VLOOKUP(F888,Customer,5,0)</f>
        <v>Jodhpur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6930</v>
      </c>
      <c r="O888" s="2">
        <v>74</v>
      </c>
      <c r="P888" s="8">
        <f t="shared" si="67"/>
        <v>7004</v>
      </c>
      <c r="Q888" s="8">
        <f t="shared" si="68"/>
        <v>810</v>
      </c>
      <c r="R888" s="2" t="s">
        <v>28</v>
      </c>
      <c r="S888" s="24">
        <f t="shared" si="69"/>
        <v>0.05</v>
      </c>
    </row>
    <row r="889" spans="1:19" x14ac:dyDescent="0.25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>VLOOKUP(F889,'Customer Info'!$A:$B,2,0)</f>
        <v>Shaun</v>
      </c>
      <c r="H889" s="6" t="str">
        <f>VLOOKUP(F889,'Customer Info'!$A$1:$C$501,3,0)</f>
        <v>Weien</v>
      </c>
      <c r="I889" s="6" t="str">
        <f>VLOOKUP(F889,Customer,5,0)</f>
        <v>Medan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17727</v>
      </c>
      <c r="O889" s="2">
        <v>87</v>
      </c>
      <c r="P889" s="8">
        <f t="shared" si="67"/>
        <v>17814</v>
      </c>
      <c r="Q889" s="8">
        <f t="shared" si="68"/>
        <v>1143</v>
      </c>
      <c r="R889" s="2" t="s">
        <v>28</v>
      </c>
      <c r="S889" s="24">
        <f t="shared" si="69"/>
        <v>0.05</v>
      </c>
    </row>
    <row r="890" spans="1:19" x14ac:dyDescent="0.25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>VLOOKUP(F890,'Customer Info'!$A:$B,2,0)</f>
        <v>Sylvia</v>
      </c>
      <c r="H890" s="6" t="str">
        <f>VLOOKUP(F890,'Customer Info'!$A$1:$C$501,3,0)</f>
        <v>Foulston</v>
      </c>
      <c r="I890" s="6" t="str">
        <f>VLOOKUP(F890,Customer,5,0)</f>
        <v>Ludwigsburg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1416</v>
      </c>
      <c r="O890" s="2">
        <v>55</v>
      </c>
      <c r="P890" s="8">
        <f t="shared" si="67"/>
        <v>1471</v>
      </c>
      <c r="Q890" s="8">
        <f t="shared" si="68"/>
        <v>120</v>
      </c>
      <c r="R890" s="2" t="s">
        <v>50</v>
      </c>
      <c r="S890" s="24">
        <f t="shared" si="69"/>
        <v>0.02</v>
      </c>
    </row>
    <row r="891" spans="1:19" x14ac:dyDescent="0.25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>VLOOKUP(F891,'Customer Info'!$A:$B,2,0)</f>
        <v>Ralph</v>
      </c>
      <c r="H891" s="6" t="str">
        <f>VLOOKUP(F891,'Customer Info'!$A$1:$C$501,3,0)</f>
        <v>Kennedy</v>
      </c>
      <c r="I891" s="6" t="str">
        <f>VLOOKUP(F891,Customer,5,0)</f>
        <v>Bundaberg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786</v>
      </c>
      <c r="O891" s="2">
        <v>27</v>
      </c>
      <c r="P891" s="8">
        <f t="shared" si="67"/>
        <v>813</v>
      </c>
      <c r="Q891" s="8">
        <f t="shared" si="68"/>
        <v>38</v>
      </c>
      <c r="R891" s="2" t="s">
        <v>50</v>
      </c>
      <c r="S891" s="24">
        <f t="shared" si="69"/>
        <v>0.02</v>
      </c>
    </row>
    <row r="892" spans="1:19" x14ac:dyDescent="0.25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>VLOOKUP(F892,'Customer Info'!$A:$B,2,0)</f>
        <v>Caroline</v>
      </c>
      <c r="H892" s="6" t="str">
        <f>VLOOKUP(F892,'Customer Info'!$A$1:$C$501,3,0)</f>
        <v>Jumper</v>
      </c>
      <c r="I892" s="6" t="str">
        <f>VLOOKUP(F892,Customer,5,0)</f>
        <v>Xuzhou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18428</v>
      </c>
      <c r="O892" s="2">
        <v>38</v>
      </c>
      <c r="P892" s="8">
        <f t="shared" si="67"/>
        <v>18466</v>
      </c>
      <c r="Q892" s="8">
        <f t="shared" si="68"/>
        <v>1838</v>
      </c>
      <c r="R892" s="2" t="s">
        <v>28</v>
      </c>
      <c r="S892" s="24">
        <f t="shared" si="69"/>
        <v>0.05</v>
      </c>
    </row>
    <row r="893" spans="1:19" x14ac:dyDescent="0.25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>VLOOKUP(F893,'Customer Info'!$A:$B,2,0)</f>
        <v>Laurel</v>
      </c>
      <c r="H893" s="6" t="str">
        <f>VLOOKUP(F893,'Customer Info'!$A$1:$C$501,3,0)</f>
        <v>Beltran</v>
      </c>
      <c r="I893" s="6" t="str">
        <f>VLOOKUP(F893,Customer,5,0)</f>
        <v>Wuppertal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650</v>
      </c>
      <c r="O893" s="2">
        <v>30</v>
      </c>
      <c r="P893" s="8">
        <f t="shared" si="67"/>
        <v>680</v>
      </c>
      <c r="Q893" s="8">
        <f t="shared" si="68"/>
        <v>40</v>
      </c>
      <c r="R893" s="2" t="s">
        <v>50</v>
      </c>
      <c r="S893" s="24">
        <f t="shared" si="69"/>
        <v>0.02</v>
      </c>
    </row>
    <row r="894" spans="1:19" x14ac:dyDescent="0.25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>VLOOKUP(F894,'Customer Info'!$A:$B,2,0)</f>
        <v>Mike</v>
      </c>
      <c r="H894" s="6" t="str">
        <f>VLOOKUP(F894,'Customer Info'!$A$1:$C$501,3,0)</f>
        <v>Pelletier</v>
      </c>
      <c r="I894" s="6" t="str">
        <f>VLOOKUP(F894,Customer,5,0)</f>
        <v>Jakarta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8820</v>
      </c>
      <c r="O894" s="2">
        <v>62</v>
      </c>
      <c r="P894" s="8">
        <f t="shared" si="67"/>
        <v>8882</v>
      </c>
      <c r="Q894" s="8">
        <f t="shared" si="68"/>
        <v>576</v>
      </c>
      <c r="R894" s="2" t="s">
        <v>28</v>
      </c>
      <c r="S894" s="24">
        <f t="shared" si="69"/>
        <v>0.05</v>
      </c>
    </row>
    <row r="895" spans="1:19" x14ac:dyDescent="0.25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>VLOOKUP(F895,'Customer Info'!$A:$B,2,0)</f>
        <v>Adam</v>
      </c>
      <c r="H895" s="6" t="str">
        <f>VLOOKUP(F895,'Customer Info'!$A$1:$C$501,3,0)</f>
        <v>Bellavance</v>
      </c>
      <c r="I895" s="6" t="str">
        <f>VLOOKUP(F895,Customer,5,0)</f>
        <v>Kwinana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3408</v>
      </c>
      <c r="O895" s="2">
        <v>85</v>
      </c>
      <c r="P895" s="8">
        <f t="shared" si="67"/>
        <v>3493</v>
      </c>
      <c r="Q895" s="8">
        <f t="shared" si="68"/>
        <v>160</v>
      </c>
      <c r="R895" s="2" t="s">
        <v>50</v>
      </c>
      <c r="S895" s="24">
        <f t="shared" si="69"/>
        <v>0.02</v>
      </c>
    </row>
    <row r="896" spans="1:19" x14ac:dyDescent="0.25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>VLOOKUP(F896,'Customer Info'!$A:$B,2,0)</f>
        <v>Thomas</v>
      </c>
      <c r="H896" s="6" t="str">
        <f>VLOOKUP(F896,'Customer Info'!$A$1:$C$501,3,0)</f>
        <v>Brumley</v>
      </c>
      <c r="I896" s="6" t="str">
        <f>VLOOKUP(F896,Customer,5,0)</f>
        <v>Launceston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120</v>
      </c>
      <c r="O896" s="2">
        <v>10</v>
      </c>
      <c r="P896" s="8">
        <f t="shared" si="67"/>
        <v>130</v>
      </c>
      <c r="Q896" s="8">
        <f t="shared" si="68"/>
        <v>6</v>
      </c>
      <c r="R896" s="2" t="s">
        <v>28</v>
      </c>
      <c r="S896" s="24">
        <f t="shared" si="69"/>
        <v>0.02</v>
      </c>
    </row>
    <row r="897" spans="1:19" x14ac:dyDescent="0.25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>VLOOKUP(F897,'Customer Info'!$A:$B,2,0)</f>
        <v>Roger</v>
      </c>
      <c r="H897" s="6" t="str">
        <f>VLOOKUP(F897,'Customer Info'!$A$1:$C$501,3,0)</f>
        <v>Demir</v>
      </c>
      <c r="I897" s="6" t="str">
        <f>VLOOKUP(F897,Customer,5,0)</f>
        <v>Wollongong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705</v>
      </c>
      <c r="O897" s="2">
        <v>30</v>
      </c>
      <c r="P897" s="8">
        <f t="shared" si="67"/>
        <v>735</v>
      </c>
      <c r="Q897" s="8">
        <f t="shared" si="68"/>
        <v>50</v>
      </c>
      <c r="R897" s="2" t="s">
        <v>28</v>
      </c>
      <c r="S897" s="24">
        <f t="shared" si="69"/>
        <v>0.02</v>
      </c>
    </row>
    <row r="898" spans="1:19" x14ac:dyDescent="0.25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>VLOOKUP(F898,'Customer Info'!$A:$B,2,0)</f>
        <v>Adam</v>
      </c>
      <c r="H898" s="6" t="str">
        <f>VLOOKUP(F898,'Customer Info'!$A$1:$C$501,3,0)</f>
        <v>Bellavance</v>
      </c>
      <c r="I898" s="6" t="str">
        <f>VLOOKUP(F898,Customer,5,0)</f>
        <v>Kaiyuan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5240</v>
      </c>
      <c r="O898" s="2">
        <v>22</v>
      </c>
      <c r="P898" s="8">
        <f t="shared" si="67"/>
        <v>5262</v>
      </c>
      <c r="Q898" s="8">
        <f t="shared" si="68"/>
        <v>345</v>
      </c>
      <c r="R898" s="2" t="s">
        <v>28</v>
      </c>
      <c r="S898" s="24">
        <f t="shared" si="69"/>
        <v>0.05</v>
      </c>
    </row>
    <row r="899" spans="1:19" x14ac:dyDescent="0.25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>VLOOKUP(F899,'Customer Info'!$A:$B,2,0)</f>
        <v>Aaron</v>
      </c>
      <c r="H899" s="6" t="str">
        <f>VLOOKUP(F899,'Customer Info'!$A$1:$C$501,3,0)</f>
        <v>Hawkins</v>
      </c>
      <c r="I899" s="6" t="str">
        <f>VLOOKUP(F899,Customer,5,0)</f>
        <v>Minden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30032</v>
      </c>
      <c r="O899" s="2">
        <v>94</v>
      </c>
      <c r="P899" s="8">
        <f t="shared" si="67"/>
        <v>30126</v>
      </c>
      <c r="Q899" s="8">
        <f t="shared" si="68"/>
        <v>2208</v>
      </c>
      <c r="R899" s="2" t="s">
        <v>28</v>
      </c>
      <c r="S899" s="24">
        <f t="shared" si="69"/>
        <v>7.0000000000000007E-2</v>
      </c>
    </row>
    <row r="900" spans="1:19" x14ac:dyDescent="0.25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>VLOOKUP(F900,'Customer Info'!$A:$B,2,0)</f>
        <v>Mitch</v>
      </c>
      <c r="H900" s="6" t="str">
        <f>VLOOKUP(F900,'Customer Info'!$A$1:$C$501,3,0)</f>
        <v>Willingham</v>
      </c>
      <c r="I900" s="6" t="str">
        <f>VLOOKUP(F900,Customer,5,0)</f>
        <v>Berlin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7245</v>
      </c>
      <c r="O900" s="2">
        <v>82</v>
      </c>
      <c r="P900" s="8">
        <f t="shared" si="67"/>
        <v>7327</v>
      </c>
      <c r="Q900" s="8">
        <f t="shared" si="68"/>
        <v>531</v>
      </c>
      <c r="R900" s="2" t="s">
        <v>28</v>
      </c>
      <c r="S900" s="24">
        <f t="shared" si="69"/>
        <v>0.05</v>
      </c>
    </row>
    <row r="901" spans="1:19" x14ac:dyDescent="0.25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>VLOOKUP(F901,'Customer Info'!$A:$B,2,0)</f>
        <v>Dianna</v>
      </c>
      <c r="H901" s="6" t="str">
        <f>VLOOKUP(F901,'Customer Info'!$A$1:$C$501,3,0)</f>
        <v>Vittorini</v>
      </c>
      <c r="I901" s="6" t="str">
        <f>VLOOKUP(F901,Customer,5,0)</f>
        <v>Cottbus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219</v>
      </c>
      <c r="O901" s="2">
        <v>10</v>
      </c>
      <c r="P901" s="8">
        <f t="shared" si="67"/>
        <v>229</v>
      </c>
      <c r="Q901" s="8">
        <f t="shared" si="68"/>
        <v>24</v>
      </c>
      <c r="R901" s="2" t="s">
        <v>50</v>
      </c>
      <c r="S901" s="24">
        <f t="shared" si="69"/>
        <v>0.02</v>
      </c>
    </row>
    <row r="902" spans="1:19" x14ac:dyDescent="0.25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>VLOOKUP(F902,'Customer Info'!$A:$B,2,0)</f>
        <v>Bryan</v>
      </c>
      <c r="H902" s="6" t="str">
        <f>VLOOKUP(F902,'Customer Info'!$A$1:$C$501,3,0)</f>
        <v>Spruell</v>
      </c>
      <c r="I902" s="6" t="str">
        <f>VLOOKUP(F902,Customer,5,0)</f>
        <v>Bekasi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8974</v>
      </c>
      <c r="O902" s="2">
        <v>36</v>
      </c>
      <c r="P902" s="8">
        <f t="shared" si="67"/>
        <v>9010</v>
      </c>
      <c r="Q902" s="8">
        <f t="shared" si="68"/>
        <v>572</v>
      </c>
      <c r="R902" s="2" t="s">
        <v>28</v>
      </c>
      <c r="S902" s="24">
        <f t="shared" si="69"/>
        <v>0.05</v>
      </c>
    </row>
    <row r="903" spans="1:19" x14ac:dyDescent="0.25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>VLOOKUP(F903,'Customer Info'!$A:$B,2,0)</f>
        <v>Ralph</v>
      </c>
      <c r="H903" s="6" t="str">
        <f>VLOOKUP(F903,'Customer Info'!$A$1:$C$501,3,0)</f>
        <v>Arnett</v>
      </c>
      <c r="I903" s="6" t="str">
        <f>VLOOKUP(F903,Customer,5,0)</f>
        <v>Shenyang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882</v>
      </c>
      <c r="O903" s="2">
        <v>30</v>
      </c>
      <c r="P903" s="8">
        <f t="shared" si="67"/>
        <v>912</v>
      </c>
      <c r="Q903" s="8">
        <f t="shared" si="68"/>
        <v>54</v>
      </c>
      <c r="R903" s="2" t="s">
        <v>28</v>
      </c>
      <c r="S903" s="24">
        <f t="shared" si="69"/>
        <v>0.02</v>
      </c>
    </row>
    <row r="904" spans="1:19" x14ac:dyDescent="0.25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>VLOOKUP(F904,'Customer Info'!$A:$B,2,0)</f>
        <v>Lisa</v>
      </c>
      <c r="H904" s="6" t="str">
        <f>VLOOKUP(F904,'Customer Info'!$A$1:$C$501,3,0)</f>
        <v>Ryan</v>
      </c>
      <c r="I904" s="6" t="str">
        <f>VLOOKUP(F904,Customer,5,0)</f>
        <v>Townsville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332</v>
      </c>
      <c r="O904" s="2">
        <v>30</v>
      </c>
      <c r="P904" s="8">
        <f t="shared" si="67"/>
        <v>362</v>
      </c>
      <c r="Q904" s="8">
        <f t="shared" si="68"/>
        <v>34</v>
      </c>
      <c r="R904" s="2" t="s">
        <v>50</v>
      </c>
      <c r="S904" s="24">
        <f t="shared" si="69"/>
        <v>0.02</v>
      </c>
    </row>
    <row r="905" spans="1:19" x14ac:dyDescent="0.25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>VLOOKUP(F905,'Customer Info'!$A:$B,2,0)</f>
        <v>Cari</v>
      </c>
      <c r="H905" s="6" t="str">
        <f>VLOOKUP(F905,'Customer Info'!$A$1:$C$501,3,0)</f>
        <v>Schnelling</v>
      </c>
      <c r="I905" s="6" t="str">
        <f>VLOOKUP(F905,Customer,5,0)</f>
        <v>Agra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1908</v>
      </c>
      <c r="O905" s="2">
        <v>86</v>
      </c>
      <c r="P905" s="8">
        <f t="shared" si="67"/>
        <v>1994</v>
      </c>
      <c r="Q905" s="8">
        <f t="shared" si="68"/>
        <v>106</v>
      </c>
      <c r="R905" s="2" t="s">
        <v>28</v>
      </c>
      <c r="S905" s="24">
        <f t="shared" si="69"/>
        <v>0.02</v>
      </c>
    </row>
    <row r="906" spans="1:19" x14ac:dyDescent="0.25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>VLOOKUP(F906,'Customer Info'!$A:$B,2,0)</f>
        <v>Sally</v>
      </c>
      <c r="H906" s="6" t="str">
        <f>VLOOKUP(F906,'Customer Info'!$A$1:$C$501,3,0)</f>
        <v>Knutson</v>
      </c>
      <c r="I906" s="6" t="str">
        <f>VLOOKUP(F906,Customer,5,0)</f>
        <v>CastropRauxel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8173</v>
      </c>
      <c r="O906" s="2">
        <v>43</v>
      </c>
      <c r="P906" s="8">
        <f t="shared" si="67"/>
        <v>8216</v>
      </c>
      <c r="Q906" s="8">
        <f t="shared" si="68"/>
        <v>539</v>
      </c>
      <c r="R906" s="2" t="s">
        <v>28</v>
      </c>
      <c r="S906" s="24">
        <f t="shared" si="69"/>
        <v>0.05</v>
      </c>
    </row>
    <row r="907" spans="1:19" x14ac:dyDescent="0.25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>VLOOKUP(F907,'Customer Info'!$A:$B,2,0)</f>
        <v>Jennifer</v>
      </c>
      <c r="H907" s="6" t="str">
        <f>VLOOKUP(F907,'Customer Info'!$A$1:$C$501,3,0)</f>
        <v>Halladay</v>
      </c>
      <c r="I907" s="6" t="str">
        <f>VLOOKUP(F907,Customer,5,0)</f>
        <v>Krefeld</v>
      </c>
      <c r="J907" s="2">
        <v>7691</v>
      </c>
      <c r="K907" s="2">
        <v>7255</v>
      </c>
      <c r="L907" s="2">
        <v>3</v>
      </c>
      <c r="M907" s="7">
        <f t="shared" ref="M907:M970" si="70">K907*L907</f>
        <v>21765</v>
      </c>
      <c r="N907" s="7">
        <f t="shared" ref="N907:N970" si="71">J907*L907</f>
        <v>23073</v>
      </c>
      <c r="O907" s="2">
        <v>84</v>
      </c>
      <c r="P907" s="8">
        <f t="shared" ref="P907:P970" si="72">N907+O907</f>
        <v>23157</v>
      </c>
      <c r="Q907" s="8">
        <f t="shared" ref="Q907:Q970" si="73">N907-M907</f>
        <v>1308</v>
      </c>
      <c r="R907" s="2" t="s">
        <v>56</v>
      </c>
      <c r="S907" s="24">
        <f t="shared" ref="S907:S970" si="74">VLOOKUP(N907,$T$1:$U$7,2,TRUE)</f>
        <v>0.05</v>
      </c>
    </row>
    <row r="908" spans="1:19" x14ac:dyDescent="0.25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>VLOOKUP(F908,'Customer Info'!$A:$B,2,0)</f>
        <v>Benjamin</v>
      </c>
      <c r="H908" s="6" t="str">
        <f>VLOOKUP(F908,'Customer Info'!$A$1:$C$501,3,0)</f>
        <v>Patterson</v>
      </c>
      <c r="I908" s="6" t="str">
        <f>VLOOKUP(F908,Customer,5,0)</f>
        <v>Wollongong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8">
        <f t="shared" si="72"/>
        <v>47115</v>
      </c>
      <c r="Q908" s="8">
        <f t="shared" si="73"/>
        <v>3003</v>
      </c>
      <c r="R908" s="2" t="s">
        <v>50</v>
      </c>
      <c r="S908" s="24">
        <f t="shared" si="74"/>
        <v>7.0000000000000007E-2</v>
      </c>
    </row>
    <row r="909" spans="1:19" x14ac:dyDescent="0.25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>VLOOKUP(F909,'Customer Info'!$A:$B,2,0)</f>
        <v>Adam</v>
      </c>
      <c r="H909" s="6" t="str">
        <f>VLOOKUP(F909,'Customer Info'!$A$1:$C$501,3,0)</f>
        <v>Bellavance</v>
      </c>
      <c r="I909" s="6" t="str">
        <f>VLOOKUP(F909,Customer,5,0)</f>
        <v>Kaiyuan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8">
        <f t="shared" si="72"/>
        <v>841</v>
      </c>
      <c r="Q909" s="8">
        <f t="shared" si="73"/>
        <v>49</v>
      </c>
      <c r="R909" s="2" t="s">
        <v>26</v>
      </c>
      <c r="S909" s="24">
        <f t="shared" si="74"/>
        <v>0.02</v>
      </c>
    </row>
    <row r="910" spans="1:19" x14ac:dyDescent="0.25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>VLOOKUP(F910,'Customer Info'!$A:$B,2,0)</f>
        <v>Darren</v>
      </c>
      <c r="H910" s="6" t="str">
        <f>VLOOKUP(F910,'Customer Info'!$A$1:$C$501,3,0)</f>
        <v>Budd</v>
      </c>
      <c r="I910" s="6" t="str">
        <f>VLOOKUP(F910,Customer,5,0)</f>
        <v>Perth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8">
        <f t="shared" si="72"/>
        <v>79</v>
      </c>
      <c r="Q910" s="8">
        <f t="shared" si="73"/>
        <v>5</v>
      </c>
      <c r="R910" s="2" t="s">
        <v>28</v>
      </c>
      <c r="S910" s="24">
        <f t="shared" si="74"/>
        <v>0.02</v>
      </c>
    </row>
    <row r="911" spans="1:19" x14ac:dyDescent="0.25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>VLOOKUP(F911,'Customer Info'!$A:$B,2,0)</f>
        <v>Christy</v>
      </c>
      <c r="H911" s="6" t="str">
        <f>VLOOKUP(F911,'Customer Info'!$A$1:$C$501,3,0)</f>
        <v>Brittain</v>
      </c>
      <c r="I911" s="6" t="str">
        <f>VLOOKUP(F911,Customer,5,0)</f>
        <v>Depok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8">
        <f t="shared" si="72"/>
        <v>290</v>
      </c>
      <c r="Q911" s="8">
        <f t="shared" si="73"/>
        <v>16</v>
      </c>
      <c r="R911" s="2" t="s">
        <v>50</v>
      </c>
      <c r="S911" s="24">
        <f t="shared" si="74"/>
        <v>0.02</v>
      </c>
    </row>
    <row r="912" spans="1:19" x14ac:dyDescent="0.25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>VLOOKUP(F912,'Customer Info'!$A:$B,2,0)</f>
        <v>Deirdre</v>
      </c>
      <c r="H912" s="6" t="str">
        <f>VLOOKUP(F912,'Customer Info'!$A$1:$C$501,3,0)</f>
        <v>Greer</v>
      </c>
      <c r="I912" s="6" t="str">
        <f>VLOOKUP(F912,Customer,5,0)</f>
        <v>Perth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75898</v>
      </c>
      <c r="O912" s="2">
        <v>99</v>
      </c>
      <c r="P912" s="8">
        <f t="shared" si="72"/>
        <v>75997</v>
      </c>
      <c r="Q912" s="8">
        <f t="shared" si="73"/>
        <v>6266</v>
      </c>
      <c r="R912" s="2" t="s">
        <v>28</v>
      </c>
      <c r="S912" s="24">
        <f t="shared" si="74"/>
        <v>0.09</v>
      </c>
    </row>
    <row r="913" spans="1:19" x14ac:dyDescent="0.25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>VLOOKUP(F913,'Customer Info'!$A:$B,2,0)</f>
        <v>Eugene</v>
      </c>
      <c r="H913" s="6" t="str">
        <f>VLOOKUP(F913,'Customer Info'!$A$1:$C$501,3,0)</f>
        <v>Hildebrand</v>
      </c>
      <c r="I913" s="6" t="str">
        <f>VLOOKUP(F913,Customer,5,0)</f>
        <v>Liaocheng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139</v>
      </c>
      <c r="O913" s="2">
        <v>30</v>
      </c>
      <c r="P913" s="8">
        <f t="shared" si="72"/>
        <v>169</v>
      </c>
      <c r="Q913" s="8">
        <f t="shared" si="73"/>
        <v>6</v>
      </c>
      <c r="R913" s="2" t="s">
        <v>50</v>
      </c>
      <c r="S913" s="24">
        <f t="shared" si="74"/>
        <v>0.02</v>
      </c>
    </row>
    <row r="914" spans="1:19" x14ac:dyDescent="0.25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>VLOOKUP(F914,'Customer Info'!$A:$B,2,0)</f>
        <v>Greg</v>
      </c>
      <c r="H914" s="6" t="str">
        <f>VLOOKUP(F914,'Customer Info'!$A$1:$C$501,3,0)</f>
        <v>Tran</v>
      </c>
      <c r="I914" s="6" t="str">
        <f>VLOOKUP(F914,Customer,5,0)</f>
        <v>Recklinghausen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265643</v>
      </c>
      <c r="O914" s="2">
        <v>36</v>
      </c>
      <c r="P914" s="8">
        <f t="shared" si="72"/>
        <v>265679</v>
      </c>
      <c r="Q914" s="8">
        <f t="shared" si="73"/>
        <v>21931</v>
      </c>
      <c r="R914" s="2" t="s">
        <v>50</v>
      </c>
      <c r="S914" s="24">
        <f t="shared" si="74"/>
        <v>0.15</v>
      </c>
    </row>
    <row r="915" spans="1:19" x14ac:dyDescent="0.25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>VLOOKUP(F915,'Customer Info'!$A:$B,2,0)</f>
        <v>Victoria</v>
      </c>
      <c r="H915" s="6" t="str">
        <f>VLOOKUP(F915,'Customer Info'!$A$1:$C$501,3,0)</f>
        <v>Brennan</v>
      </c>
      <c r="I915" s="6" t="str">
        <f>VLOOKUP(F915,Customer,5,0)</f>
        <v>Canberra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63</v>
      </c>
      <c r="O915" s="2">
        <v>10</v>
      </c>
      <c r="P915" s="8">
        <f t="shared" si="72"/>
        <v>73</v>
      </c>
      <c r="Q915" s="8">
        <f t="shared" si="73"/>
        <v>4</v>
      </c>
      <c r="R915" s="2" t="s">
        <v>56</v>
      </c>
      <c r="S915" s="24">
        <f t="shared" si="74"/>
        <v>0.02</v>
      </c>
    </row>
    <row r="916" spans="1:19" x14ac:dyDescent="0.25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>VLOOKUP(F916,'Customer Info'!$A:$B,2,0)</f>
        <v>Muhammed</v>
      </c>
      <c r="H916" s="6" t="str">
        <f>VLOOKUP(F916,'Customer Info'!$A$1:$C$501,3,0)</f>
        <v>MacIntyre</v>
      </c>
      <c r="I916" s="6" t="str">
        <f>VLOOKUP(F916,Customer,5,0)</f>
        <v>Lohne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4840</v>
      </c>
      <c r="O916" s="2">
        <v>24</v>
      </c>
      <c r="P916" s="8">
        <f t="shared" si="72"/>
        <v>4864</v>
      </c>
      <c r="Q916" s="8">
        <f t="shared" si="73"/>
        <v>184</v>
      </c>
      <c r="R916" s="2" t="s">
        <v>28</v>
      </c>
      <c r="S916" s="24">
        <f t="shared" si="74"/>
        <v>0.02</v>
      </c>
    </row>
    <row r="917" spans="1:19" x14ac:dyDescent="0.25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>VLOOKUP(F917,'Customer Info'!$A:$B,2,0)</f>
        <v>Dennis</v>
      </c>
      <c r="H917" s="6" t="str">
        <f>VLOOKUP(F917,'Customer Info'!$A$1:$C$501,3,0)</f>
        <v>Pardue</v>
      </c>
      <c r="I917" s="6" t="str">
        <f>VLOOKUP(F917,Customer,5,0)</f>
        <v>Wollongong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19560</v>
      </c>
      <c r="O917" s="2">
        <v>100</v>
      </c>
      <c r="P917" s="8">
        <f t="shared" si="72"/>
        <v>19660</v>
      </c>
      <c r="Q917" s="8">
        <f t="shared" si="73"/>
        <v>1605</v>
      </c>
      <c r="R917" s="2" t="s">
        <v>28</v>
      </c>
      <c r="S917" s="24">
        <f t="shared" si="74"/>
        <v>0.05</v>
      </c>
    </row>
    <row r="918" spans="1:19" x14ac:dyDescent="0.25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>VLOOKUP(F918,'Customer Info'!$A:$B,2,0)</f>
        <v>MaryBeth</v>
      </c>
      <c r="H918" s="6" t="str">
        <f>VLOOKUP(F918,'Customer Info'!$A$1:$C$501,3,0)</f>
        <v>Skach</v>
      </c>
      <c r="I918" s="6" t="str">
        <f>VLOOKUP(F918,Customer,5,0)</f>
        <v>Licheng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7644</v>
      </c>
      <c r="O918" s="2">
        <v>39</v>
      </c>
      <c r="P918" s="8">
        <f t="shared" si="72"/>
        <v>7683</v>
      </c>
      <c r="Q918" s="8">
        <f t="shared" si="73"/>
        <v>504</v>
      </c>
      <c r="R918" s="2" t="s">
        <v>50</v>
      </c>
      <c r="S918" s="24">
        <f t="shared" si="74"/>
        <v>0.05</v>
      </c>
    </row>
    <row r="919" spans="1:19" x14ac:dyDescent="0.25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>VLOOKUP(F919,'Customer Info'!$A:$B,2,0)</f>
        <v>John</v>
      </c>
      <c r="H919" s="6" t="str">
        <f>VLOOKUP(F919,'Customer Info'!$A$1:$C$501,3,0)</f>
        <v>Castell</v>
      </c>
      <c r="I919" s="6" t="str">
        <f>VLOOKUP(F919,Customer,5,0)</f>
        <v>Jakarta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5080</v>
      </c>
      <c r="O919" s="2">
        <v>20</v>
      </c>
      <c r="P919" s="8">
        <f t="shared" si="72"/>
        <v>5100</v>
      </c>
      <c r="Q919" s="8">
        <f t="shared" si="73"/>
        <v>286</v>
      </c>
      <c r="R919" s="2" t="s">
        <v>28</v>
      </c>
      <c r="S919" s="24">
        <f t="shared" si="74"/>
        <v>0.05</v>
      </c>
    </row>
    <row r="920" spans="1:19" x14ac:dyDescent="0.25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>VLOOKUP(F920,'Customer Info'!$A:$B,2,0)</f>
        <v>Jill</v>
      </c>
      <c r="H920" s="6" t="str">
        <f>VLOOKUP(F920,'Customer Info'!$A$1:$C$501,3,0)</f>
        <v>Stevenson</v>
      </c>
      <c r="I920" s="6" t="str">
        <f>VLOOKUP(F920,Customer,5,0)</f>
        <v>Bengbu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3112</v>
      </c>
      <c r="O920" s="2">
        <v>60</v>
      </c>
      <c r="P920" s="8">
        <f t="shared" si="72"/>
        <v>3172</v>
      </c>
      <c r="Q920" s="8">
        <f t="shared" si="73"/>
        <v>284</v>
      </c>
      <c r="R920" s="2" t="s">
        <v>28</v>
      </c>
      <c r="S920" s="24">
        <f t="shared" si="74"/>
        <v>0.02</v>
      </c>
    </row>
    <row r="921" spans="1:19" x14ac:dyDescent="0.25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>VLOOKUP(F921,'Customer Info'!$A:$B,2,0)</f>
        <v>Logan</v>
      </c>
      <c r="H921" s="6" t="str">
        <f>VLOOKUP(F921,'Customer Info'!$A$1:$C$501,3,0)</f>
        <v>Haushalter</v>
      </c>
      <c r="I921" s="6" t="str">
        <f>VLOOKUP(F921,Customer,5,0)</f>
        <v>Canberra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1022</v>
      </c>
      <c r="O921" s="2">
        <v>84</v>
      </c>
      <c r="P921" s="8">
        <f t="shared" si="72"/>
        <v>1106</v>
      </c>
      <c r="Q921" s="8">
        <f t="shared" si="73"/>
        <v>68</v>
      </c>
      <c r="R921" s="2" t="s">
        <v>26</v>
      </c>
      <c r="S921" s="24">
        <f t="shared" si="74"/>
        <v>0.02</v>
      </c>
    </row>
    <row r="922" spans="1:19" x14ac:dyDescent="0.25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>VLOOKUP(F922,'Customer Info'!$A:$B,2,0)</f>
        <v>Maribeth</v>
      </c>
      <c r="H922" s="6" t="str">
        <f>VLOOKUP(F922,'Customer Info'!$A$1:$C$501,3,0)</f>
        <v>Dona</v>
      </c>
      <c r="I922" s="6" t="str">
        <f>VLOOKUP(F922,Customer,5,0)</f>
        <v>Adelaide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13364</v>
      </c>
      <c r="O922" s="2">
        <v>25</v>
      </c>
      <c r="P922" s="8">
        <f t="shared" si="72"/>
        <v>13389</v>
      </c>
      <c r="Q922" s="8">
        <f t="shared" si="73"/>
        <v>756</v>
      </c>
      <c r="R922" s="2" t="s">
        <v>50</v>
      </c>
      <c r="S922" s="24">
        <f t="shared" si="74"/>
        <v>0.05</v>
      </c>
    </row>
    <row r="923" spans="1:19" x14ac:dyDescent="0.25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>VLOOKUP(F923,'Customer Info'!$A:$B,2,0)</f>
        <v>Helen</v>
      </c>
      <c r="H923" s="6" t="str">
        <f>VLOOKUP(F923,'Customer Info'!$A$1:$C$501,3,0)</f>
        <v>Abelman</v>
      </c>
      <c r="I923" s="6" t="str">
        <f>VLOOKUP(F923,Customer,5,0)</f>
        <v>Mangalore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1610</v>
      </c>
      <c r="O923" s="2">
        <v>79</v>
      </c>
      <c r="P923" s="8">
        <f t="shared" si="72"/>
        <v>1689</v>
      </c>
      <c r="Q923" s="8">
        <f t="shared" si="73"/>
        <v>118</v>
      </c>
      <c r="R923" s="2" t="s">
        <v>28</v>
      </c>
      <c r="S923" s="24">
        <f t="shared" si="74"/>
        <v>0.02</v>
      </c>
    </row>
    <row r="924" spans="1:19" x14ac:dyDescent="0.25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>VLOOKUP(F924,'Customer Info'!$A:$B,2,0)</f>
        <v>Cari</v>
      </c>
      <c r="H924" s="6" t="str">
        <f>VLOOKUP(F924,'Customer Info'!$A$1:$C$501,3,0)</f>
        <v>MacIntyre</v>
      </c>
      <c r="I924" s="6" t="str">
        <f>VLOOKUP(F924,Customer,5,0)</f>
        <v>Suzhou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158</v>
      </c>
      <c r="O924" s="2">
        <v>10</v>
      </c>
      <c r="P924" s="8">
        <f t="shared" si="72"/>
        <v>168</v>
      </c>
      <c r="Q924" s="8">
        <f t="shared" si="73"/>
        <v>8</v>
      </c>
      <c r="R924" s="2" t="s">
        <v>50</v>
      </c>
      <c r="S924" s="24">
        <f t="shared" si="74"/>
        <v>0.02</v>
      </c>
    </row>
    <row r="925" spans="1:19" x14ac:dyDescent="0.25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>VLOOKUP(F925,'Customer Info'!$A:$B,2,0)</f>
        <v>Eugene</v>
      </c>
      <c r="H925" s="6" t="str">
        <f>VLOOKUP(F925,'Customer Info'!$A$1:$C$501,3,0)</f>
        <v>Hildebrand</v>
      </c>
      <c r="I925" s="6" t="str">
        <f>VLOOKUP(F925,Customer,5,0)</f>
        <v>Liaocheng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660</v>
      </c>
      <c r="O925" s="2">
        <v>30</v>
      </c>
      <c r="P925" s="8">
        <f t="shared" si="72"/>
        <v>690</v>
      </c>
      <c r="Q925" s="8">
        <f t="shared" si="73"/>
        <v>64</v>
      </c>
      <c r="R925" s="2" t="s">
        <v>28</v>
      </c>
      <c r="S925" s="24">
        <f t="shared" si="74"/>
        <v>0.02</v>
      </c>
    </row>
    <row r="926" spans="1:19" x14ac:dyDescent="0.25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>VLOOKUP(F926,'Customer Info'!$A:$B,2,0)</f>
        <v>Lisa</v>
      </c>
      <c r="H926" s="6" t="str">
        <f>VLOOKUP(F926,'Customer Info'!$A$1:$C$501,3,0)</f>
        <v>Ryan</v>
      </c>
      <c r="I926" s="6" t="str">
        <f>VLOOKUP(F926,Customer,5,0)</f>
        <v>Townsville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5292</v>
      </c>
      <c r="O926" s="2">
        <v>88</v>
      </c>
      <c r="P926" s="8">
        <f t="shared" si="72"/>
        <v>5380</v>
      </c>
      <c r="Q926" s="8">
        <f t="shared" si="73"/>
        <v>384</v>
      </c>
      <c r="R926" s="2" t="s">
        <v>28</v>
      </c>
      <c r="S926" s="24">
        <f t="shared" si="74"/>
        <v>0.05</v>
      </c>
    </row>
    <row r="927" spans="1:19" x14ac:dyDescent="0.25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>VLOOKUP(F927,'Customer Info'!$A:$B,2,0)</f>
        <v>Bill</v>
      </c>
      <c r="H927" s="6" t="str">
        <f>VLOOKUP(F927,'Customer Info'!$A$1:$C$501,3,0)</f>
        <v>Eplett</v>
      </c>
      <c r="I927" s="6" t="str">
        <f>VLOOKUP(F927,Customer,5,0)</f>
        <v>Newcastle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736</v>
      </c>
      <c r="O927" s="2">
        <v>30</v>
      </c>
      <c r="P927" s="8">
        <f t="shared" si="72"/>
        <v>766</v>
      </c>
      <c r="Q927" s="8">
        <f t="shared" si="73"/>
        <v>32</v>
      </c>
      <c r="R927" s="2" t="s">
        <v>50</v>
      </c>
      <c r="S927" s="24">
        <f t="shared" si="74"/>
        <v>0.02</v>
      </c>
    </row>
    <row r="928" spans="1:19" x14ac:dyDescent="0.25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>VLOOKUP(F928,'Customer Info'!$A:$B,2,0)</f>
        <v>Dan</v>
      </c>
      <c r="H928" s="6" t="str">
        <f>VLOOKUP(F928,'Customer Info'!$A$1:$C$501,3,0)</f>
        <v>Campbell</v>
      </c>
      <c r="I928" s="6" t="str">
        <f>VLOOKUP(F928,Customer,5,0)</f>
        <v>Perth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508</v>
      </c>
      <c r="O928" s="2">
        <v>30</v>
      </c>
      <c r="P928" s="8">
        <f t="shared" si="72"/>
        <v>538</v>
      </c>
      <c r="Q928" s="8">
        <f t="shared" si="73"/>
        <v>44</v>
      </c>
      <c r="R928" s="2" t="s">
        <v>28</v>
      </c>
      <c r="S928" s="24">
        <f t="shared" si="74"/>
        <v>0.02</v>
      </c>
    </row>
    <row r="929" spans="1:19" x14ac:dyDescent="0.25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>VLOOKUP(F929,'Customer Info'!$A:$B,2,0)</f>
        <v>Ralph</v>
      </c>
      <c r="H929" s="6" t="str">
        <f>VLOOKUP(F929,'Customer Info'!$A$1:$C$501,3,0)</f>
        <v>Arnett</v>
      </c>
      <c r="I929" s="6" t="str">
        <f>VLOOKUP(F929,Customer,5,0)</f>
        <v>Wolfsburg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8332</v>
      </c>
      <c r="O929" s="2">
        <v>34</v>
      </c>
      <c r="P929" s="8">
        <f t="shared" si="72"/>
        <v>8366</v>
      </c>
      <c r="Q929" s="8">
        <f t="shared" si="73"/>
        <v>316</v>
      </c>
      <c r="R929" s="2" t="s">
        <v>28</v>
      </c>
      <c r="S929" s="24">
        <f t="shared" si="74"/>
        <v>0.05</v>
      </c>
    </row>
    <row r="930" spans="1:19" x14ac:dyDescent="0.25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>VLOOKUP(F930,'Customer Info'!$A:$B,2,0)</f>
        <v>Erica</v>
      </c>
      <c r="H930" s="6" t="str">
        <f>VLOOKUP(F930,'Customer Info'!$A$1:$C$501,3,0)</f>
        <v>Smith</v>
      </c>
      <c r="I930" s="6" t="str">
        <f>VLOOKUP(F930,Customer,5,0)</f>
        <v>Halle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236</v>
      </c>
      <c r="O930" s="2">
        <v>10</v>
      </c>
      <c r="P930" s="8">
        <f t="shared" si="72"/>
        <v>246</v>
      </c>
      <c r="Q930" s="8">
        <f t="shared" si="73"/>
        <v>16</v>
      </c>
      <c r="R930" s="2" t="s">
        <v>50</v>
      </c>
      <c r="S930" s="24">
        <f t="shared" si="74"/>
        <v>0.02</v>
      </c>
    </row>
    <row r="931" spans="1:19" x14ac:dyDescent="0.25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>VLOOKUP(F931,'Customer Info'!$A:$B,2,0)</f>
        <v>Ralph</v>
      </c>
      <c r="H931" s="6" t="str">
        <f>VLOOKUP(F931,'Customer Info'!$A$1:$C$501,3,0)</f>
        <v>Arnett</v>
      </c>
      <c r="I931" s="6" t="str">
        <f>VLOOKUP(F931,Customer,5,0)</f>
        <v>Shenyang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4845</v>
      </c>
      <c r="O931" s="2">
        <v>86</v>
      </c>
      <c r="P931" s="8">
        <f t="shared" si="72"/>
        <v>4931</v>
      </c>
      <c r="Q931" s="8">
        <f t="shared" si="73"/>
        <v>270</v>
      </c>
      <c r="R931" s="2" t="s">
        <v>28</v>
      </c>
      <c r="S931" s="24">
        <f t="shared" si="74"/>
        <v>0.02</v>
      </c>
    </row>
    <row r="932" spans="1:19" x14ac:dyDescent="0.25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>VLOOKUP(F932,'Customer Info'!$A:$B,2,0)</f>
        <v>Peter</v>
      </c>
      <c r="H932" s="6" t="str">
        <f>VLOOKUP(F932,'Customer Info'!$A$1:$C$501,3,0)</f>
        <v>McVee</v>
      </c>
      <c r="I932" s="6" t="str">
        <f>VLOOKUP(F932,Customer,5,0)</f>
        <v>Hamburg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3210</v>
      </c>
      <c r="O932" s="2">
        <v>95</v>
      </c>
      <c r="P932" s="8">
        <f t="shared" si="72"/>
        <v>3305</v>
      </c>
      <c r="Q932" s="8">
        <f t="shared" si="73"/>
        <v>236</v>
      </c>
      <c r="R932" s="2" t="s">
        <v>26</v>
      </c>
      <c r="S932" s="24">
        <f t="shared" si="74"/>
        <v>0.02</v>
      </c>
    </row>
    <row r="933" spans="1:19" x14ac:dyDescent="0.25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>VLOOKUP(F933,'Customer Info'!$A:$B,2,0)</f>
        <v>Darren</v>
      </c>
      <c r="H933" s="6" t="str">
        <f>VLOOKUP(F933,'Customer Info'!$A$1:$C$501,3,0)</f>
        <v>Powers</v>
      </c>
      <c r="I933" s="6" t="str">
        <f>VLOOKUP(F933,Customer,5,0)</f>
        <v>Depok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10988</v>
      </c>
      <c r="O933" s="2">
        <v>73</v>
      </c>
      <c r="P933" s="8">
        <f t="shared" si="72"/>
        <v>11061</v>
      </c>
      <c r="Q933" s="8">
        <f t="shared" si="73"/>
        <v>808</v>
      </c>
      <c r="R933" s="2" t="s">
        <v>56</v>
      </c>
      <c r="S933" s="24">
        <f t="shared" si="74"/>
        <v>0.05</v>
      </c>
    </row>
    <row r="934" spans="1:19" x14ac:dyDescent="0.25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>VLOOKUP(F934,'Customer Info'!$A:$B,2,0)</f>
        <v>Kristen</v>
      </c>
      <c r="H934" s="6" t="str">
        <f>VLOOKUP(F934,'Customer Info'!$A$1:$C$501,3,0)</f>
        <v>Hastings</v>
      </c>
      <c r="I934" s="6" t="str">
        <f>VLOOKUP(F934,Customer,5,0)</f>
        <v>Shihezi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2304</v>
      </c>
      <c r="O934" s="2">
        <v>95</v>
      </c>
      <c r="P934" s="8">
        <f t="shared" si="72"/>
        <v>2399</v>
      </c>
      <c r="Q934" s="8">
        <f t="shared" si="73"/>
        <v>192</v>
      </c>
      <c r="R934" s="2" t="s">
        <v>28</v>
      </c>
      <c r="S934" s="24">
        <f t="shared" si="74"/>
        <v>0.02</v>
      </c>
    </row>
    <row r="935" spans="1:19" x14ac:dyDescent="0.25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>VLOOKUP(F935,'Customer Info'!$A:$B,2,0)</f>
        <v>Dean</v>
      </c>
      <c r="H935" s="6" t="str">
        <f>VLOOKUP(F935,'Customer Info'!$A$1:$C$501,3,0)</f>
        <v>Katz</v>
      </c>
      <c r="I935" s="6" t="str">
        <f>VLOOKUP(F935,Customer,5,0)</f>
        <v>Changzhou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492</v>
      </c>
      <c r="O935" s="2">
        <v>30</v>
      </c>
      <c r="P935" s="8">
        <f t="shared" si="72"/>
        <v>522</v>
      </c>
      <c r="Q935" s="8">
        <f t="shared" si="73"/>
        <v>32</v>
      </c>
      <c r="R935" s="2" t="s">
        <v>50</v>
      </c>
      <c r="S935" s="24">
        <f t="shared" si="74"/>
        <v>0.02</v>
      </c>
    </row>
    <row r="936" spans="1:19" x14ac:dyDescent="0.25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>VLOOKUP(F936,'Customer Info'!$A:$B,2,0)</f>
        <v>Laurel</v>
      </c>
      <c r="H936" s="6" t="str">
        <f>VLOOKUP(F936,'Customer Info'!$A$1:$C$501,3,0)</f>
        <v>Beltran</v>
      </c>
      <c r="I936" s="6" t="str">
        <f>VLOOKUP(F936,Customer,5,0)</f>
        <v>Bonn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1610</v>
      </c>
      <c r="O936" s="2">
        <v>72</v>
      </c>
      <c r="P936" s="8">
        <f t="shared" si="72"/>
        <v>1682</v>
      </c>
      <c r="Q936" s="8">
        <f t="shared" si="73"/>
        <v>118</v>
      </c>
      <c r="R936" s="2" t="s">
        <v>28</v>
      </c>
      <c r="S936" s="24">
        <f t="shared" si="74"/>
        <v>0.02</v>
      </c>
    </row>
    <row r="937" spans="1:19" x14ac:dyDescent="0.25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>VLOOKUP(F937,'Customer Info'!$A:$B,2,0)</f>
        <v>Toby</v>
      </c>
      <c r="H937" s="6" t="str">
        <f>VLOOKUP(F937,'Customer Info'!$A$1:$C$501,3,0)</f>
        <v>Braunhardt</v>
      </c>
      <c r="I937" s="6" t="str">
        <f>VLOOKUP(F937,Customer,5,0)</f>
        <v>Perth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740</v>
      </c>
      <c r="O937" s="2">
        <v>30</v>
      </c>
      <c r="P937" s="8">
        <f t="shared" si="72"/>
        <v>770</v>
      </c>
      <c r="Q937" s="8">
        <f t="shared" si="73"/>
        <v>56</v>
      </c>
      <c r="R937" s="2" t="s">
        <v>28</v>
      </c>
      <c r="S937" s="24">
        <f t="shared" si="74"/>
        <v>0.02</v>
      </c>
    </row>
    <row r="938" spans="1:19" x14ac:dyDescent="0.25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>VLOOKUP(F938,'Customer Info'!$A:$B,2,0)</f>
        <v>Muhammed</v>
      </c>
      <c r="H938" s="6" t="str">
        <f>VLOOKUP(F938,'Customer Info'!$A$1:$C$501,3,0)</f>
        <v>MacIntyre</v>
      </c>
      <c r="I938" s="6" t="str">
        <f>VLOOKUP(F938,Customer,5,0)</f>
        <v>Lohne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1321</v>
      </c>
      <c r="O938" s="2">
        <v>59</v>
      </c>
      <c r="P938" s="8">
        <f t="shared" si="72"/>
        <v>1380</v>
      </c>
      <c r="Q938" s="8">
        <f t="shared" si="73"/>
        <v>110</v>
      </c>
      <c r="R938" s="2" t="s">
        <v>28</v>
      </c>
      <c r="S938" s="24">
        <f t="shared" si="74"/>
        <v>0.02</v>
      </c>
    </row>
    <row r="939" spans="1:19" x14ac:dyDescent="0.25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>VLOOKUP(F939,'Customer Info'!$A:$B,2,0)</f>
        <v>Philisse</v>
      </c>
      <c r="H939" s="6" t="str">
        <f>VLOOKUP(F939,'Customer Info'!$A$1:$C$501,3,0)</f>
        <v>Overcash</v>
      </c>
      <c r="I939" s="6" t="str">
        <f>VLOOKUP(F939,Customer,5,0)</f>
        <v>Devonport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3036</v>
      </c>
      <c r="O939" s="2">
        <v>73</v>
      </c>
      <c r="P939" s="8">
        <f t="shared" si="72"/>
        <v>3109</v>
      </c>
      <c r="Q939" s="8">
        <f t="shared" si="73"/>
        <v>252</v>
      </c>
      <c r="R939" s="2" t="s">
        <v>28</v>
      </c>
      <c r="S939" s="24">
        <f t="shared" si="74"/>
        <v>0.02</v>
      </c>
    </row>
    <row r="940" spans="1:19" x14ac:dyDescent="0.25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>VLOOKUP(F940,'Customer Info'!$A:$B,2,0)</f>
        <v>Michael</v>
      </c>
      <c r="H940" s="6" t="str">
        <f>VLOOKUP(F940,'Customer Info'!$A$1:$C$501,3,0)</f>
        <v>Granlund</v>
      </c>
      <c r="I940" s="6" t="str">
        <f>VLOOKUP(F940,Customer,5,0)</f>
        <v>Sydney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3540</v>
      </c>
      <c r="O940" s="2">
        <v>30</v>
      </c>
      <c r="P940" s="8">
        <f t="shared" si="72"/>
        <v>3570</v>
      </c>
      <c r="Q940" s="8">
        <f t="shared" si="73"/>
        <v>356</v>
      </c>
      <c r="R940" s="2" t="s">
        <v>28</v>
      </c>
      <c r="S940" s="24">
        <f t="shared" si="74"/>
        <v>0.02</v>
      </c>
    </row>
    <row r="941" spans="1:19" x14ac:dyDescent="0.25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>VLOOKUP(F941,'Customer Info'!$A:$B,2,0)</f>
        <v>Toby</v>
      </c>
      <c r="H941" s="6" t="str">
        <f>VLOOKUP(F941,'Customer Info'!$A$1:$C$501,3,0)</f>
        <v>Braunhardt</v>
      </c>
      <c r="I941" s="6" t="str">
        <f>VLOOKUP(F941,Customer,5,0)</f>
        <v>Perth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3455</v>
      </c>
      <c r="O941" s="2">
        <v>90</v>
      </c>
      <c r="P941" s="8">
        <f t="shared" si="72"/>
        <v>3545</v>
      </c>
      <c r="Q941" s="8">
        <f t="shared" si="73"/>
        <v>320</v>
      </c>
      <c r="R941" s="2" t="s">
        <v>50</v>
      </c>
      <c r="S941" s="24">
        <f t="shared" si="74"/>
        <v>0.02</v>
      </c>
    </row>
    <row r="942" spans="1:19" x14ac:dyDescent="0.25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>VLOOKUP(F942,'Customer Info'!$A:$B,2,0)</f>
        <v>Bryan</v>
      </c>
      <c r="H942" s="6" t="str">
        <f>VLOOKUP(F942,'Customer Info'!$A$1:$C$501,3,0)</f>
        <v>Spruell</v>
      </c>
      <c r="I942" s="6" t="str">
        <f>VLOOKUP(F942,Customer,5,0)</f>
        <v>Bekasi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20304</v>
      </c>
      <c r="O942" s="2">
        <v>60</v>
      </c>
      <c r="P942" s="8">
        <f t="shared" si="72"/>
        <v>20364</v>
      </c>
      <c r="Q942" s="8">
        <f t="shared" si="73"/>
        <v>768</v>
      </c>
      <c r="R942" s="2" t="s">
        <v>28</v>
      </c>
      <c r="S942" s="24">
        <f t="shared" si="74"/>
        <v>0.05</v>
      </c>
    </row>
    <row r="943" spans="1:19" x14ac:dyDescent="0.25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>VLOOKUP(F943,'Customer Info'!$A:$B,2,0)</f>
        <v>Lindsay</v>
      </c>
      <c r="H943" s="6" t="str">
        <f>VLOOKUP(F943,'Customer Info'!$A$1:$C$501,3,0)</f>
        <v>Shagiari</v>
      </c>
      <c r="I943" s="6" t="str">
        <f>VLOOKUP(F943,Customer,5,0)</f>
        <v>Canberra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12416</v>
      </c>
      <c r="O943" s="2">
        <v>52</v>
      </c>
      <c r="P943" s="8">
        <f t="shared" si="72"/>
        <v>12468</v>
      </c>
      <c r="Q943" s="8">
        <f t="shared" si="73"/>
        <v>688</v>
      </c>
      <c r="R943" s="2" t="s">
        <v>28</v>
      </c>
      <c r="S943" s="24">
        <f t="shared" si="74"/>
        <v>0.05</v>
      </c>
    </row>
    <row r="944" spans="1:19" x14ac:dyDescent="0.25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>VLOOKUP(F944,'Customer Info'!$A:$B,2,0)</f>
        <v>Irene</v>
      </c>
      <c r="H944" s="6" t="str">
        <f>VLOOKUP(F944,'Customer Info'!$A$1:$C$501,3,0)</f>
        <v>Maddox</v>
      </c>
      <c r="I944" s="6" t="str">
        <f>VLOOKUP(F944,Customer,5,0)</f>
        <v>Bhavnagar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1564</v>
      </c>
      <c r="O944" s="2">
        <v>86</v>
      </c>
      <c r="P944" s="8">
        <f t="shared" si="72"/>
        <v>1650</v>
      </c>
      <c r="Q944" s="8">
        <f t="shared" si="73"/>
        <v>144</v>
      </c>
      <c r="R944" s="2" t="s">
        <v>50</v>
      </c>
      <c r="S944" s="24">
        <f t="shared" si="74"/>
        <v>0.02</v>
      </c>
    </row>
    <row r="945" spans="1:19" x14ac:dyDescent="0.25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>VLOOKUP(F945,'Customer Info'!$A:$B,2,0)</f>
        <v>Rick</v>
      </c>
      <c r="H945" s="6" t="str">
        <f>VLOOKUP(F945,'Customer Info'!$A$1:$C$501,3,0)</f>
        <v>Duston</v>
      </c>
      <c r="I945" s="6" t="str">
        <f>VLOOKUP(F945,Customer,5,0)</f>
        <v>Surakarta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14616</v>
      </c>
      <c r="O945" s="2">
        <v>27</v>
      </c>
      <c r="P945" s="8">
        <f t="shared" si="72"/>
        <v>14643</v>
      </c>
      <c r="Q945" s="8">
        <f t="shared" si="73"/>
        <v>826</v>
      </c>
      <c r="R945" s="2" t="s">
        <v>56</v>
      </c>
      <c r="S945" s="24">
        <f t="shared" si="74"/>
        <v>0.05</v>
      </c>
    </row>
    <row r="946" spans="1:19" x14ac:dyDescent="0.25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>VLOOKUP(F946,'Customer Info'!$A:$B,2,0)</f>
        <v>Parhena</v>
      </c>
      <c r="H946" s="6" t="str">
        <f>VLOOKUP(F946,'Customer Info'!$A$1:$C$501,3,0)</f>
        <v>Norris</v>
      </c>
      <c r="I946" s="6" t="str">
        <f>VLOOKUP(F946,Customer,5,0)</f>
        <v>Bandung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25299</v>
      </c>
      <c r="O946" s="2">
        <v>40</v>
      </c>
      <c r="P946" s="8">
        <f t="shared" si="72"/>
        <v>25339</v>
      </c>
      <c r="Q946" s="8">
        <f t="shared" si="73"/>
        <v>1896</v>
      </c>
      <c r="R946" s="2" t="s">
        <v>28</v>
      </c>
      <c r="S946" s="24">
        <f t="shared" si="74"/>
        <v>7.0000000000000007E-2</v>
      </c>
    </row>
    <row r="947" spans="1:19" x14ac:dyDescent="0.25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>VLOOKUP(F947,'Customer Info'!$A:$B,2,0)</f>
        <v>Jack</v>
      </c>
      <c r="H947" s="6" t="str">
        <f>VLOOKUP(F947,'Customer Info'!$A$1:$C$501,3,0)</f>
        <v>Garza</v>
      </c>
      <c r="I947" s="6" t="str">
        <f>VLOOKUP(F947,Customer,5,0)</f>
        <v>Taiyuan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680</v>
      </c>
      <c r="O947" s="2">
        <v>30</v>
      </c>
      <c r="P947" s="8">
        <f t="shared" si="72"/>
        <v>710</v>
      </c>
      <c r="Q947" s="8">
        <f t="shared" si="73"/>
        <v>68</v>
      </c>
      <c r="R947" s="2" t="s">
        <v>28</v>
      </c>
      <c r="S947" s="24">
        <f t="shared" si="74"/>
        <v>0.02</v>
      </c>
    </row>
    <row r="948" spans="1:19" x14ac:dyDescent="0.25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>VLOOKUP(F948,'Customer Info'!$A:$B,2,0)</f>
        <v>Brian</v>
      </c>
      <c r="H948" s="6" t="str">
        <f>VLOOKUP(F948,'Customer Info'!$A$1:$C$501,3,0)</f>
        <v>Dahlen</v>
      </c>
      <c r="I948" s="6" t="str">
        <f>VLOOKUP(F948,Customer,5,0)</f>
        <v>Shantou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2716</v>
      </c>
      <c r="O948" s="2">
        <v>91</v>
      </c>
      <c r="P948" s="8">
        <f t="shared" si="72"/>
        <v>2807</v>
      </c>
      <c r="Q948" s="8">
        <f t="shared" si="73"/>
        <v>176</v>
      </c>
      <c r="R948" s="2" t="s">
        <v>28</v>
      </c>
      <c r="S948" s="24">
        <f t="shared" si="74"/>
        <v>0.02</v>
      </c>
    </row>
    <row r="949" spans="1:19" x14ac:dyDescent="0.25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>VLOOKUP(F949,'Customer Info'!$A:$B,2,0)</f>
        <v>Max</v>
      </c>
      <c r="H949" s="6" t="str">
        <f>VLOOKUP(F949,'Customer Info'!$A$1:$C$501,3,0)</f>
        <v>Ludwig</v>
      </c>
      <c r="I949" s="6" t="str">
        <f>VLOOKUP(F949,Customer,5,0)</f>
        <v>Cirebon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417</v>
      </c>
      <c r="O949" s="2">
        <v>30</v>
      </c>
      <c r="P949" s="8">
        <f t="shared" si="72"/>
        <v>447</v>
      </c>
      <c r="Q949" s="8">
        <f t="shared" si="73"/>
        <v>18</v>
      </c>
      <c r="R949" s="2" t="s">
        <v>56</v>
      </c>
      <c r="S949" s="24">
        <f t="shared" si="74"/>
        <v>0.02</v>
      </c>
    </row>
    <row r="950" spans="1:19" x14ac:dyDescent="0.25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>VLOOKUP(F950,'Customer Info'!$A:$B,2,0)</f>
        <v>Dianna</v>
      </c>
      <c r="H950" s="6" t="str">
        <f>VLOOKUP(F950,'Customer Info'!$A$1:$C$501,3,0)</f>
        <v>Wilson</v>
      </c>
      <c r="I950" s="6" t="str">
        <f>VLOOKUP(F950,Customer,5,0)</f>
        <v>Gold Coast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8379</v>
      </c>
      <c r="O950" s="2">
        <v>47</v>
      </c>
      <c r="P950" s="8">
        <f t="shared" si="72"/>
        <v>8426</v>
      </c>
      <c r="Q950" s="8">
        <f t="shared" si="73"/>
        <v>318</v>
      </c>
      <c r="R950" s="2" t="s">
        <v>28</v>
      </c>
      <c r="S950" s="24">
        <f t="shared" si="74"/>
        <v>0.05</v>
      </c>
    </row>
    <row r="951" spans="1:19" x14ac:dyDescent="0.25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>VLOOKUP(F951,'Customer Info'!$A:$B,2,0)</f>
        <v>Troy</v>
      </c>
      <c r="H951" s="6" t="str">
        <f>VLOOKUP(F951,'Customer Info'!$A$1:$C$501,3,0)</f>
        <v>Blackwell</v>
      </c>
      <c r="I951" s="6" t="str">
        <f>VLOOKUP(F951,Customer,5,0)</f>
        <v>Akola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25155</v>
      </c>
      <c r="O951" s="2">
        <v>66</v>
      </c>
      <c r="P951" s="8">
        <f t="shared" si="72"/>
        <v>25221</v>
      </c>
      <c r="Q951" s="8">
        <f t="shared" si="73"/>
        <v>1402</v>
      </c>
      <c r="R951" s="2" t="s">
        <v>50</v>
      </c>
      <c r="S951" s="24">
        <f t="shared" si="74"/>
        <v>7.0000000000000007E-2</v>
      </c>
    </row>
    <row r="952" spans="1:19" x14ac:dyDescent="0.25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>VLOOKUP(F952,'Customer Info'!$A:$B,2,0)</f>
        <v>Ralph</v>
      </c>
      <c r="H952" s="6" t="str">
        <f>VLOOKUP(F952,'Customer Info'!$A$1:$C$501,3,0)</f>
        <v>Arnett</v>
      </c>
      <c r="I952" s="6" t="str">
        <f>VLOOKUP(F952,Customer,5,0)</f>
        <v>Shenyang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73712</v>
      </c>
      <c r="O952" s="2">
        <v>80</v>
      </c>
      <c r="P952" s="8">
        <f t="shared" si="72"/>
        <v>73792</v>
      </c>
      <c r="Q952" s="8">
        <f t="shared" si="73"/>
        <v>7352</v>
      </c>
      <c r="R952" s="2" t="s">
        <v>50</v>
      </c>
      <c r="S952" s="24">
        <f t="shared" si="74"/>
        <v>0.09</v>
      </c>
    </row>
    <row r="953" spans="1:19" x14ac:dyDescent="0.25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>VLOOKUP(F953,'Customer Info'!$A:$B,2,0)</f>
        <v>Lynn</v>
      </c>
      <c r="H953" s="6" t="str">
        <f>VLOOKUP(F953,'Customer Info'!$A$1:$C$501,3,0)</f>
        <v>Smith</v>
      </c>
      <c r="I953" s="6" t="str">
        <f>VLOOKUP(F953,Customer,5,0)</f>
        <v>Guiping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75897</v>
      </c>
      <c r="O953" s="2">
        <v>53</v>
      </c>
      <c r="P953" s="8">
        <f t="shared" si="72"/>
        <v>75950</v>
      </c>
      <c r="Q953" s="8">
        <f t="shared" si="73"/>
        <v>5688</v>
      </c>
      <c r="R953" s="2" t="s">
        <v>50</v>
      </c>
      <c r="S953" s="24">
        <f t="shared" si="74"/>
        <v>0.09</v>
      </c>
    </row>
    <row r="954" spans="1:19" x14ac:dyDescent="0.25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>VLOOKUP(F954,'Customer Info'!$A:$B,2,0)</f>
        <v>Robert</v>
      </c>
      <c r="H954" s="6" t="str">
        <f>VLOOKUP(F954,'Customer Info'!$A$1:$C$501,3,0)</f>
        <v>Dilbeck</v>
      </c>
      <c r="I954" s="6" t="str">
        <f>VLOOKUP(F954,Customer,5,0)</f>
        <v>Melton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17476</v>
      </c>
      <c r="O954" s="2">
        <v>91</v>
      </c>
      <c r="P954" s="8">
        <f t="shared" si="72"/>
        <v>17567</v>
      </c>
      <c r="Q954" s="8">
        <f t="shared" si="73"/>
        <v>1152</v>
      </c>
      <c r="R954" s="2" t="s">
        <v>26</v>
      </c>
      <c r="S954" s="24">
        <f t="shared" si="74"/>
        <v>0.05</v>
      </c>
    </row>
    <row r="955" spans="1:19" x14ac:dyDescent="0.25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>VLOOKUP(F955,'Customer Info'!$A:$B,2,0)</f>
        <v>Rick</v>
      </c>
      <c r="H955" s="6" t="str">
        <f>VLOOKUP(F955,'Customer Info'!$A$1:$C$501,3,0)</f>
        <v>Duston</v>
      </c>
      <c r="I955" s="6" t="str">
        <f>VLOOKUP(F955,Customer,5,0)</f>
        <v>Bhiwandi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5556</v>
      </c>
      <c r="O955" s="2">
        <v>78</v>
      </c>
      <c r="P955" s="8">
        <f t="shared" si="72"/>
        <v>5634</v>
      </c>
      <c r="Q955" s="8">
        <f t="shared" si="73"/>
        <v>410</v>
      </c>
      <c r="R955" s="2" t="s">
        <v>50</v>
      </c>
      <c r="S955" s="24">
        <f t="shared" si="74"/>
        <v>0.05</v>
      </c>
    </row>
    <row r="956" spans="1:19" x14ac:dyDescent="0.25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>VLOOKUP(F956,'Customer Info'!$A:$B,2,0)</f>
        <v>Stuart</v>
      </c>
      <c r="H956" s="6" t="str">
        <f>VLOOKUP(F956,'Customer Info'!$A$1:$C$501,3,0)</f>
        <v>Calhoun</v>
      </c>
      <c r="I956" s="6" t="str">
        <f>VLOOKUP(F956,Customer,5,0)</f>
        <v>Raipur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61264</v>
      </c>
      <c r="O956" s="2">
        <v>64</v>
      </c>
      <c r="P956" s="8">
        <f t="shared" si="72"/>
        <v>61328</v>
      </c>
      <c r="Q956" s="8">
        <f t="shared" si="73"/>
        <v>6125</v>
      </c>
      <c r="R956" s="2" t="s">
        <v>50</v>
      </c>
      <c r="S956" s="24">
        <f t="shared" si="74"/>
        <v>0.09</v>
      </c>
    </row>
    <row r="957" spans="1:19" x14ac:dyDescent="0.25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>VLOOKUP(F957,'Customer Info'!$A:$B,2,0)</f>
        <v>Ed</v>
      </c>
      <c r="H957" s="6" t="str">
        <f>VLOOKUP(F957,'Customer Info'!$A$1:$C$501,3,0)</f>
        <v>Braxton</v>
      </c>
      <c r="I957" s="6" t="str">
        <f>VLOOKUP(F957,Customer,5,0)</f>
        <v>Bhatpara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1619</v>
      </c>
      <c r="O957" s="2">
        <v>68</v>
      </c>
      <c r="P957" s="8">
        <f t="shared" si="72"/>
        <v>1687</v>
      </c>
      <c r="Q957" s="8">
        <f t="shared" si="73"/>
        <v>177</v>
      </c>
      <c r="R957" s="2" t="s">
        <v>28</v>
      </c>
      <c r="S957" s="24">
        <f t="shared" si="74"/>
        <v>0.02</v>
      </c>
    </row>
    <row r="958" spans="1:19" x14ac:dyDescent="0.25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>VLOOKUP(F958,'Customer Info'!$A:$B,2,0)</f>
        <v>Tony</v>
      </c>
      <c r="H958" s="6" t="str">
        <f>VLOOKUP(F958,'Customer Info'!$A$1:$C$501,3,0)</f>
        <v>Sayre</v>
      </c>
      <c r="I958" s="6" t="str">
        <f>VLOOKUP(F958,Customer,5,0)</f>
        <v>Wafangdian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505</v>
      </c>
      <c r="O958" s="2">
        <v>40</v>
      </c>
      <c r="P958" s="8">
        <f t="shared" si="72"/>
        <v>545</v>
      </c>
      <c r="Q958" s="8">
        <f t="shared" si="73"/>
        <v>42</v>
      </c>
      <c r="R958" s="2" t="s">
        <v>28</v>
      </c>
      <c r="S958" s="24">
        <f t="shared" si="74"/>
        <v>0.02</v>
      </c>
    </row>
    <row r="959" spans="1:19" x14ac:dyDescent="0.25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>VLOOKUP(F959,'Customer Info'!$A:$B,2,0)</f>
        <v>Carlos</v>
      </c>
      <c r="H959" s="6" t="str">
        <f>VLOOKUP(F959,'Customer Info'!$A$1:$C$501,3,0)</f>
        <v>Soltero</v>
      </c>
      <c r="I959" s="6" t="str">
        <f>VLOOKUP(F959,Customer,5,0)</f>
        <v>Wodonga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14424</v>
      </c>
      <c r="O959" s="2">
        <v>41</v>
      </c>
      <c r="P959" s="8">
        <f t="shared" si="72"/>
        <v>14465</v>
      </c>
      <c r="Q959" s="8">
        <f t="shared" si="73"/>
        <v>950</v>
      </c>
      <c r="R959" s="2" t="s">
        <v>28</v>
      </c>
      <c r="S959" s="24">
        <f t="shared" si="74"/>
        <v>0.05</v>
      </c>
    </row>
    <row r="960" spans="1:19" x14ac:dyDescent="0.25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>VLOOKUP(F960,'Customer Info'!$A:$B,2,0)</f>
        <v>Cyra</v>
      </c>
      <c r="H960" s="6" t="str">
        <f>VLOOKUP(F960,'Customer Info'!$A$1:$C$501,3,0)</f>
        <v>Reiten</v>
      </c>
      <c r="I960" s="6" t="str">
        <f>VLOOKUP(F960,Customer,5,0)</f>
        <v>Samarinda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3832</v>
      </c>
      <c r="O960" s="2">
        <v>39</v>
      </c>
      <c r="P960" s="8">
        <f t="shared" si="72"/>
        <v>3871</v>
      </c>
      <c r="Q960" s="8">
        <f t="shared" si="73"/>
        <v>144</v>
      </c>
      <c r="R960" s="2" t="s">
        <v>28</v>
      </c>
      <c r="S960" s="24">
        <f t="shared" si="74"/>
        <v>0.02</v>
      </c>
    </row>
    <row r="961" spans="1:19" x14ac:dyDescent="0.25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>VLOOKUP(F961,'Customer Info'!$A:$B,2,0)</f>
        <v>Jeremy</v>
      </c>
      <c r="H961" s="6" t="str">
        <f>VLOOKUP(F961,'Customer Info'!$A$1:$C$501,3,0)</f>
        <v>Ellison</v>
      </c>
      <c r="I961" s="6" t="str">
        <f>VLOOKUP(F961,Customer,5,0)</f>
        <v>Faridabad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558</v>
      </c>
      <c r="O961" s="2">
        <v>24</v>
      </c>
      <c r="P961" s="8">
        <f t="shared" si="72"/>
        <v>582</v>
      </c>
      <c r="Q961" s="8">
        <f t="shared" si="73"/>
        <v>50</v>
      </c>
      <c r="R961" s="2" t="s">
        <v>50</v>
      </c>
      <c r="S961" s="24">
        <f t="shared" si="74"/>
        <v>0.02</v>
      </c>
    </row>
    <row r="962" spans="1:19" x14ac:dyDescent="0.25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>VLOOKUP(F962,'Customer Info'!$A:$B,2,0)</f>
        <v>Mike</v>
      </c>
      <c r="H962" s="6" t="str">
        <f>VLOOKUP(F962,'Customer Info'!$A$1:$C$501,3,0)</f>
        <v>Pelletier</v>
      </c>
      <c r="I962" s="6" t="str">
        <f>VLOOKUP(F962,Customer,5,0)</f>
        <v>Gorakhpur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7560</v>
      </c>
      <c r="O962" s="2">
        <v>29</v>
      </c>
      <c r="P962" s="8">
        <f t="shared" si="72"/>
        <v>7589</v>
      </c>
      <c r="Q962" s="8">
        <f t="shared" si="73"/>
        <v>75</v>
      </c>
      <c r="R962" s="2" t="s">
        <v>56</v>
      </c>
      <c r="S962" s="24">
        <f t="shared" si="74"/>
        <v>0.05</v>
      </c>
    </row>
    <row r="963" spans="1:19" x14ac:dyDescent="0.25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>VLOOKUP(F963,'Customer Info'!$A:$B,2,0)</f>
        <v>Toby</v>
      </c>
      <c r="H963" s="6" t="str">
        <f>VLOOKUP(F963,'Customer Info'!$A$1:$C$501,3,0)</f>
        <v>Gnade</v>
      </c>
      <c r="I963" s="6" t="str">
        <f>VLOOKUP(F963,Customer,5,0)</f>
        <v>Bhopal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1983</v>
      </c>
      <c r="O963" s="2">
        <v>93</v>
      </c>
      <c r="P963" s="8">
        <f t="shared" si="72"/>
        <v>2076</v>
      </c>
      <c r="Q963" s="8">
        <f t="shared" si="73"/>
        <v>75</v>
      </c>
      <c r="R963" s="2" t="s">
        <v>28</v>
      </c>
      <c r="S963" s="24">
        <f t="shared" si="74"/>
        <v>0.02</v>
      </c>
    </row>
    <row r="964" spans="1:19" x14ac:dyDescent="0.25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>VLOOKUP(F964,'Customer Info'!$A:$B,2,0)</f>
        <v>Sally</v>
      </c>
      <c r="H964" s="6" t="str">
        <f>VLOOKUP(F964,'Customer Info'!$A$1:$C$501,3,0)</f>
        <v>Hughsby</v>
      </c>
      <c r="I964" s="6" t="str">
        <f>VLOOKUP(F964,Customer,5,0)</f>
        <v>Depok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4341</v>
      </c>
      <c r="O964" s="2">
        <v>69</v>
      </c>
      <c r="P964" s="8">
        <f t="shared" si="72"/>
        <v>4410</v>
      </c>
      <c r="Q964" s="8">
        <f t="shared" si="73"/>
        <v>363</v>
      </c>
      <c r="R964" s="2" t="s">
        <v>28</v>
      </c>
      <c r="S964" s="24">
        <f t="shared" si="74"/>
        <v>0.02</v>
      </c>
    </row>
    <row r="965" spans="1:19" x14ac:dyDescent="0.25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>VLOOKUP(F965,'Customer Info'!$A:$B,2,0)</f>
        <v>Mike</v>
      </c>
      <c r="H965" s="6" t="str">
        <f>VLOOKUP(F965,'Customer Info'!$A$1:$C$501,3,0)</f>
        <v>Vittorini</v>
      </c>
      <c r="I965" s="6" t="str">
        <f>VLOOKUP(F965,Customer,5,0)</f>
        <v>Naihati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998</v>
      </c>
      <c r="O965" s="2">
        <v>78</v>
      </c>
      <c r="P965" s="8">
        <f t="shared" si="72"/>
        <v>1076</v>
      </c>
      <c r="Q965" s="8">
        <f t="shared" si="73"/>
        <v>67</v>
      </c>
      <c r="R965" s="2" t="s">
        <v>28</v>
      </c>
      <c r="S965" s="24">
        <f t="shared" si="74"/>
        <v>0.02</v>
      </c>
    </row>
    <row r="966" spans="1:19" x14ac:dyDescent="0.25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>VLOOKUP(F966,'Customer Info'!$A:$B,2,0)</f>
        <v>Pamela</v>
      </c>
      <c r="H966" s="6" t="str">
        <f>VLOOKUP(F966,'Customer Info'!$A$1:$C$501,3,0)</f>
        <v>Stobb</v>
      </c>
      <c r="I966" s="6" t="str">
        <f>VLOOKUP(F966,Customer,5,0)</f>
        <v>Bremen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412</v>
      </c>
      <c r="O966" s="2">
        <v>79</v>
      </c>
      <c r="P966" s="8">
        <f t="shared" si="72"/>
        <v>491</v>
      </c>
      <c r="Q966" s="8">
        <f t="shared" si="73"/>
        <v>34</v>
      </c>
      <c r="R966" s="2" t="s">
        <v>50</v>
      </c>
      <c r="S966" s="24">
        <f t="shared" si="74"/>
        <v>0.02</v>
      </c>
    </row>
    <row r="967" spans="1:19" x14ac:dyDescent="0.25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>VLOOKUP(F967,'Customer Info'!$A:$B,2,0)</f>
        <v>Pauline</v>
      </c>
      <c r="H967" s="6" t="str">
        <f>VLOOKUP(F967,'Customer Info'!$A$1:$C$501,3,0)</f>
        <v>Chand</v>
      </c>
      <c r="I967" s="6" t="str">
        <f>VLOOKUP(F967,Customer,5,0)</f>
        <v>Perth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29545</v>
      </c>
      <c r="O967" s="2">
        <v>22</v>
      </c>
      <c r="P967" s="8">
        <f t="shared" si="72"/>
        <v>29567</v>
      </c>
      <c r="Q967" s="8">
        <f t="shared" si="73"/>
        <v>1905</v>
      </c>
      <c r="R967" s="2" t="s">
        <v>50</v>
      </c>
      <c r="S967" s="24">
        <f t="shared" si="74"/>
        <v>7.0000000000000007E-2</v>
      </c>
    </row>
    <row r="968" spans="1:19" x14ac:dyDescent="0.25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>VLOOKUP(F968,'Customer Info'!$A:$B,2,0)</f>
        <v>Ryan</v>
      </c>
      <c r="H968" s="6" t="str">
        <f>VLOOKUP(F968,'Customer Info'!$A$1:$C$501,3,0)</f>
        <v>Crowe</v>
      </c>
      <c r="I968" s="6" t="str">
        <f>VLOOKUP(F968,Customer,5,0)</f>
        <v>Kanpur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2907</v>
      </c>
      <c r="O968" s="2">
        <v>75</v>
      </c>
      <c r="P968" s="8">
        <f t="shared" si="72"/>
        <v>2982</v>
      </c>
      <c r="Q968" s="8">
        <f t="shared" si="73"/>
        <v>240</v>
      </c>
      <c r="R968" s="2" t="s">
        <v>50</v>
      </c>
      <c r="S968" s="24">
        <f t="shared" si="74"/>
        <v>0.02</v>
      </c>
    </row>
    <row r="969" spans="1:19" x14ac:dyDescent="0.25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>VLOOKUP(F969,'Customer Info'!$A:$B,2,0)</f>
        <v>Stuart</v>
      </c>
      <c r="H969" s="6" t="str">
        <f>VLOOKUP(F969,'Customer Info'!$A$1:$C$501,3,0)</f>
        <v>Calhoun</v>
      </c>
      <c r="I969" s="6" t="str">
        <f>VLOOKUP(F969,Customer,5,0)</f>
        <v>Raipur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820</v>
      </c>
      <c r="O969" s="2">
        <v>30</v>
      </c>
      <c r="P969" s="8">
        <f t="shared" si="72"/>
        <v>850</v>
      </c>
      <c r="Q969" s="8">
        <f t="shared" si="73"/>
        <v>60</v>
      </c>
      <c r="R969" s="2" t="s">
        <v>28</v>
      </c>
      <c r="S969" s="24">
        <f t="shared" si="74"/>
        <v>0.02</v>
      </c>
    </row>
    <row r="970" spans="1:19" x14ac:dyDescent="0.25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>VLOOKUP(F970,'Customer Info'!$A:$B,2,0)</f>
        <v>Brendan</v>
      </c>
      <c r="H970" s="6" t="str">
        <f>VLOOKUP(F970,'Customer Info'!$A$1:$C$501,3,0)</f>
        <v>Murry</v>
      </c>
      <c r="I970" s="6" t="str">
        <f>VLOOKUP(F970,Customer,5,0)</f>
        <v>Brahmapur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3600</v>
      </c>
      <c r="O970" s="2">
        <v>56</v>
      </c>
      <c r="P970" s="8">
        <f t="shared" si="72"/>
        <v>3656</v>
      </c>
      <c r="Q970" s="8">
        <f t="shared" si="73"/>
        <v>360</v>
      </c>
      <c r="R970" s="2" t="s">
        <v>28</v>
      </c>
      <c r="S970" s="24">
        <f t="shared" si="74"/>
        <v>0.02</v>
      </c>
    </row>
    <row r="971" spans="1:19" x14ac:dyDescent="0.25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>VLOOKUP(F971,'Customer Info'!$A:$B,2,0)</f>
        <v>Maureen</v>
      </c>
      <c r="H971" s="6" t="str">
        <f>VLOOKUP(F971,'Customer Info'!$A$1:$C$501,3,0)</f>
        <v>Fritzler</v>
      </c>
      <c r="I971" s="6" t="str">
        <f>VLOOKUP(F971,Customer,5,0)</f>
        <v>BadenBaden</v>
      </c>
      <c r="J971" s="2">
        <v>6598</v>
      </c>
      <c r="K971" s="2">
        <v>6346</v>
      </c>
      <c r="L971" s="2">
        <v>5</v>
      </c>
      <c r="M971" s="7">
        <f t="shared" ref="M971:M1034" si="75">K971*L971</f>
        <v>31730</v>
      </c>
      <c r="N971" s="7">
        <f t="shared" ref="N971:N1034" si="76">J971*L971</f>
        <v>32990</v>
      </c>
      <c r="O971" s="2">
        <v>25</v>
      </c>
      <c r="P971" s="8">
        <f t="shared" ref="P971:P1034" si="77">N971+O971</f>
        <v>33015</v>
      </c>
      <c r="Q971" s="8">
        <f t="shared" ref="Q971:Q1034" si="78">N971-M971</f>
        <v>1260</v>
      </c>
      <c r="R971" s="2" t="s">
        <v>28</v>
      </c>
      <c r="S971" s="24">
        <f t="shared" ref="S971:S1034" si="79">VLOOKUP(N971,$T$1:$U$7,2,TRUE)</f>
        <v>7.0000000000000007E-2</v>
      </c>
    </row>
    <row r="972" spans="1:19" x14ac:dyDescent="0.25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>VLOOKUP(F972,'Customer Info'!$A:$B,2,0)</f>
        <v>Becky</v>
      </c>
      <c r="H972" s="6" t="str">
        <f>VLOOKUP(F972,'Customer Info'!$A$1:$C$501,3,0)</f>
        <v>Pak</v>
      </c>
      <c r="I972" s="6" t="str">
        <f>VLOOKUP(F972,Customer,5,0)</f>
        <v>Geelong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8">
        <f t="shared" si="77"/>
        <v>3351</v>
      </c>
      <c r="Q972" s="8">
        <f t="shared" si="78"/>
        <v>212</v>
      </c>
      <c r="R972" s="2" t="s">
        <v>28</v>
      </c>
      <c r="S972" s="24">
        <f t="shared" si="79"/>
        <v>0.02</v>
      </c>
    </row>
    <row r="973" spans="1:19" x14ac:dyDescent="0.25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>VLOOKUP(F973,'Customer Info'!$A:$B,2,0)</f>
        <v>Jennifer</v>
      </c>
      <c r="H973" s="6" t="str">
        <f>VLOOKUP(F973,'Customer Info'!$A$1:$C$501,3,0)</f>
        <v>Halladay</v>
      </c>
      <c r="I973" s="6" t="str">
        <f>VLOOKUP(F973,Customer,5,0)</f>
        <v>Krefeld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8">
        <f t="shared" si="77"/>
        <v>14583</v>
      </c>
      <c r="Q973" s="8">
        <f t="shared" si="78"/>
        <v>807</v>
      </c>
      <c r="R973" s="2" t="s">
        <v>26</v>
      </c>
      <c r="S973" s="24">
        <f t="shared" si="79"/>
        <v>0.05</v>
      </c>
    </row>
    <row r="974" spans="1:19" x14ac:dyDescent="0.25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>VLOOKUP(F974,'Customer Info'!$A:$B,2,0)</f>
        <v>Katrina</v>
      </c>
      <c r="H974" s="6" t="str">
        <f>VLOOKUP(F974,'Customer Info'!$A$1:$C$501,3,0)</f>
        <v>Bavinger</v>
      </c>
      <c r="I974" s="6" t="str">
        <f>VLOOKUP(F974,Customer,5,0)</f>
        <v>Melbourne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8">
        <f t="shared" si="77"/>
        <v>12171</v>
      </c>
      <c r="Q974" s="8">
        <f t="shared" si="78"/>
        <v>116</v>
      </c>
      <c r="R974" s="2" t="s">
        <v>50</v>
      </c>
      <c r="S974" s="24">
        <f t="shared" si="79"/>
        <v>0.05</v>
      </c>
    </row>
    <row r="975" spans="1:19" x14ac:dyDescent="0.25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>VLOOKUP(F975,'Customer Info'!$A:$B,2,0)</f>
        <v>Jack</v>
      </c>
      <c r="H975" s="6" t="str">
        <f>VLOOKUP(F975,'Customer Info'!$A$1:$C$501,3,0)</f>
        <v>O'Briant</v>
      </c>
      <c r="I975" s="6" t="str">
        <f>VLOOKUP(F975,Customer,5,0)</f>
        <v>Jammu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8">
        <f t="shared" si="77"/>
        <v>2350</v>
      </c>
      <c r="Q975" s="8">
        <f t="shared" si="78"/>
        <v>130</v>
      </c>
      <c r="R975" s="2" t="s">
        <v>28</v>
      </c>
      <c r="S975" s="24">
        <f t="shared" si="79"/>
        <v>0.02</v>
      </c>
    </row>
    <row r="976" spans="1:19" x14ac:dyDescent="0.25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>VLOOKUP(F976,'Customer Info'!$A:$B,2,0)</f>
        <v>Liz</v>
      </c>
      <c r="H976" s="6" t="str">
        <f>VLOOKUP(F976,'Customer Info'!$A$1:$C$501,3,0)</f>
        <v>Carlisle</v>
      </c>
      <c r="I976" s="6" t="str">
        <f>VLOOKUP(F976,Customer,5,0)</f>
        <v>Luoyang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472</v>
      </c>
      <c r="O976" s="2">
        <v>70</v>
      </c>
      <c r="P976" s="8">
        <f t="shared" si="77"/>
        <v>542</v>
      </c>
      <c r="Q976" s="8">
        <f t="shared" si="78"/>
        <v>40</v>
      </c>
      <c r="R976" s="2" t="s">
        <v>28</v>
      </c>
      <c r="S976" s="24">
        <f t="shared" si="79"/>
        <v>0.02</v>
      </c>
    </row>
    <row r="977" spans="1:19" x14ac:dyDescent="0.25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>VLOOKUP(F977,'Customer Info'!$A:$B,2,0)</f>
        <v>Bill</v>
      </c>
      <c r="H977" s="6" t="str">
        <f>VLOOKUP(F977,'Customer Info'!$A$1:$C$501,3,0)</f>
        <v>Stewart</v>
      </c>
      <c r="I977" s="6" t="str">
        <f>VLOOKUP(F977,Customer,5,0)</f>
        <v>Wenling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4074</v>
      </c>
      <c r="O977" s="2">
        <v>96</v>
      </c>
      <c r="P977" s="8">
        <f t="shared" si="77"/>
        <v>4170</v>
      </c>
      <c r="Q977" s="8">
        <f t="shared" si="78"/>
        <v>192</v>
      </c>
      <c r="R977" s="2" t="s">
        <v>56</v>
      </c>
      <c r="S977" s="24">
        <f t="shared" si="79"/>
        <v>0.02</v>
      </c>
    </row>
    <row r="978" spans="1:19" x14ac:dyDescent="0.25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>VLOOKUP(F978,'Customer Info'!$A:$B,2,0)</f>
        <v>Eric</v>
      </c>
      <c r="H978" s="6" t="str">
        <f>VLOOKUP(F978,'Customer Info'!$A$1:$C$501,3,0)</f>
        <v>Barreto</v>
      </c>
      <c r="I978" s="6" t="str">
        <f>VLOOKUP(F978,Customer,5,0)</f>
        <v>Liaoyang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5494</v>
      </c>
      <c r="O978" s="2">
        <v>84</v>
      </c>
      <c r="P978" s="8">
        <f t="shared" si="77"/>
        <v>5578</v>
      </c>
      <c r="Q978" s="8">
        <f t="shared" si="78"/>
        <v>404</v>
      </c>
      <c r="R978" s="2" t="s">
        <v>28</v>
      </c>
      <c r="S978" s="24">
        <f t="shared" si="79"/>
        <v>0.05</v>
      </c>
    </row>
    <row r="979" spans="1:19" x14ac:dyDescent="0.25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>VLOOKUP(F979,'Customer Info'!$A:$B,2,0)</f>
        <v>Natalie</v>
      </c>
      <c r="H979" s="6" t="str">
        <f>VLOOKUP(F979,'Customer Info'!$A$1:$C$501,3,0)</f>
        <v>DeCherney</v>
      </c>
      <c r="I979" s="6" t="str">
        <f>VLOOKUP(F979,Customer,5,0)</f>
        <v>Anqing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17302</v>
      </c>
      <c r="O979" s="2">
        <v>66</v>
      </c>
      <c r="P979" s="8">
        <f t="shared" si="77"/>
        <v>17368</v>
      </c>
      <c r="Q979" s="8">
        <f t="shared" si="78"/>
        <v>1140</v>
      </c>
      <c r="R979" s="2" t="s">
        <v>28</v>
      </c>
      <c r="S979" s="24">
        <f t="shared" si="79"/>
        <v>0.05</v>
      </c>
    </row>
    <row r="980" spans="1:19" x14ac:dyDescent="0.25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>VLOOKUP(F980,'Customer Info'!$A:$B,2,0)</f>
        <v>Jeremy</v>
      </c>
      <c r="H980" s="6" t="str">
        <f>VLOOKUP(F980,'Customer Info'!$A$1:$C$501,3,0)</f>
        <v>Ellison</v>
      </c>
      <c r="I980" s="6" t="str">
        <f>VLOOKUP(F980,Customer,5,0)</f>
        <v>Faridabad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16182</v>
      </c>
      <c r="O980" s="2">
        <v>94</v>
      </c>
      <c r="P980" s="8">
        <f t="shared" si="77"/>
        <v>16276</v>
      </c>
      <c r="Q980" s="8">
        <f t="shared" si="78"/>
        <v>1194</v>
      </c>
      <c r="R980" s="2" t="s">
        <v>28</v>
      </c>
      <c r="S980" s="24">
        <f t="shared" si="79"/>
        <v>0.05</v>
      </c>
    </row>
    <row r="981" spans="1:19" x14ac:dyDescent="0.25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>VLOOKUP(F981,'Customer Info'!$A:$B,2,0)</f>
        <v>Erica</v>
      </c>
      <c r="H981" s="6" t="str">
        <f>VLOOKUP(F981,'Customer Info'!$A$1:$C$501,3,0)</f>
        <v>Smith</v>
      </c>
      <c r="I981" s="6" t="str">
        <f>VLOOKUP(F981,Customer,5,0)</f>
        <v>Halle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1650</v>
      </c>
      <c r="O981" s="2">
        <v>44</v>
      </c>
      <c r="P981" s="8">
        <f t="shared" si="77"/>
        <v>1694</v>
      </c>
      <c r="Q981" s="8">
        <f t="shared" si="78"/>
        <v>64</v>
      </c>
      <c r="R981" s="2" t="s">
        <v>28</v>
      </c>
      <c r="S981" s="24">
        <f t="shared" si="79"/>
        <v>0.02</v>
      </c>
    </row>
    <row r="982" spans="1:19" x14ac:dyDescent="0.25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>VLOOKUP(F982,'Customer Info'!$A:$B,2,0)</f>
        <v>Carl</v>
      </c>
      <c r="H982" s="6" t="str">
        <f>VLOOKUP(F982,'Customer Info'!$A$1:$C$501,3,0)</f>
        <v>Weiss</v>
      </c>
      <c r="I982" s="6" t="str">
        <f>VLOOKUP(F982,Customer,5,0)</f>
        <v>Delhi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1772</v>
      </c>
      <c r="O982" s="2">
        <v>40</v>
      </c>
      <c r="P982" s="8">
        <f t="shared" si="77"/>
        <v>1812</v>
      </c>
      <c r="Q982" s="8">
        <f t="shared" si="78"/>
        <v>180</v>
      </c>
      <c r="R982" s="2" t="s">
        <v>28</v>
      </c>
      <c r="S982" s="24">
        <f t="shared" si="79"/>
        <v>0.02</v>
      </c>
    </row>
    <row r="983" spans="1:19" x14ac:dyDescent="0.25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>VLOOKUP(F983,'Customer Info'!$A:$B,2,0)</f>
        <v>Logan</v>
      </c>
      <c r="H983" s="6" t="str">
        <f>VLOOKUP(F983,'Customer Info'!$A$1:$C$501,3,0)</f>
        <v>Currie</v>
      </c>
      <c r="I983" s="6" t="str">
        <f>VLOOKUP(F983,Customer,5,0)</f>
        <v>Anshan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4458</v>
      </c>
      <c r="O983" s="2">
        <v>80</v>
      </c>
      <c r="P983" s="8">
        <f t="shared" si="77"/>
        <v>4538</v>
      </c>
      <c r="Q983" s="8">
        <f t="shared" si="78"/>
        <v>294</v>
      </c>
      <c r="R983" s="2" t="s">
        <v>28</v>
      </c>
      <c r="S983" s="24">
        <f t="shared" si="79"/>
        <v>0.02</v>
      </c>
    </row>
    <row r="984" spans="1:19" x14ac:dyDescent="0.25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>VLOOKUP(F984,'Customer Info'!$A:$B,2,0)</f>
        <v>Mick</v>
      </c>
      <c r="H984" s="6" t="str">
        <f>VLOOKUP(F984,'Customer Info'!$A$1:$C$501,3,0)</f>
        <v>Crebagga</v>
      </c>
      <c r="I984" s="6" t="str">
        <f>VLOOKUP(F984,Customer,5,0)</f>
        <v>Banjarmasin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2116</v>
      </c>
      <c r="O984" s="2">
        <v>42</v>
      </c>
      <c r="P984" s="8">
        <f t="shared" si="77"/>
        <v>2158</v>
      </c>
      <c r="Q984" s="8">
        <f t="shared" si="78"/>
        <v>138</v>
      </c>
      <c r="R984" s="2" t="s">
        <v>28</v>
      </c>
      <c r="S984" s="24">
        <f t="shared" si="79"/>
        <v>0.02</v>
      </c>
    </row>
    <row r="985" spans="1:19" x14ac:dyDescent="0.25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>VLOOKUP(F985,'Customer Info'!$A:$B,2,0)</f>
        <v>Cari</v>
      </c>
      <c r="H985" s="6" t="str">
        <f>VLOOKUP(F985,'Customer Info'!$A$1:$C$501,3,0)</f>
        <v>Sayre</v>
      </c>
      <c r="I985" s="6" t="str">
        <f>VLOOKUP(F985,Customer,5,0)</f>
        <v>Recklinghausen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5616</v>
      </c>
      <c r="O985" s="2">
        <v>75</v>
      </c>
      <c r="P985" s="8">
        <f t="shared" si="77"/>
        <v>5691</v>
      </c>
      <c r="Q985" s="8">
        <f t="shared" si="78"/>
        <v>268</v>
      </c>
      <c r="R985" s="2" t="s">
        <v>50</v>
      </c>
      <c r="S985" s="24">
        <f t="shared" si="79"/>
        <v>0.05</v>
      </c>
    </row>
    <row r="986" spans="1:19" x14ac:dyDescent="0.25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>VLOOKUP(F986,'Customer Info'!$A:$B,2,0)</f>
        <v>Thomas</v>
      </c>
      <c r="H986" s="6" t="str">
        <f>VLOOKUP(F986,'Customer Info'!$A$1:$C$501,3,0)</f>
        <v>Brumley</v>
      </c>
      <c r="I986" s="6" t="str">
        <f>VLOOKUP(F986,Customer,5,0)</f>
        <v>Jinan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5658</v>
      </c>
      <c r="O986" s="2">
        <v>66</v>
      </c>
      <c r="P986" s="8">
        <f t="shared" si="77"/>
        <v>5724</v>
      </c>
      <c r="Q986" s="8">
        <f t="shared" si="78"/>
        <v>466</v>
      </c>
      <c r="R986" s="2" t="s">
        <v>28</v>
      </c>
      <c r="S986" s="24">
        <f t="shared" si="79"/>
        <v>0.05</v>
      </c>
    </row>
    <row r="987" spans="1:19" x14ac:dyDescent="0.25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>VLOOKUP(F987,'Customer Info'!$A:$B,2,0)</f>
        <v>Rachel</v>
      </c>
      <c r="H987" s="6" t="str">
        <f>VLOOKUP(F987,'Customer Info'!$A$1:$C$501,3,0)</f>
        <v>Payne</v>
      </c>
      <c r="I987" s="6" t="str">
        <f>VLOOKUP(F987,Customer,5,0)</f>
        <v>Caloundra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35436</v>
      </c>
      <c r="O987" s="2">
        <v>86</v>
      </c>
      <c r="P987" s="8">
        <f t="shared" si="77"/>
        <v>35522</v>
      </c>
      <c r="Q987" s="8">
        <f t="shared" si="78"/>
        <v>3840</v>
      </c>
      <c r="R987" s="2" t="s">
        <v>50</v>
      </c>
      <c r="S987" s="24">
        <f t="shared" si="79"/>
        <v>7.0000000000000007E-2</v>
      </c>
    </row>
    <row r="988" spans="1:19" x14ac:dyDescent="0.25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>VLOOKUP(F988,'Customer Info'!$A:$B,2,0)</f>
        <v>Jeremy</v>
      </c>
      <c r="H988" s="6" t="str">
        <f>VLOOKUP(F988,'Customer Info'!$A$1:$C$501,3,0)</f>
        <v>Ellison</v>
      </c>
      <c r="I988" s="6" t="str">
        <f>VLOOKUP(F988,Customer,5,0)</f>
        <v>Faridabad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32796</v>
      </c>
      <c r="O988" s="2">
        <v>22</v>
      </c>
      <c r="P988" s="8">
        <f t="shared" si="77"/>
        <v>32818</v>
      </c>
      <c r="Q988" s="8">
        <f t="shared" si="78"/>
        <v>2704</v>
      </c>
      <c r="R988" s="2" t="s">
        <v>50</v>
      </c>
      <c r="S988" s="24">
        <f t="shared" si="79"/>
        <v>7.0000000000000007E-2</v>
      </c>
    </row>
    <row r="989" spans="1:19" x14ac:dyDescent="0.25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>VLOOKUP(F989,'Customer Info'!$A:$B,2,0)</f>
        <v>Stuart</v>
      </c>
      <c r="H989" s="6" t="str">
        <f>VLOOKUP(F989,'Customer Info'!$A$1:$C$501,3,0)</f>
        <v>Calhoun</v>
      </c>
      <c r="I989" s="6" t="str">
        <f>VLOOKUP(F989,Customer,5,0)</f>
        <v>Bochum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18183</v>
      </c>
      <c r="O989" s="2">
        <v>61</v>
      </c>
      <c r="P989" s="8">
        <f t="shared" si="77"/>
        <v>18244</v>
      </c>
      <c r="Q989" s="8">
        <f t="shared" si="78"/>
        <v>1023</v>
      </c>
      <c r="R989" s="2" t="s">
        <v>28</v>
      </c>
      <c r="S989" s="24">
        <f t="shared" si="79"/>
        <v>0.05</v>
      </c>
    </row>
    <row r="990" spans="1:19" x14ac:dyDescent="0.25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>VLOOKUP(F990,'Customer Info'!$A:$B,2,0)</f>
        <v>Dianna</v>
      </c>
      <c r="H990" s="6" t="str">
        <f>VLOOKUP(F990,'Customer Info'!$A$1:$C$501,3,0)</f>
        <v>Vittorini</v>
      </c>
      <c r="I990" s="6" t="str">
        <f>VLOOKUP(F990,Customer,5,0)</f>
        <v>Cottbus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324</v>
      </c>
      <c r="O990" s="2">
        <v>30</v>
      </c>
      <c r="P990" s="8">
        <f t="shared" si="77"/>
        <v>354</v>
      </c>
      <c r="Q990" s="8">
        <f t="shared" si="78"/>
        <v>28</v>
      </c>
      <c r="R990" s="2" t="s">
        <v>28</v>
      </c>
      <c r="S990" s="24">
        <f t="shared" si="79"/>
        <v>0.02</v>
      </c>
    </row>
    <row r="991" spans="1:19" x14ac:dyDescent="0.25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>VLOOKUP(F991,'Customer Info'!$A:$B,2,0)</f>
        <v>Tom</v>
      </c>
      <c r="H991" s="6" t="str">
        <f>VLOOKUP(F991,'Customer Info'!$A$1:$C$501,3,0)</f>
        <v>Stivers</v>
      </c>
      <c r="I991" s="6" t="str">
        <f>VLOOKUP(F991,Customer,5,0)</f>
        <v>Thane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642</v>
      </c>
      <c r="O991" s="2">
        <v>62</v>
      </c>
      <c r="P991" s="8">
        <f t="shared" si="77"/>
        <v>704</v>
      </c>
      <c r="Q991" s="8">
        <f t="shared" si="78"/>
        <v>45</v>
      </c>
      <c r="R991" s="2" t="s">
        <v>28</v>
      </c>
      <c r="S991" s="24">
        <f t="shared" si="79"/>
        <v>0.02</v>
      </c>
    </row>
    <row r="992" spans="1:19" x14ac:dyDescent="0.25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>VLOOKUP(F992,'Customer Info'!$A:$B,2,0)</f>
        <v>John</v>
      </c>
      <c r="H992" s="6" t="str">
        <f>VLOOKUP(F992,'Customer Info'!$A$1:$C$501,3,0)</f>
        <v>Huston</v>
      </c>
      <c r="I992" s="6" t="str">
        <f>VLOOKUP(F992,Customer,5,0)</f>
        <v>Jena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5991</v>
      </c>
      <c r="O992" s="2">
        <v>51</v>
      </c>
      <c r="P992" s="8">
        <f t="shared" si="77"/>
        <v>6042</v>
      </c>
      <c r="Q992" s="8">
        <f t="shared" si="78"/>
        <v>543</v>
      </c>
      <c r="R992" s="2" t="s">
        <v>50</v>
      </c>
      <c r="S992" s="24">
        <f t="shared" si="79"/>
        <v>0.05</v>
      </c>
    </row>
    <row r="993" spans="1:19" x14ac:dyDescent="0.25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>VLOOKUP(F993,'Customer Info'!$A:$B,2,0)</f>
        <v>Annie</v>
      </c>
      <c r="H993" s="6" t="str">
        <f>VLOOKUP(F993,'Customer Info'!$A$1:$C$501,3,0)</f>
        <v>Zypern</v>
      </c>
      <c r="I993" s="6" t="str">
        <f>VLOOKUP(F993,Customer,5,0)</f>
        <v>Brisbane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58</v>
      </c>
      <c r="O993" s="2">
        <v>10</v>
      </c>
      <c r="P993" s="8">
        <f t="shared" si="77"/>
        <v>68</v>
      </c>
      <c r="Q993" s="8">
        <f t="shared" si="78"/>
        <v>2</v>
      </c>
      <c r="R993" s="2" t="s">
        <v>28</v>
      </c>
      <c r="S993" s="24">
        <f t="shared" si="79"/>
        <v>0.02</v>
      </c>
    </row>
    <row r="994" spans="1:19" x14ac:dyDescent="0.25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>VLOOKUP(F994,'Customer Info'!$A:$B,2,0)</f>
        <v>Anthony</v>
      </c>
      <c r="H994" s="6" t="str">
        <f>VLOOKUP(F994,'Customer Info'!$A$1:$C$501,3,0)</f>
        <v>O'Donnell</v>
      </c>
      <c r="I994" s="6" t="str">
        <f>VLOOKUP(F994,Customer,5,0)</f>
        <v>Berlin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17260</v>
      </c>
      <c r="O994" s="2">
        <v>75</v>
      </c>
      <c r="P994" s="8">
        <f t="shared" si="77"/>
        <v>17335</v>
      </c>
      <c r="Q994" s="8">
        <f t="shared" si="78"/>
        <v>654</v>
      </c>
      <c r="R994" s="2" t="s">
        <v>28</v>
      </c>
      <c r="S994" s="24">
        <f t="shared" si="79"/>
        <v>0.05</v>
      </c>
    </row>
    <row r="995" spans="1:19" x14ac:dyDescent="0.25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>VLOOKUP(F995,'Customer Info'!$A:$B,2,0)</f>
        <v>Melanie</v>
      </c>
      <c r="H995" s="6" t="str">
        <f>VLOOKUP(F995,'Customer Info'!$A$1:$C$501,3,0)</f>
        <v>Seite</v>
      </c>
      <c r="I995" s="6" t="str">
        <f>VLOOKUP(F995,Customer,5,0)</f>
        <v>Xining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90669</v>
      </c>
      <c r="O995" s="2">
        <v>26</v>
      </c>
      <c r="P995" s="8">
        <f t="shared" si="77"/>
        <v>90695</v>
      </c>
      <c r="Q995" s="8">
        <f t="shared" si="78"/>
        <v>8385</v>
      </c>
      <c r="R995" s="2" t="s">
        <v>26</v>
      </c>
      <c r="S995" s="24">
        <f t="shared" si="79"/>
        <v>0.09</v>
      </c>
    </row>
    <row r="996" spans="1:19" x14ac:dyDescent="0.25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>VLOOKUP(F996,'Customer Info'!$A:$B,2,0)</f>
        <v>Max</v>
      </c>
      <c r="H996" s="6" t="str">
        <f>VLOOKUP(F996,'Customer Info'!$A$1:$C$501,3,0)</f>
        <v>Ludwig</v>
      </c>
      <c r="I996" s="6" t="str">
        <f>VLOOKUP(F996,Customer,5,0)</f>
        <v>Cirebon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8874</v>
      </c>
      <c r="O996" s="2">
        <v>95</v>
      </c>
      <c r="P996" s="8">
        <f t="shared" si="77"/>
        <v>8969</v>
      </c>
      <c r="Q996" s="8">
        <f t="shared" si="78"/>
        <v>645</v>
      </c>
      <c r="R996" s="2" t="s">
        <v>50</v>
      </c>
      <c r="S996" s="24">
        <f t="shared" si="79"/>
        <v>0.05</v>
      </c>
    </row>
    <row r="997" spans="1:19" x14ac:dyDescent="0.25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>VLOOKUP(F997,'Customer Info'!$A:$B,2,0)</f>
        <v>Mike</v>
      </c>
      <c r="H997" s="6" t="str">
        <f>VLOOKUP(F997,'Customer Info'!$A$1:$C$501,3,0)</f>
        <v>Pelletier</v>
      </c>
      <c r="I997" s="6" t="str">
        <f>VLOOKUP(F997,Customer,5,0)</f>
        <v>Gorakhpur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5456</v>
      </c>
      <c r="O997" s="2">
        <v>67</v>
      </c>
      <c r="P997" s="8">
        <f t="shared" si="77"/>
        <v>5523</v>
      </c>
      <c r="Q997" s="8">
        <f t="shared" si="78"/>
        <v>360</v>
      </c>
      <c r="R997" s="2" t="s">
        <v>28</v>
      </c>
      <c r="S997" s="24">
        <f t="shared" si="79"/>
        <v>0.05</v>
      </c>
    </row>
    <row r="998" spans="1:19" x14ac:dyDescent="0.25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>VLOOKUP(F998,'Customer Info'!$A:$B,2,0)</f>
        <v>Daniel</v>
      </c>
      <c r="H998" s="6" t="str">
        <f>VLOOKUP(F998,'Customer Info'!$A$1:$C$501,3,0)</f>
        <v>Raglin</v>
      </c>
      <c r="I998" s="6" t="str">
        <f>VLOOKUP(F998,Customer,5,0)</f>
        <v>Gold Coast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3172</v>
      </c>
      <c r="O998" s="2">
        <v>50</v>
      </c>
      <c r="P998" s="8">
        <f t="shared" si="77"/>
        <v>3222</v>
      </c>
      <c r="Q998" s="8">
        <f t="shared" si="78"/>
        <v>152</v>
      </c>
      <c r="R998" s="2" t="s">
        <v>28</v>
      </c>
      <c r="S998" s="24">
        <f t="shared" si="79"/>
        <v>0.02</v>
      </c>
    </row>
    <row r="999" spans="1:19" x14ac:dyDescent="0.25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>VLOOKUP(F999,'Customer Info'!$A:$B,2,0)</f>
        <v>Roy</v>
      </c>
      <c r="H999" s="6" t="str">
        <f>VLOOKUP(F999,'Customer Info'!$A$1:$C$501,3,0)</f>
        <v>Skaria</v>
      </c>
      <c r="I999" s="6" t="str">
        <f>VLOOKUP(F999,Customer,5,0)</f>
        <v>Bogor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7361</v>
      </c>
      <c r="O999" s="2">
        <v>60</v>
      </c>
      <c r="P999" s="8">
        <f t="shared" si="77"/>
        <v>7421</v>
      </c>
      <c r="Q999" s="8">
        <f t="shared" si="78"/>
        <v>474</v>
      </c>
      <c r="R999" s="2" t="s">
        <v>50</v>
      </c>
      <c r="S999" s="24">
        <f t="shared" si="79"/>
        <v>0.05</v>
      </c>
    </row>
    <row r="1000" spans="1:19" x14ac:dyDescent="0.25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>VLOOKUP(F1000,'Customer Info'!$A:$B,2,0)</f>
        <v>Monica</v>
      </c>
      <c r="H1000" s="6" t="str">
        <f>VLOOKUP(F1000,'Customer Info'!$A$1:$C$501,3,0)</f>
        <v>Federle</v>
      </c>
      <c r="I1000" s="6" t="str">
        <f>VLOOKUP(F1000,Customer,5,0)</f>
        <v>Lismore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2142</v>
      </c>
      <c r="O1000" s="2">
        <v>29</v>
      </c>
      <c r="P1000" s="8">
        <f t="shared" si="77"/>
        <v>2171</v>
      </c>
      <c r="Q1000" s="8">
        <f t="shared" si="78"/>
        <v>122</v>
      </c>
      <c r="R1000" s="2" t="s">
        <v>50</v>
      </c>
      <c r="S1000" s="24">
        <f t="shared" si="79"/>
        <v>0.02</v>
      </c>
    </row>
    <row r="1001" spans="1:19" x14ac:dyDescent="0.25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>VLOOKUP(F1001,'Customer Info'!$A:$B,2,0)</f>
        <v>Rick</v>
      </c>
      <c r="H1001" s="6" t="str">
        <f>VLOOKUP(F1001,'Customer Info'!$A$1:$C$501,3,0)</f>
        <v>Duston</v>
      </c>
      <c r="I1001" s="6" t="str">
        <f>VLOOKUP(F1001,Customer,5,0)</f>
        <v>Bhiwandi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13222</v>
      </c>
      <c r="O1001" s="2">
        <v>56</v>
      </c>
      <c r="P1001" s="8">
        <f t="shared" si="77"/>
        <v>13278</v>
      </c>
      <c r="Q1001" s="8">
        <f t="shared" si="78"/>
        <v>1336</v>
      </c>
      <c r="R1001" s="2" t="s">
        <v>28</v>
      </c>
      <c r="S1001" s="24">
        <f t="shared" si="79"/>
        <v>0.05</v>
      </c>
    </row>
    <row r="1002" spans="1:19" x14ac:dyDescent="0.25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>VLOOKUP(F1002,'Customer Info'!$A:$B,2,0)</f>
        <v>Michelle</v>
      </c>
      <c r="H1002" s="6" t="str">
        <f>VLOOKUP(F1002,'Customer Info'!$A$1:$C$501,3,0)</f>
        <v>Tran</v>
      </c>
      <c r="I1002" s="6" t="str">
        <f>VLOOKUP(F1002,Customer,5,0)</f>
        <v>Mount Gambier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6750</v>
      </c>
      <c r="O1002" s="2">
        <v>99</v>
      </c>
      <c r="P1002" s="8">
        <f t="shared" si="77"/>
        <v>6849</v>
      </c>
      <c r="Q1002" s="8">
        <f t="shared" si="78"/>
        <v>129</v>
      </c>
      <c r="R1002" s="2" t="s">
        <v>50</v>
      </c>
      <c r="S1002" s="24">
        <f t="shared" si="79"/>
        <v>0.05</v>
      </c>
    </row>
    <row r="1003" spans="1:19" x14ac:dyDescent="0.25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>VLOOKUP(F1003,'Customer Info'!$A:$B,2,0)</f>
        <v>Brendan</v>
      </c>
      <c r="H1003" s="6" t="str">
        <f>VLOOKUP(F1003,'Customer Info'!$A$1:$C$501,3,0)</f>
        <v>Murry</v>
      </c>
      <c r="I1003" s="6" t="str">
        <f>VLOOKUP(F1003,Customer,5,0)</f>
        <v>Brahmapur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5658</v>
      </c>
      <c r="O1003" s="2">
        <v>30</v>
      </c>
      <c r="P1003" s="8">
        <f t="shared" si="77"/>
        <v>5688</v>
      </c>
      <c r="Q1003" s="8">
        <f t="shared" si="78"/>
        <v>466</v>
      </c>
      <c r="R1003" s="2" t="s">
        <v>28</v>
      </c>
      <c r="S1003" s="24">
        <f t="shared" si="79"/>
        <v>0.05</v>
      </c>
    </row>
    <row r="1004" spans="1:19" x14ac:dyDescent="0.25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>VLOOKUP(F1004,'Customer Info'!$A:$B,2,0)</f>
        <v>Sylvia</v>
      </c>
      <c r="H1004" s="6" t="str">
        <f>VLOOKUP(F1004,'Customer Info'!$A$1:$C$501,3,0)</f>
        <v>Foulston</v>
      </c>
      <c r="I1004" s="6" t="str">
        <f>VLOOKUP(F1004,Customer,5,0)</f>
        <v>Ludwigsburg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21423</v>
      </c>
      <c r="O1004" s="2">
        <v>94</v>
      </c>
      <c r="P1004" s="8">
        <f t="shared" si="77"/>
        <v>21517</v>
      </c>
      <c r="Q1004" s="8">
        <f t="shared" si="78"/>
        <v>1800</v>
      </c>
      <c r="R1004" s="2" t="s">
        <v>26</v>
      </c>
      <c r="S1004" s="24">
        <f t="shared" si="79"/>
        <v>0.05</v>
      </c>
    </row>
    <row r="1005" spans="1:19" x14ac:dyDescent="0.25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>VLOOKUP(F1005,'Customer Info'!$A:$B,2,0)</f>
        <v>Laura</v>
      </c>
      <c r="H1005" s="6" t="str">
        <f>VLOOKUP(F1005,'Customer Info'!$A$1:$C$501,3,0)</f>
        <v>Armstrong</v>
      </c>
      <c r="I1005" s="6" t="str">
        <f>VLOOKUP(F1005,Customer,5,0)</f>
        <v>Torquay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7664</v>
      </c>
      <c r="O1005" s="2">
        <v>34</v>
      </c>
      <c r="P1005" s="8">
        <f t="shared" si="77"/>
        <v>7698</v>
      </c>
      <c r="Q1005" s="8">
        <f t="shared" si="78"/>
        <v>288</v>
      </c>
      <c r="R1005" s="2" t="s">
        <v>50</v>
      </c>
      <c r="S1005" s="24">
        <f t="shared" si="79"/>
        <v>0.05</v>
      </c>
    </row>
    <row r="1006" spans="1:19" x14ac:dyDescent="0.25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>VLOOKUP(F1006,'Customer Info'!$A:$B,2,0)</f>
        <v>Sarah</v>
      </c>
      <c r="H1006" s="6" t="str">
        <f>VLOOKUP(F1006,'Customer Info'!$A$1:$C$501,3,0)</f>
        <v>Foster</v>
      </c>
      <c r="I1006" s="6" t="str">
        <f>VLOOKUP(F1006,Customer,5,0)</f>
        <v>Xianning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140</v>
      </c>
      <c r="O1006" s="2">
        <v>30</v>
      </c>
      <c r="P1006" s="8">
        <f t="shared" si="77"/>
        <v>170</v>
      </c>
      <c r="Q1006" s="8">
        <f t="shared" si="78"/>
        <v>3</v>
      </c>
      <c r="R1006" s="2" t="s">
        <v>28</v>
      </c>
      <c r="S1006" s="24">
        <f t="shared" si="79"/>
        <v>0.02</v>
      </c>
    </row>
    <row r="1007" spans="1:19" x14ac:dyDescent="0.25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>VLOOKUP(F1007,'Customer Info'!$A:$B,2,0)</f>
        <v>Kelly</v>
      </c>
      <c r="H1007" s="6" t="str">
        <f>VLOOKUP(F1007,'Customer Info'!$A$1:$C$501,3,0)</f>
        <v>Collister</v>
      </c>
      <c r="I1007" s="6" t="str">
        <f>VLOOKUP(F1007,Customer,5,0)</f>
        <v>Tangshan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1800</v>
      </c>
      <c r="O1007" s="2">
        <v>78</v>
      </c>
      <c r="P1007" s="8">
        <f t="shared" si="77"/>
        <v>1878</v>
      </c>
      <c r="Q1007" s="8">
        <f t="shared" si="78"/>
        <v>132</v>
      </c>
      <c r="R1007" s="2" t="s">
        <v>50</v>
      </c>
      <c r="S1007" s="24">
        <f t="shared" si="79"/>
        <v>0.02</v>
      </c>
    </row>
    <row r="1008" spans="1:19" x14ac:dyDescent="0.25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>VLOOKUP(F1008,'Customer Info'!$A:$B,2,0)</f>
        <v>Anemone</v>
      </c>
      <c r="H1008" s="6" t="str">
        <f>VLOOKUP(F1008,'Customer Info'!$A$1:$C$501,3,0)</f>
        <v>Ratner</v>
      </c>
      <c r="I1008" s="6" t="str">
        <f>VLOOKUP(F1008,Customer,5,0)</f>
        <v>Pune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2410</v>
      </c>
      <c r="O1008" s="2">
        <v>64</v>
      </c>
      <c r="P1008" s="8">
        <f t="shared" si="77"/>
        <v>2474</v>
      </c>
      <c r="Q1008" s="8">
        <f t="shared" si="78"/>
        <v>92</v>
      </c>
      <c r="R1008" s="2" t="s">
        <v>56</v>
      </c>
      <c r="S1008" s="24">
        <f t="shared" si="79"/>
        <v>0.02</v>
      </c>
    </row>
    <row r="1009" spans="1:19" x14ac:dyDescent="0.25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>VLOOKUP(F1009,'Customer Info'!$A:$B,2,0)</f>
        <v>Peter</v>
      </c>
      <c r="H1009" s="6" t="str">
        <f>VLOOKUP(F1009,'Customer Info'!$A$1:$C$501,3,0)</f>
        <v>BŸhler</v>
      </c>
      <c r="I1009" s="6" t="str">
        <f>VLOOKUP(F1009,Customer,5,0)</f>
        <v>Wolfsburg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3954</v>
      </c>
      <c r="O1009" s="2">
        <v>94</v>
      </c>
      <c r="P1009" s="8">
        <f t="shared" si="77"/>
        <v>4048</v>
      </c>
      <c r="Q1009" s="8">
        <f t="shared" si="78"/>
        <v>327</v>
      </c>
      <c r="R1009" s="2" t="s">
        <v>28</v>
      </c>
      <c r="S1009" s="24">
        <f t="shared" si="79"/>
        <v>0.02</v>
      </c>
    </row>
    <row r="1010" spans="1:19" x14ac:dyDescent="0.25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>VLOOKUP(F1010,'Customer Info'!$A:$B,2,0)</f>
        <v>Damala</v>
      </c>
      <c r="H1010" s="6" t="str">
        <f>VLOOKUP(F1010,'Customer Info'!$A$1:$C$501,3,0)</f>
        <v>Kotsonis</v>
      </c>
      <c r="I1010" s="6" t="str">
        <f>VLOOKUP(F1010,Customer,5,0)</f>
        <v>Berlin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174</v>
      </c>
      <c r="O1010" s="2">
        <v>10</v>
      </c>
      <c r="P1010" s="8">
        <f t="shared" si="77"/>
        <v>184</v>
      </c>
      <c r="Q1010" s="8">
        <f t="shared" si="78"/>
        <v>14</v>
      </c>
      <c r="R1010" s="2" t="s">
        <v>50</v>
      </c>
      <c r="S1010" s="24">
        <f t="shared" si="79"/>
        <v>0.02</v>
      </c>
    </row>
    <row r="1011" spans="1:19" x14ac:dyDescent="0.25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>VLOOKUP(F1011,'Customer Info'!$A:$B,2,0)</f>
        <v>Andrew</v>
      </c>
      <c r="H1011" s="6" t="str">
        <f>VLOOKUP(F1011,'Customer Info'!$A$1:$C$501,3,0)</f>
        <v>Gjertsen</v>
      </c>
      <c r="I1011" s="6" t="str">
        <f>VLOOKUP(F1011,Customer,5,0)</f>
        <v>Hamburg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2466</v>
      </c>
      <c r="O1011" s="2">
        <v>61</v>
      </c>
      <c r="P1011" s="8">
        <f t="shared" si="77"/>
        <v>2527</v>
      </c>
      <c r="Q1011" s="8">
        <f t="shared" si="78"/>
        <v>139</v>
      </c>
      <c r="R1011" s="2" t="s">
        <v>50</v>
      </c>
      <c r="S1011" s="24">
        <f t="shared" si="79"/>
        <v>0.02</v>
      </c>
    </row>
    <row r="1012" spans="1:19" x14ac:dyDescent="0.25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>VLOOKUP(F1012,'Customer Info'!$A:$B,2,0)</f>
        <v>Katherine</v>
      </c>
      <c r="H1012" s="6" t="str">
        <f>VLOOKUP(F1012,'Customer Info'!$A$1:$C$501,3,0)</f>
        <v>Murray</v>
      </c>
      <c r="I1012" s="6" t="str">
        <f>VLOOKUP(F1012,Customer,5,0)</f>
        <v>Sydney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310</v>
      </c>
      <c r="O1012" s="2">
        <v>10</v>
      </c>
      <c r="P1012" s="8">
        <f t="shared" si="77"/>
        <v>320</v>
      </c>
      <c r="Q1012" s="8">
        <f t="shared" si="78"/>
        <v>20</v>
      </c>
      <c r="R1012" s="2" t="s">
        <v>50</v>
      </c>
      <c r="S1012" s="24">
        <f t="shared" si="79"/>
        <v>0.02</v>
      </c>
    </row>
    <row r="1013" spans="1:19" x14ac:dyDescent="0.25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>VLOOKUP(F1013,'Customer Info'!$A:$B,2,0)</f>
        <v>Becky</v>
      </c>
      <c r="H1013" s="6" t="str">
        <f>VLOOKUP(F1013,'Customer Info'!$A$1:$C$501,3,0)</f>
        <v>Pak</v>
      </c>
      <c r="I1013" s="6" t="str">
        <f>VLOOKUP(F1013,Customer,5,0)</f>
        <v>Geelong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558</v>
      </c>
      <c r="O1013" s="2">
        <v>37</v>
      </c>
      <c r="P1013" s="8">
        <f t="shared" si="77"/>
        <v>595</v>
      </c>
      <c r="Q1013" s="8">
        <f t="shared" si="78"/>
        <v>50</v>
      </c>
      <c r="R1013" s="2" t="s">
        <v>50</v>
      </c>
      <c r="S1013" s="24">
        <f t="shared" si="79"/>
        <v>0.02</v>
      </c>
    </row>
    <row r="1014" spans="1:19" x14ac:dyDescent="0.25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>VLOOKUP(F1014,'Customer Info'!$A:$B,2,0)</f>
        <v>Alex</v>
      </c>
      <c r="H1014" s="6" t="str">
        <f>VLOOKUP(F1014,'Customer Info'!$A$1:$C$501,3,0)</f>
        <v>Avila</v>
      </c>
      <c r="I1014" s="6" t="str">
        <f>VLOOKUP(F1014,Customer,5,0)</f>
        <v>Berlin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24048</v>
      </c>
      <c r="O1014" s="2">
        <v>24</v>
      </c>
      <c r="P1014" s="8">
        <f t="shared" si="77"/>
        <v>24072</v>
      </c>
      <c r="Q1014" s="8">
        <f t="shared" si="78"/>
        <v>1340</v>
      </c>
      <c r="R1014" s="2" t="s">
        <v>28</v>
      </c>
      <c r="S1014" s="24">
        <f t="shared" si="79"/>
        <v>0.05</v>
      </c>
    </row>
    <row r="1015" spans="1:19" x14ac:dyDescent="0.25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>VLOOKUP(F1015,'Customer Info'!$A:$B,2,0)</f>
        <v>Alan</v>
      </c>
      <c r="H1015" s="6" t="str">
        <f>VLOOKUP(F1015,'Customer Info'!$A$1:$C$501,3,0)</f>
        <v>Shonely</v>
      </c>
      <c r="I1015" s="6" t="str">
        <f>VLOOKUP(F1015,Customer,5,0)</f>
        <v>Canberra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24230</v>
      </c>
      <c r="O1015" s="2">
        <v>34</v>
      </c>
      <c r="P1015" s="8">
        <f t="shared" si="77"/>
        <v>24264</v>
      </c>
      <c r="Q1015" s="8">
        <f t="shared" si="78"/>
        <v>1770</v>
      </c>
      <c r="R1015" s="2" t="s">
        <v>28</v>
      </c>
      <c r="S1015" s="24">
        <f t="shared" si="79"/>
        <v>0.05</v>
      </c>
    </row>
    <row r="1016" spans="1:19" x14ac:dyDescent="0.25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>VLOOKUP(F1016,'Customer Info'!$A:$B,2,0)</f>
        <v>Brian</v>
      </c>
      <c r="H1016" s="6" t="str">
        <f>VLOOKUP(F1016,'Customer Info'!$A$1:$C$501,3,0)</f>
        <v>Stugart</v>
      </c>
      <c r="I1016" s="6" t="str">
        <f>VLOOKUP(F1016,Customer,5,0)</f>
        <v>Jakarta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896</v>
      </c>
      <c r="O1016" s="2">
        <v>54</v>
      </c>
      <c r="P1016" s="8">
        <f t="shared" si="77"/>
        <v>950</v>
      </c>
      <c r="Q1016" s="8">
        <f t="shared" si="78"/>
        <v>26</v>
      </c>
      <c r="R1016" s="2" t="s">
        <v>28</v>
      </c>
      <c r="S1016" s="24">
        <f t="shared" si="79"/>
        <v>0.02</v>
      </c>
    </row>
    <row r="1017" spans="1:19" x14ac:dyDescent="0.25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>VLOOKUP(F1017,'Customer Info'!$A:$B,2,0)</f>
        <v>Monica</v>
      </c>
      <c r="H1017" s="6" t="str">
        <f>VLOOKUP(F1017,'Customer Info'!$A$1:$C$501,3,0)</f>
        <v>Federle</v>
      </c>
      <c r="I1017" s="6" t="str">
        <f>VLOOKUP(F1017,Customer,5,0)</f>
        <v>Lismore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69</v>
      </c>
      <c r="O1017" s="2">
        <v>10</v>
      </c>
      <c r="P1017" s="8">
        <f t="shared" si="77"/>
        <v>79</v>
      </c>
      <c r="Q1017" s="8">
        <f t="shared" si="78"/>
        <v>5</v>
      </c>
      <c r="R1017" s="2" t="s">
        <v>28</v>
      </c>
      <c r="S1017" s="24">
        <f t="shared" si="79"/>
        <v>0.02</v>
      </c>
    </row>
    <row r="1018" spans="1:19" x14ac:dyDescent="0.25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>VLOOKUP(F1018,'Customer Info'!$A:$B,2,0)</f>
        <v>Julie</v>
      </c>
      <c r="H1018" s="6" t="str">
        <f>VLOOKUP(F1018,'Customer Info'!$A$1:$C$501,3,0)</f>
        <v>Prescott</v>
      </c>
      <c r="I1018" s="6" t="str">
        <f>VLOOKUP(F1018,Customer,5,0)</f>
        <v>Norderstedt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483</v>
      </c>
      <c r="O1018" s="2">
        <v>10</v>
      </c>
      <c r="P1018" s="8">
        <f t="shared" si="77"/>
        <v>493</v>
      </c>
      <c r="Q1018" s="8">
        <f t="shared" si="78"/>
        <v>35</v>
      </c>
      <c r="R1018" s="2" t="s">
        <v>28</v>
      </c>
      <c r="S1018" s="24">
        <f t="shared" si="79"/>
        <v>0.02</v>
      </c>
    </row>
    <row r="1019" spans="1:19" x14ac:dyDescent="0.25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>VLOOKUP(F1019,'Customer Info'!$A:$B,2,0)</f>
        <v>Sarah</v>
      </c>
      <c r="H1019" s="6" t="str">
        <f>VLOOKUP(F1019,'Customer Info'!$A$1:$C$501,3,0)</f>
        <v>Foster</v>
      </c>
      <c r="I1019" s="6" t="str">
        <f>VLOOKUP(F1019,Customer,5,0)</f>
        <v>Harbin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3442</v>
      </c>
      <c r="O1019" s="2">
        <v>34</v>
      </c>
      <c r="P1019" s="8">
        <f t="shared" si="77"/>
        <v>3476</v>
      </c>
      <c r="Q1019" s="8">
        <f t="shared" si="78"/>
        <v>162</v>
      </c>
      <c r="R1019" s="2" t="s">
        <v>28</v>
      </c>
      <c r="S1019" s="24">
        <f t="shared" si="79"/>
        <v>0.02</v>
      </c>
    </row>
    <row r="1020" spans="1:19" x14ac:dyDescent="0.25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>VLOOKUP(F1020,'Customer Info'!$A:$B,2,0)</f>
        <v>Meg</v>
      </c>
      <c r="H1020" s="6" t="str">
        <f>VLOOKUP(F1020,'Customer Info'!$A$1:$C$501,3,0)</f>
        <v>Tillman</v>
      </c>
      <c r="I1020" s="6" t="str">
        <f>VLOOKUP(F1020,Customer,5,0)</f>
        <v>Melbourne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6768</v>
      </c>
      <c r="O1020" s="2">
        <v>87</v>
      </c>
      <c r="P1020" s="8">
        <f t="shared" si="77"/>
        <v>6855</v>
      </c>
      <c r="Q1020" s="8">
        <f t="shared" si="78"/>
        <v>256</v>
      </c>
      <c r="R1020" s="2" t="s">
        <v>28</v>
      </c>
      <c r="S1020" s="24">
        <f t="shared" si="79"/>
        <v>0.05</v>
      </c>
    </row>
    <row r="1021" spans="1:19" x14ac:dyDescent="0.25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>VLOOKUP(F1021,'Customer Info'!$A:$B,2,0)</f>
        <v>Debra</v>
      </c>
      <c r="H1021" s="6" t="str">
        <f>VLOOKUP(F1021,'Customer Info'!$A$1:$C$501,3,0)</f>
        <v>Catini</v>
      </c>
      <c r="I1021" s="6" t="str">
        <f>VLOOKUP(F1021,Customer,5,0)</f>
        <v>Zhengzhou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1601</v>
      </c>
      <c r="O1021" s="2">
        <v>65</v>
      </c>
      <c r="P1021" s="8">
        <f t="shared" si="77"/>
        <v>1666</v>
      </c>
      <c r="Q1021" s="8">
        <f t="shared" si="78"/>
        <v>91</v>
      </c>
      <c r="R1021" s="2" t="s">
        <v>28</v>
      </c>
      <c r="S1021" s="24">
        <f t="shared" si="79"/>
        <v>0.02</v>
      </c>
    </row>
    <row r="1022" spans="1:19" x14ac:dyDescent="0.25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>VLOOKUP(F1022,'Customer Info'!$A:$B,2,0)</f>
        <v>Duane</v>
      </c>
      <c r="H1022" s="6" t="str">
        <f>VLOOKUP(F1022,'Customer Info'!$A$1:$C$501,3,0)</f>
        <v>Benoit</v>
      </c>
      <c r="I1022" s="6" t="str">
        <f>VLOOKUP(F1022,Customer,5,0)</f>
        <v>Tamworth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3756</v>
      </c>
      <c r="O1022" s="2">
        <v>42</v>
      </c>
      <c r="P1022" s="8">
        <f t="shared" si="77"/>
        <v>3798</v>
      </c>
      <c r="Q1022" s="8">
        <f t="shared" si="78"/>
        <v>402</v>
      </c>
      <c r="R1022" s="2" t="s">
        <v>50</v>
      </c>
      <c r="S1022" s="24">
        <f t="shared" si="79"/>
        <v>0.02</v>
      </c>
    </row>
    <row r="1023" spans="1:19" x14ac:dyDescent="0.25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>VLOOKUP(F1023,'Customer Info'!$A:$B,2,0)</f>
        <v>David</v>
      </c>
      <c r="H1023" s="6" t="str">
        <f>VLOOKUP(F1023,'Customer Info'!$A$1:$C$501,3,0)</f>
        <v>Kendrick</v>
      </c>
      <c r="I1023" s="6" t="str">
        <f>VLOOKUP(F1023,Customer,5,0)</f>
        <v>Kunming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13536</v>
      </c>
      <c r="O1023" s="2">
        <v>77</v>
      </c>
      <c r="P1023" s="8">
        <f t="shared" si="77"/>
        <v>13613</v>
      </c>
      <c r="Q1023" s="8">
        <f t="shared" si="78"/>
        <v>512</v>
      </c>
      <c r="R1023" s="2" t="s">
        <v>50</v>
      </c>
      <c r="S1023" s="24">
        <f t="shared" si="79"/>
        <v>0.05</v>
      </c>
    </row>
    <row r="1024" spans="1:19" x14ac:dyDescent="0.25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>VLOOKUP(F1024,'Customer Info'!$A:$B,2,0)</f>
        <v>Toby</v>
      </c>
      <c r="H1024" s="6" t="str">
        <f>VLOOKUP(F1024,'Customer Info'!$A$1:$C$501,3,0)</f>
        <v>Carlisle</v>
      </c>
      <c r="I1024" s="6" t="str">
        <f>VLOOKUP(F1024,Customer,5,0)</f>
        <v>Depok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4815</v>
      </c>
      <c r="O1024" s="2">
        <v>82</v>
      </c>
      <c r="P1024" s="8">
        <f t="shared" si="77"/>
        <v>4897</v>
      </c>
      <c r="Q1024" s="8">
        <f t="shared" si="78"/>
        <v>354</v>
      </c>
      <c r="R1024" s="2" t="s">
        <v>28</v>
      </c>
      <c r="S1024" s="24">
        <f t="shared" si="79"/>
        <v>0.02</v>
      </c>
    </row>
    <row r="1025" spans="1:19" x14ac:dyDescent="0.25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>VLOOKUP(F1025,'Customer Info'!$A:$B,2,0)</f>
        <v>Pauline</v>
      </c>
      <c r="H1025" s="6" t="str">
        <f>VLOOKUP(F1025,'Customer Info'!$A$1:$C$501,3,0)</f>
        <v>Chand</v>
      </c>
      <c r="I1025" s="6" t="str">
        <f>VLOOKUP(F1025,Customer,5,0)</f>
        <v>Perth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13342</v>
      </c>
      <c r="O1025" s="2">
        <v>32</v>
      </c>
      <c r="P1025" s="8">
        <f t="shared" si="77"/>
        <v>13374</v>
      </c>
      <c r="Q1025" s="8">
        <f t="shared" si="78"/>
        <v>756</v>
      </c>
      <c r="R1025" s="2" t="s">
        <v>28</v>
      </c>
      <c r="S1025" s="24">
        <f t="shared" si="79"/>
        <v>0.05</v>
      </c>
    </row>
    <row r="1026" spans="1:19" x14ac:dyDescent="0.25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>VLOOKUP(F1026,'Customer Info'!$A:$B,2,0)</f>
        <v>Ralph</v>
      </c>
      <c r="H1026" s="6" t="str">
        <f>VLOOKUP(F1026,'Customer Info'!$A$1:$C$501,3,0)</f>
        <v>Arnett</v>
      </c>
      <c r="I1026" s="6" t="str">
        <f>VLOOKUP(F1026,Customer,5,0)</f>
        <v>Suzhou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5658</v>
      </c>
      <c r="O1026" s="2">
        <v>84</v>
      </c>
      <c r="P1026" s="8">
        <f t="shared" si="77"/>
        <v>5742</v>
      </c>
      <c r="Q1026" s="8">
        <f t="shared" si="78"/>
        <v>466</v>
      </c>
      <c r="R1026" s="2" t="s">
        <v>50</v>
      </c>
      <c r="S1026" s="24">
        <f t="shared" si="79"/>
        <v>0.05</v>
      </c>
    </row>
    <row r="1027" spans="1:19" x14ac:dyDescent="0.25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>VLOOKUP(F1027,'Customer Info'!$A:$B,2,0)</f>
        <v>Matt</v>
      </c>
      <c r="H1027" s="6" t="str">
        <f>VLOOKUP(F1027,'Customer Info'!$A$1:$C$501,3,0)</f>
        <v>Collins</v>
      </c>
      <c r="I1027" s="6" t="str">
        <f>VLOOKUP(F1027,Customer,5,0)</f>
        <v>Mumbai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136</v>
      </c>
      <c r="O1027" s="2">
        <v>30</v>
      </c>
      <c r="P1027" s="8">
        <f t="shared" si="77"/>
        <v>166</v>
      </c>
      <c r="Q1027" s="8">
        <f t="shared" si="78"/>
        <v>6</v>
      </c>
      <c r="R1027" s="2" t="s">
        <v>28</v>
      </c>
      <c r="S1027" s="24">
        <f t="shared" si="79"/>
        <v>0.02</v>
      </c>
    </row>
    <row r="1028" spans="1:19" x14ac:dyDescent="0.25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>VLOOKUP(F1028,'Customer Info'!$A:$B,2,0)</f>
        <v>Jack</v>
      </c>
      <c r="H1028" s="6" t="str">
        <f>VLOOKUP(F1028,'Customer Info'!$A$1:$C$501,3,0)</f>
        <v>Lebron</v>
      </c>
      <c r="I1028" s="6" t="str">
        <f>VLOOKUP(F1028,Customer,5,0)</f>
        <v>Bremen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1416</v>
      </c>
      <c r="O1028" s="2">
        <v>30</v>
      </c>
      <c r="P1028" s="8">
        <f t="shared" si="77"/>
        <v>1446</v>
      </c>
      <c r="Q1028" s="8">
        <f t="shared" si="78"/>
        <v>64</v>
      </c>
      <c r="R1028" s="2" t="s">
        <v>28</v>
      </c>
      <c r="S1028" s="24">
        <f t="shared" si="79"/>
        <v>0.02</v>
      </c>
    </row>
    <row r="1029" spans="1:19" x14ac:dyDescent="0.25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>VLOOKUP(F1029,'Customer Info'!$A:$B,2,0)</f>
        <v>Adam</v>
      </c>
      <c r="H1029" s="6" t="str">
        <f>VLOOKUP(F1029,'Customer Info'!$A$1:$C$501,3,0)</f>
        <v>Bellavance</v>
      </c>
      <c r="I1029" s="6" t="str">
        <f>VLOOKUP(F1029,Customer,5,0)</f>
        <v>Kwinana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8332</v>
      </c>
      <c r="O1029" s="2">
        <v>28</v>
      </c>
      <c r="P1029" s="8">
        <f t="shared" si="77"/>
        <v>8360</v>
      </c>
      <c r="Q1029" s="8">
        <f t="shared" si="78"/>
        <v>316</v>
      </c>
      <c r="R1029" s="2" t="s">
        <v>28</v>
      </c>
      <c r="S1029" s="24">
        <f t="shared" si="79"/>
        <v>0.05</v>
      </c>
    </row>
    <row r="1030" spans="1:19" x14ac:dyDescent="0.25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>VLOOKUP(F1030,'Customer Info'!$A:$B,2,0)</f>
        <v>Michael</v>
      </c>
      <c r="H1030" s="6" t="str">
        <f>VLOOKUP(F1030,'Customer Info'!$A$1:$C$501,3,0)</f>
        <v>Moore</v>
      </c>
      <c r="I1030" s="6" t="str">
        <f>VLOOKUP(F1030,Customer,5,0)</f>
        <v>Melbourne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6682</v>
      </c>
      <c r="O1030" s="2">
        <v>42</v>
      </c>
      <c r="P1030" s="8">
        <f t="shared" si="77"/>
        <v>6724</v>
      </c>
      <c r="Q1030" s="8">
        <f t="shared" si="78"/>
        <v>378</v>
      </c>
      <c r="R1030" s="2" t="s">
        <v>28</v>
      </c>
      <c r="S1030" s="24">
        <f t="shared" si="79"/>
        <v>0.05</v>
      </c>
    </row>
    <row r="1031" spans="1:19" x14ac:dyDescent="0.25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>VLOOKUP(F1031,'Customer Info'!$A:$B,2,0)</f>
        <v>David</v>
      </c>
      <c r="H1031" s="6" t="str">
        <f>VLOOKUP(F1031,'Customer Info'!$A$1:$C$501,3,0)</f>
        <v>Kendrick</v>
      </c>
      <c r="I1031" s="6" t="str">
        <f>VLOOKUP(F1031,Customer,5,0)</f>
        <v>Kunming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7932</v>
      </c>
      <c r="O1031" s="2">
        <v>98</v>
      </c>
      <c r="P1031" s="8">
        <f t="shared" si="77"/>
        <v>8030</v>
      </c>
      <c r="Q1031" s="8">
        <f t="shared" si="78"/>
        <v>657</v>
      </c>
      <c r="R1031" s="2" t="s">
        <v>56</v>
      </c>
      <c r="S1031" s="24">
        <f t="shared" si="79"/>
        <v>0.05</v>
      </c>
    </row>
    <row r="1032" spans="1:19" x14ac:dyDescent="0.25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>VLOOKUP(F1032,'Customer Info'!$A:$B,2,0)</f>
        <v>Kelly</v>
      </c>
      <c r="H1032" s="6" t="str">
        <f>VLOOKUP(F1032,'Customer Info'!$A$1:$C$501,3,0)</f>
        <v>Williams</v>
      </c>
      <c r="I1032" s="6" t="str">
        <f>VLOOKUP(F1032,Customer,5,0)</f>
        <v>Palu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1540</v>
      </c>
      <c r="O1032" s="2">
        <v>34</v>
      </c>
      <c r="P1032" s="8">
        <f t="shared" si="77"/>
        <v>1574</v>
      </c>
      <c r="Q1032" s="8">
        <f t="shared" si="78"/>
        <v>98</v>
      </c>
      <c r="R1032" s="2" t="s">
        <v>50</v>
      </c>
      <c r="S1032" s="24">
        <f t="shared" si="79"/>
        <v>0.02</v>
      </c>
    </row>
    <row r="1033" spans="1:19" x14ac:dyDescent="0.25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>VLOOKUP(F1033,'Customer Info'!$A:$B,2,0)</f>
        <v>Jill</v>
      </c>
      <c r="H1033" s="6" t="str">
        <f>VLOOKUP(F1033,'Customer Info'!$A$1:$C$501,3,0)</f>
        <v>Stevenson</v>
      </c>
      <c r="I1033" s="6" t="str">
        <f>VLOOKUP(F1033,Customer,5,0)</f>
        <v>Bengbu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24606</v>
      </c>
      <c r="O1033" s="2">
        <v>97</v>
      </c>
      <c r="P1033" s="8">
        <f t="shared" si="77"/>
        <v>24703</v>
      </c>
      <c r="Q1033" s="8">
        <f t="shared" si="78"/>
        <v>1824</v>
      </c>
      <c r="R1033" s="2" t="s">
        <v>28</v>
      </c>
      <c r="S1033" s="24">
        <f t="shared" si="79"/>
        <v>0.05</v>
      </c>
    </row>
    <row r="1034" spans="1:19" x14ac:dyDescent="0.25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>VLOOKUP(F1034,'Customer Info'!$A:$B,2,0)</f>
        <v>Mick</v>
      </c>
      <c r="H1034" s="6" t="str">
        <f>VLOOKUP(F1034,'Customer Info'!$A$1:$C$501,3,0)</f>
        <v>Crebagga</v>
      </c>
      <c r="I1034" s="6" t="str">
        <f>VLOOKUP(F1034,Customer,5,0)</f>
        <v>Banjarmasin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3616</v>
      </c>
      <c r="O1034" s="2">
        <v>88</v>
      </c>
      <c r="P1034" s="8">
        <f t="shared" si="77"/>
        <v>3704</v>
      </c>
      <c r="Q1034" s="8">
        <f t="shared" si="78"/>
        <v>136</v>
      </c>
      <c r="R1034" s="2" t="s">
        <v>28</v>
      </c>
      <c r="S1034" s="24">
        <f t="shared" si="79"/>
        <v>0.02</v>
      </c>
    </row>
    <row r="1035" spans="1:19" x14ac:dyDescent="0.25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>VLOOKUP(F1035,'Customer Info'!$A:$B,2,0)</f>
        <v>Muhammed</v>
      </c>
      <c r="H1035" s="6" t="str">
        <f>VLOOKUP(F1035,'Customer Info'!$A$1:$C$501,3,0)</f>
        <v>MacIntyre</v>
      </c>
      <c r="I1035" s="6" t="str">
        <f>VLOOKUP(F1035,Customer,5,0)</f>
        <v>Lohne</v>
      </c>
      <c r="J1035" s="2">
        <v>6520</v>
      </c>
      <c r="K1035" s="2">
        <v>5985</v>
      </c>
      <c r="L1035" s="2">
        <v>3</v>
      </c>
      <c r="M1035" s="7">
        <f t="shared" ref="M1035:M1098" si="80">K1035*L1035</f>
        <v>17955</v>
      </c>
      <c r="N1035" s="7">
        <f t="shared" ref="N1035:N1098" si="81">J1035*L1035</f>
        <v>19560</v>
      </c>
      <c r="O1035" s="2">
        <v>27</v>
      </c>
      <c r="P1035" s="8">
        <f t="shared" ref="P1035:P1098" si="82">N1035+O1035</f>
        <v>19587</v>
      </c>
      <c r="Q1035" s="8">
        <f t="shared" ref="Q1035:Q1098" si="83">N1035-M1035</f>
        <v>1605</v>
      </c>
      <c r="R1035" s="2" t="s">
        <v>56</v>
      </c>
      <c r="S1035" s="24">
        <f t="shared" ref="S1035:S1098" si="84">VLOOKUP(N1035,$T$1:$U$7,2,TRUE)</f>
        <v>0.05</v>
      </c>
    </row>
    <row r="1036" spans="1:19" x14ac:dyDescent="0.25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>VLOOKUP(F1036,'Customer Info'!$A:$B,2,0)</f>
        <v>Jack</v>
      </c>
      <c r="H1036" s="6" t="str">
        <f>VLOOKUP(F1036,'Customer Info'!$A$1:$C$501,3,0)</f>
        <v>Garza</v>
      </c>
      <c r="I1036" s="6" t="str">
        <f>VLOOKUP(F1036,Customer,5,0)</f>
        <v>Taiyuan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8">
        <f t="shared" si="82"/>
        <v>263</v>
      </c>
      <c r="Q1036" s="8">
        <f t="shared" si="83"/>
        <v>18</v>
      </c>
      <c r="R1036" s="2" t="s">
        <v>50</v>
      </c>
      <c r="S1036" s="24">
        <f t="shared" si="84"/>
        <v>0.02</v>
      </c>
    </row>
    <row r="1037" spans="1:19" x14ac:dyDescent="0.25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>VLOOKUP(F1037,'Customer Info'!$A:$B,2,0)</f>
        <v>Max</v>
      </c>
      <c r="H1037" s="6" t="str">
        <f>VLOOKUP(F1037,'Customer Info'!$A$1:$C$501,3,0)</f>
        <v>Jones</v>
      </c>
      <c r="I1037" s="6" t="str">
        <f>VLOOKUP(F1037,Customer,5,0)</f>
        <v>Yuncheng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8">
        <f t="shared" si="82"/>
        <v>8603</v>
      </c>
      <c r="Q1037" s="8">
        <f t="shared" si="83"/>
        <v>324</v>
      </c>
      <c r="R1037" s="2" t="s">
        <v>28</v>
      </c>
      <c r="S1037" s="24">
        <f t="shared" si="84"/>
        <v>0.05</v>
      </c>
    </row>
    <row r="1038" spans="1:19" x14ac:dyDescent="0.25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>VLOOKUP(F1038,'Customer Info'!$A:$B,2,0)</f>
        <v>Alex</v>
      </c>
      <c r="H1038" s="6" t="str">
        <f>VLOOKUP(F1038,'Customer Info'!$A$1:$C$501,3,0)</f>
        <v>Avila</v>
      </c>
      <c r="I1038" s="6" t="str">
        <f>VLOOKUP(F1038,Customer,5,0)</f>
        <v>Newcastle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8">
        <f t="shared" si="82"/>
        <v>19830</v>
      </c>
      <c r="Q1038" s="8">
        <f t="shared" si="83"/>
        <v>1440</v>
      </c>
      <c r="R1038" s="2" t="s">
        <v>28</v>
      </c>
      <c r="S1038" s="24">
        <f t="shared" si="84"/>
        <v>0.05</v>
      </c>
    </row>
    <row r="1039" spans="1:19" x14ac:dyDescent="0.25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>VLOOKUP(F1039,'Customer Info'!$A:$B,2,0)</f>
        <v>Logan</v>
      </c>
      <c r="H1039" s="6" t="str">
        <f>VLOOKUP(F1039,'Customer Info'!$A$1:$C$501,3,0)</f>
        <v>Haushalter</v>
      </c>
      <c r="I1039" s="6" t="str">
        <f>VLOOKUP(F1039,Customer,5,0)</f>
        <v>Canberra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8">
        <f t="shared" si="82"/>
        <v>2691</v>
      </c>
      <c r="Q1039" s="8">
        <f t="shared" si="83"/>
        <v>244</v>
      </c>
      <c r="R1039" s="2" t="s">
        <v>28</v>
      </c>
      <c r="S1039" s="24">
        <f t="shared" si="84"/>
        <v>0.02</v>
      </c>
    </row>
    <row r="1040" spans="1:19" x14ac:dyDescent="0.25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>VLOOKUP(F1040,'Customer Info'!$A:$B,2,0)</f>
        <v>Deanra</v>
      </c>
      <c r="H1040" s="6" t="str">
        <f>VLOOKUP(F1040,'Customer Info'!$A$1:$C$501,3,0)</f>
        <v>Eno</v>
      </c>
      <c r="I1040" s="6" t="str">
        <f>VLOOKUP(F1040,Customer,5,0)</f>
        <v>Langen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1800</v>
      </c>
      <c r="O1040" s="2">
        <v>20</v>
      </c>
      <c r="P1040" s="8">
        <f t="shared" si="82"/>
        <v>1820</v>
      </c>
      <c r="Q1040" s="8">
        <f t="shared" si="83"/>
        <v>132</v>
      </c>
      <c r="R1040" s="2" t="s">
        <v>28</v>
      </c>
      <c r="S1040" s="24">
        <f t="shared" si="84"/>
        <v>0.02</v>
      </c>
    </row>
    <row r="1041" spans="1:19" x14ac:dyDescent="0.25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>VLOOKUP(F1041,'Customer Info'!$A:$B,2,0)</f>
        <v>Natalie</v>
      </c>
      <c r="H1041" s="6" t="str">
        <f>VLOOKUP(F1041,'Customer Info'!$A$1:$C$501,3,0)</f>
        <v>DeCherney</v>
      </c>
      <c r="I1041" s="6" t="str">
        <f>VLOOKUP(F1041,Customer,5,0)</f>
        <v>Anqing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492</v>
      </c>
      <c r="O1041" s="2">
        <v>30</v>
      </c>
      <c r="P1041" s="8">
        <f t="shared" si="82"/>
        <v>522</v>
      </c>
      <c r="Q1041" s="8">
        <f t="shared" si="83"/>
        <v>32</v>
      </c>
      <c r="R1041" s="2" t="s">
        <v>28</v>
      </c>
      <c r="S1041" s="24">
        <f t="shared" si="84"/>
        <v>0.02</v>
      </c>
    </row>
    <row r="1042" spans="1:19" x14ac:dyDescent="0.25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>VLOOKUP(F1042,'Customer Info'!$A:$B,2,0)</f>
        <v>Toby</v>
      </c>
      <c r="H1042" s="6" t="str">
        <f>VLOOKUP(F1042,'Customer Info'!$A$1:$C$501,3,0)</f>
        <v>Braunhardt</v>
      </c>
      <c r="I1042" s="6" t="str">
        <f>VLOOKUP(F1042,Customer,5,0)</f>
        <v>Jiangyan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14112</v>
      </c>
      <c r="O1042" s="2">
        <v>60</v>
      </c>
      <c r="P1042" s="8">
        <f t="shared" si="82"/>
        <v>14172</v>
      </c>
      <c r="Q1042" s="8">
        <f t="shared" si="83"/>
        <v>1029</v>
      </c>
      <c r="R1042" s="2" t="s">
        <v>50</v>
      </c>
      <c r="S1042" s="24">
        <f t="shared" si="84"/>
        <v>0.05</v>
      </c>
    </row>
    <row r="1043" spans="1:19" x14ac:dyDescent="0.25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>VLOOKUP(F1043,'Customer Info'!$A:$B,2,0)</f>
        <v>Christina</v>
      </c>
      <c r="H1043" s="6" t="str">
        <f>VLOOKUP(F1043,'Customer Info'!$A$1:$C$501,3,0)</f>
        <v>VanderZanden</v>
      </c>
      <c r="I1043" s="6" t="str">
        <f>VLOOKUP(F1043,Customer,5,0)</f>
        <v>Gold Coast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11984</v>
      </c>
      <c r="O1043" s="2">
        <v>81</v>
      </c>
      <c r="P1043" s="8">
        <f t="shared" si="82"/>
        <v>12065</v>
      </c>
      <c r="Q1043" s="8">
        <f t="shared" si="83"/>
        <v>1304</v>
      </c>
      <c r="R1043" s="2" t="s">
        <v>28</v>
      </c>
      <c r="S1043" s="24">
        <f t="shared" si="84"/>
        <v>0.05</v>
      </c>
    </row>
    <row r="1044" spans="1:19" x14ac:dyDescent="0.25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>VLOOKUP(F1044,'Customer Info'!$A:$B,2,0)</f>
        <v>Kelly</v>
      </c>
      <c r="H1044" s="6" t="str">
        <f>VLOOKUP(F1044,'Customer Info'!$A$1:$C$501,3,0)</f>
        <v>Williams</v>
      </c>
      <c r="I1044" s="6" t="str">
        <f>VLOOKUP(F1044,Customer,5,0)</f>
        <v>Sydney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11428</v>
      </c>
      <c r="O1044" s="2">
        <v>57</v>
      </c>
      <c r="P1044" s="8">
        <f t="shared" si="82"/>
        <v>11485</v>
      </c>
      <c r="Q1044" s="8">
        <f t="shared" si="83"/>
        <v>940</v>
      </c>
      <c r="R1044" s="2" t="s">
        <v>50</v>
      </c>
      <c r="S1044" s="24">
        <f t="shared" si="84"/>
        <v>0.05</v>
      </c>
    </row>
    <row r="1045" spans="1:19" x14ac:dyDescent="0.25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>VLOOKUP(F1045,'Customer Info'!$A:$B,2,0)</f>
        <v>Katrina</v>
      </c>
      <c r="H1045" s="6" t="str">
        <f>VLOOKUP(F1045,'Customer Info'!$A$1:$C$501,3,0)</f>
        <v>Bavinger</v>
      </c>
      <c r="I1045" s="6" t="str">
        <f>VLOOKUP(F1045,Customer,5,0)</f>
        <v>Melbourne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50598</v>
      </c>
      <c r="O1045" s="2">
        <v>23</v>
      </c>
      <c r="P1045" s="8">
        <f t="shared" si="82"/>
        <v>50621</v>
      </c>
      <c r="Q1045" s="8">
        <f t="shared" si="83"/>
        <v>3792</v>
      </c>
      <c r="R1045" s="2" t="s">
        <v>28</v>
      </c>
      <c r="S1045" s="24">
        <f t="shared" si="84"/>
        <v>0.09</v>
      </c>
    </row>
    <row r="1046" spans="1:19" x14ac:dyDescent="0.25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>VLOOKUP(F1046,'Customer Info'!$A:$B,2,0)</f>
        <v>Cari</v>
      </c>
      <c r="H1046" s="6" t="str">
        <f>VLOOKUP(F1046,'Customer Info'!$A$1:$C$501,3,0)</f>
        <v>MacIntyre</v>
      </c>
      <c r="I1046" s="6" t="str">
        <f>VLOOKUP(F1046,Customer,5,0)</f>
        <v>Freiburg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1359</v>
      </c>
      <c r="O1046" s="2">
        <v>30</v>
      </c>
      <c r="P1046" s="8">
        <f t="shared" si="82"/>
        <v>1389</v>
      </c>
      <c r="Q1046" s="8">
        <f t="shared" si="83"/>
        <v>108</v>
      </c>
      <c r="R1046" s="2" t="s">
        <v>28</v>
      </c>
      <c r="S1046" s="24">
        <f t="shared" si="84"/>
        <v>0.02</v>
      </c>
    </row>
    <row r="1047" spans="1:19" x14ac:dyDescent="0.25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>VLOOKUP(F1047,'Customer Info'!$A:$B,2,0)</f>
        <v>Christina</v>
      </c>
      <c r="H1047" s="6" t="str">
        <f>VLOOKUP(F1047,'Customer Info'!$A$1:$C$501,3,0)</f>
        <v>VanderZanden</v>
      </c>
      <c r="I1047" s="6" t="str">
        <f>VLOOKUP(F1047,Customer,5,0)</f>
        <v>Gold Coast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9247</v>
      </c>
      <c r="O1047" s="2">
        <v>32</v>
      </c>
      <c r="P1047" s="8">
        <f t="shared" si="82"/>
        <v>9279</v>
      </c>
      <c r="Q1047" s="8">
        <f t="shared" si="83"/>
        <v>770</v>
      </c>
      <c r="R1047" s="2" t="s">
        <v>28</v>
      </c>
      <c r="S1047" s="24">
        <f t="shared" si="84"/>
        <v>0.05</v>
      </c>
    </row>
    <row r="1048" spans="1:19" x14ac:dyDescent="0.25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>VLOOKUP(F1048,'Customer Info'!$A:$B,2,0)</f>
        <v>Michelle</v>
      </c>
      <c r="H1048" s="6" t="str">
        <f>VLOOKUP(F1048,'Customer Info'!$A$1:$C$501,3,0)</f>
        <v>Arnett</v>
      </c>
      <c r="I1048" s="6" t="str">
        <f>VLOOKUP(F1048,Customer,5,0)</f>
        <v>Palembang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549</v>
      </c>
      <c r="O1048" s="2">
        <v>30</v>
      </c>
      <c r="P1048" s="8">
        <f t="shared" si="82"/>
        <v>579</v>
      </c>
      <c r="Q1048" s="8">
        <f t="shared" si="83"/>
        <v>45</v>
      </c>
      <c r="R1048" s="2" t="s">
        <v>28</v>
      </c>
      <c r="S1048" s="24">
        <f t="shared" si="84"/>
        <v>0.02</v>
      </c>
    </row>
    <row r="1049" spans="1:19" x14ac:dyDescent="0.25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>VLOOKUP(F1049,'Customer Info'!$A:$B,2,0)</f>
        <v>Harold</v>
      </c>
      <c r="H1049" s="6" t="str">
        <f>VLOOKUP(F1049,'Customer Info'!$A$1:$C$501,3,0)</f>
        <v>Engle</v>
      </c>
      <c r="I1049" s="6" t="str">
        <f>VLOOKUP(F1049,Customer,5,0)</f>
        <v>Chennai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9812</v>
      </c>
      <c r="O1049" s="2">
        <v>86</v>
      </c>
      <c r="P1049" s="8">
        <f t="shared" si="82"/>
        <v>9898</v>
      </c>
      <c r="Q1049" s="8">
        <f t="shared" si="83"/>
        <v>468</v>
      </c>
      <c r="R1049" s="2" t="s">
        <v>28</v>
      </c>
      <c r="S1049" s="24">
        <f t="shared" si="84"/>
        <v>0.05</v>
      </c>
    </row>
    <row r="1050" spans="1:19" x14ac:dyDescent="0.25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>VLOOKUP(F1050,'Customer Info'!$A:$B,2,0)</f>
        <v>Trudy</v>
      </c>
      <c r="H1050" s="6" t="str">
        <f>VLOOKUP(F1050,'Customer Info'!$A$1:$C$501,3,0)</f>
        <v>Glocke</v>
      </c>
      <c r="I1050" s="6" t="str">
        <f>VLOOKUP(F1050,Customer,5,0)</f>
        <v>Huaiyin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6708</v>
      </c>
      <c r="O1050" s="2">
        <v>83</v>
      </c>
      <c r="P1050" s="8">
        <f t="shared" si="82"/>
        <v>6791</v>
      </c>
      <c r="Q1050" s="8">
        <f t="shared" si="83"/>
        <v>504</v>
      </c>
      <c r="R1050" s="2" t="s">
        <v>28</v>
      </c>
      <c r="S1050" s="24">
        <f t="shared" si="84"/>
        <v>0.05</v>
      </c>
    </row>
    <row r="1051" spans="1:19" x14ac:dyDescent="0.25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>VLOOKUP(F1051,'Customer Info'!$A:$B,2,0)</f>
        <v>Rachel</v>
      </c>
      <c r="H1051" s="6" t="str">
        <f>VLOOKUP(F1051,'Customer Info'!$A$1:$C$501,3,0)</f>
        <v>Payne</v>
      </c>
      <c r="I1051" s="6" t="str">
        <f>VLOOKUP(F1051,Customer,5,0)</f>
        <v>Nagercoil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4815</v>
      </c>
      <c r="O1051" s="2">
        <v>76</v>
      </c>
      <c r="P1051" s="8">
        <f t="shared" si="82"/>
        <v>4891</v>
      </c>
      <c r="Q1051" s="8">
        <f t="shared" si="83"/>
        <v>354</v>
      </c>
      <c r="R1051" s="2" t="s">
        <v>26</v>
      </c>
      <c r="S1051" s="24">
        <f t="shared" si="84"/>
        <v>0.02</v>
      </c>
    </row>
    <row r="1052" spans="1:19" x14ac:dyDescent="0.25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>VLOOKUP(F1052,'Customer Info'!$A:$B,2,0)</f>
        <v>Pamela</v>
      </c>
      <c r="H1052" s="6" t="str">
        <f>VLOOKUP(F1052,'Customer Info'!$A$1:$C$501,3,0)</f>
        <v>Stobb</v>
      </c>
      <c r="I1052" s="6" t="str">
        <f>VLOOKUP(F1052,Customer,5,0)</f>
        <v>Bremen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2610</v>
      </c>
      <c r="O1052" s="2">
        <v>86</v>
      </c>
      <c r="P1052" s="8">
        <f t="shared" si="82"/>
        <v>2696</v>
      </c>
      <c r="Q1052" s="8">
        <f t="shared" si="83"/>
        <v>216</v>
      </c>
      <c r="R1052" s="2" t="s">
        <v>50</v>
      </c>
      <c r="S1052" s="24">
        <f t="shared" si="84"/>
        <v>0.02</v>
      </c>
    </row>
    <row r="1053" spans="1:19" x14ac:dyDescent="0.25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>VLOOKUP(F1053,'Customer Info'!$A:$B,2,0)</f>
        <v>Marina</v>
      </c>
      <c r="H1053" s="6" t="str">
        <f>VLOOKUP(F1053,'Customer Info'!$A$1:$C$501,3,0)</f>
        <v>Lichtenstein</v>
      </c>
      <c r="I1053" s="6" t="str">
        <f>VLOOKUP(F1053,Customer,5,0)</f>
        <v>Denpasar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930</v>
      </c>
      <c r="O1053" s="2">
        <v>98</v>
      </c>
      <c r="P1053" s="8">
        <f t="shared" si="82"/>
        <v>1028</v>
      </c>
      <c r="Q1053" s="8">
        <f t="shared" si="83"/>
        <v>52</v>
      </c>
      <c r="R1053" s="2" t="s">
        <v>28</v>
      </c>
      <c r="S1053" s="24">
        <f t="shared" si="84"/>
        <v>0.02</v>
      </c>
    </row>
    <row r="1054" spans="1:19" x14ac:dyDescent="0.25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>VLOOKUP(F1054,'Customer Info'!$A:$B,2,0)</f>
        <v>Logan</v>
      </c>
      <c r="H1054" s="6" t="str">
        <f>VLOOKUP(F1054,'Customer Info'!$A$1:$C$501,3,0)</f>
        <v>Currie</v>
      </c>
      <c r="I1054" s="6" t="str">
        <f>VLOOKUP(F1054,Customer,5,0)</f>
        <v>Gold Coast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23680</v>
      </c>
      <c r="O1054" s="2">
        <v>63</v>
      </c>
      <c r="P1054" s="8">
        <f t="shared" si="82"/>
        <v>23743</v>
      </c>
      <c r="Q1054" s="8">
        <f t="shared" si="83"/>
        <v>2600</v>
      </c>
      <c r="R1054" s="2" t="s">
        <v>28</v>
      </c>
      <c r="S1054" s="24">
        <f t="shared" si="84"/>
        <v>0.05</v>
      </c>
    </row>
    <row r="1055" spans="1:19" x14ac:dyDescent="0.25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>VLOOKUP(F1055,'Customer Info'!$A:$B,2,0)</f>
        <v>Tamara</v>
      </c>
      <c r="H1055" s="6" t="str">
        <f>VLOOKUP(F1055,'Customer Info'!$A$1:$C$501,3,0)</f>
        <v>Chand</v>
      </c>
      <c r="I1055" s="6" t="str">
        <f>VLOOKUP(F1055,Customer,5,0)</f>
        <v>Yogyakarta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41995</v>
      </c>
      <c r="O1055" s="2">
        <v>78</v>
      </c>
      <c r="P1055" s="8">
        <f t="shared" si="82"/>
        <v>42073</v>
      </c>
      <c r="Q1055" s="8">
        <f t="shared" si="83"/>
        <v>1990</v>
      </c>
      <c r="R1055" s="2" t="s">
        <v>50</v>
      </c>
      <c r="S1055" s="24">
        <f t="shared" si="84"/>
        <v>7.0000000000000007E-2</v>
      </c>
    </row>
    <row r="1056" spans="1:19" x14ac:dyDescent="0.25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>VLOOKUP(F1056,'Customer Info'!$A:$B,2,0)</f>
        <v>Kristina</v>
      </c>
      <c r="H1056" s="6" t="str">
        <f>VLOOKUP(F1056,'Customer Info'!$A$1:$C$501,3,0)</f>
        <v>Nunn</v>
      </c>
      <c r="I1056" s="6" t="str">
        <f>VLOOKUP(F1056,Customer,5,0)</f>
        <v>Jakarta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298</v>
      </c>
      <c r="O1056" s="2">
        <v>30</v>
      </c>
      <c r="P1056" s="8">
        <f t="shared" si="82"/>
        <v>328</v>
      </c>
      <c r="Q1056" s="8">
        <f t="shared" si="83"/>
        <v>36</v>
      </c>
      <c r="R1056" s="2" t="s">
        <v>28</v>
      </c>
      <c r="S1056" s="24">
        <f t="shared" si="84"/>
        <v>0.02</v>
      </c>
    </row>
    <row r="1057" spans="1:19" x14ac:dyDescent="0.25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>VLOOKUP(F1057,'Customer Info'!$A:$B,2,0)</f>
        <v>Steven</v>
      </c>
      <c r="H1057" s="6" t="str">
        <f>VLOOKUP(F1057,'Customer Info'!$A$1:$C$501,3,0)</f>
        <v>Cartwright</v>
      </c>
      <c r="I1057" s="6" t="str">
        <f>VLOOKUP(F1057,Customer,5,0)</f>
        <v>Newcastle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1306</v>
      </c>
      <c r="O1057" s="2">
        <v>47</v>
      </c>
      <c r="P1057" s="8">
        <f t="shared" si="82"/>
        <v>1353</v>
      </c>
      <c r="Q1057" s="8">
        <f t="shared" si="83"/>
        <v>109</v>
      </c>
      <c r="R1057" s="2" t="s">
        <v>28</v>
      </c>
      <c r="S1057" s="24">
        <f t="shared" si="84"/>
        <v>0.02</v>
      </c>
    </row>
    <row r="1058" spans="1:19" x14ac:dyDescent="0.25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>VLOOKUP(F1058,'Customer Info'!$A:$B,2,0)</f>
        <v>Anna</v>
      </c>
      <c r="H1058" s="6" t="str">
        <f>VLOOKUP(F1058,'Customer Info'!$A$1:$C$501,3,0)</f>
        <v>Gayman</v>
      </c>
      <c r="I1058" s="6" t="str">
        <f>VLOOKUP(F1058,Customer,5,0)</f>
        <v>Surat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4146</v>
      </c>
      <c r="O1058" s="2">
        <v>43</v>
      </c>
      <c r="P1058" s="8">
        <f t="shared" si="82"/>
        <v>4189</v>
      </c>
      <c r="Q1058" s="8">
        <f t="shared" si="83"/>
        <v>384</v>
      </c>
      <c r="R1058" s="2" t="s">
        <v>28</v>
      </c>
      <c r="S1058" s="24">
        <f t="shared" si="84"/>
        <v>0.02</v>
      </c>
    </row>
    <row r="1059" spans="1:19" x14ac:dyDescent="0.25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>VLOOKUP(F1059,'Customer Info'!$A:$B,2,0)</f>
        <v>Don</v>
      </c>
      <c r="H1059" s="6" t="str">
        <f>VLOOKUP(F1059,'Customer Info'!$A$1:$C$501,3,0)</f>
        <v>Weiss</v>
      </c>
      <c r="I1059" s="6" t="str">
        <f>VLOOKUP(F1059,Customer,5,0)</f>
        <v>Sydney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570</v>
      </c>
      <c r="O1059" s="2">
        <v>81</v>
      </c>
      <c r="P1059" s="8">
        <f t="shared" si="82"/>
        <v>651</v>
      </c>
      <c r="Q1059" s="8">
        <f t="shared" si="83"/>
        <v>52</v>
      </c>
      <c r="R1059" s="2" t="s">
        <v>50</v>
      </c>
      <c r="S1059" s="24">
        <f t="shared" si="84"/>
        <v>0.02</v>
      </c>
    </row>
    <row r="1060" spans="1:19" x14ac:dyDescent="0.25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>VLOOKUP(F1060,'Customer Info'!$A:$B,2,0)</f>
        <v>Toby</v>
      </c>
      <c r="H1060" s="6" t="str">
        <f>VLOOKUP(F1060,'Customer Info'!$A$1:$C$501,3,0)</f>
        <v>Braunhardt</v>
      </c>
      <c r="I1060" s="6" t="str">
        <f>VLOOKUP(F1060,Customer,5,0)</f>
        <v>Perth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9080</v>
      </c>
      <c r="O1060" s="2">
        <v>22</v>
      </c>
      <c r="P1060" s="8">
        <f t="shared" si="82"/>
        <v>9102</v>
      </c>
      <c r="Q1060" s="8">
        <f t="shared" si="83"/>
        <v>580</v>
      </c>
      <c r="R1060" s="2" t="s">
        <v>28</v>
      </c>
      <c r="S1060" s="24">
        <f t="shared" si="84"/>
        <v>0.05</v>
      </c>
    </row>
    <row r="1061" spans="1:19" x14ac:dyDescent="0.25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>VLOOKUP(F1061,'Customer Info'!$A:$B,2,0)</f>
        <v>John</v>
      </c>
      <c r="H1061" s="6" t="str">
        <f>VLOOKUP(F1061,'Customer Info'!$A$1:$C$501,3,0)</f>
        <v>Grady</v>
      </c>
      <c r="I1061" s="6" t="str">
        <f>VLOOKUP(F1061,Customer,5,0)</f>
        <v>Mianyang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10724</v>
      </c>
      <c r="O1061" s="2">
        <v>65</v>
      </c>
      <c r="P1061" s="8">
        <f t="shared" si="82"/>
        <v>10789</v>
      </c>
      <c r="Q1061" s="8">
        <f t="shared" si="83"/>
        <v>892</v>
      </c>
      <c r="R1061" s="2" t="s">
        <v>50</v>
      </c>
      <c r="S1061" s="24">
        <f t="shared" si="84"/>
        <v>0.05</v>
      </c>
    </row>
    <row r="1062" spans="1:19" x14ac:dyDescent="0.25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>VLOOKUP(F1062,'Customer Info'!$A:$B,2,0)</f>
        <v>Patrick</v>
      </c>
      <c r="H1062" s="6" t="str">
        <f>VLOOKUP(F1062,'Customer Info'!$A$1:$C$501,3,0)</f>
        <v>O'Donnell</v>
      </c>
      <c r="I1062" s="6" t="str">
        <f>VLOOKUP(F1062,Customer,5,0)</f>
        <v>Sydney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2492</v>
      </c>
      <c r="O1062" s="2">
        <v>47</v>
      </c>
      <c r="P1062" s="8">
        <f t="shared" si="82"/>
        <v>2539</v>
      </c>
      <c r="Q1062" s="8">
        <f t="shared" si="83"/>
        <v>164</v>
      </c>
      <c r="R1062" s="2" t="s">
        <v>50</v>
      </c>
      <c r="S1062" s="24">
        <f t="shared" si="84"/>
        <v>0.02</v>
      </c>
    </row>
    <row r="1063" spans="1:19" x14ac:dyDescent="0.25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>VLOOKUP(F1063,'Customer Info'!$A:$B,2,0)</f>
        <v>Roy</v>
      </c>
      <c r="H1063" s="6" t="str">
        <f>VLOOKUP(F1063,'Customer Info'!$A$1:$C$501,3,0)</f>
        <v>Skaria</v>
      </c>
      <c r="I1063" s="6" t="str">
        <f>VLOOKUP(F1063,Customer,5,0)</f>
        <v>Bogor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2684</v>
      </c>
      <c r="O1063" s="2">
        <v>56</v>
      </c>
      <c r="P1063" s="8">
        <f t="shared" si="82"/>
        <v>2740</v>
      </c>
      <c r="Q1063" s="8">
        <f t="shared" si="83"/>
        <v>176</v>
      </c>
      <c r="R1063" s="2" t="s">
        <v>28</v>
      </c>
      <c r="S1063" s="24">
        <f t="shared" si="84"/>
        <v>0.02</v>
      </c>
    </row>
    <row r="1064" spans="1:19" x14ac:dyDescent="0.25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>VLOOKUP(F1064,'Customer Info'!$A:$B,2,0)</f>
        <v>Sheri</v>
      </c>
      <c r="H1064" s="6" t="str">
        <f>VLOOKUP(F1064,'Customer Info'!$A$1:$C$501,3,0)</f>
        <v>Gordon</v>
      </c>
      <c r="I1064" s="6" t="str">
        <f>VLOOKUP(F1064,Customer,5,0)</f>
        <v>Bogor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151796</v>
      </c>
      <c r="O1064" s="2">
        <v>68</v>
      </c>
      <c r="P1064" s="8">
        <f t="shared" si="82"/>
        <v>151864</v>
      </c>
      <c r="Q1064" s="8">
        <f t="shared" si="83"/>
        <v>12532</v>
      </c>
      <c r="R1064" s="2" t="s">
        <v>28</v>
      </c>
      <c r="S1064" s="24">
        <f t="shared" si="84"/>
        <v>0.12</v>
      </c>
    </row>
    <row r="1065" spans="1:19" x14ac:dyDescent="0.25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>VLOOKUP(F1065,'Customer Info'!$A:$B,2,0)</f>
        <v>Troy</v>
      </c>
      <c r="H1065" s="6" t="str">
        <f>VLOOKUP(F1065,'Customer Info'!$A$1:$C$501,3,0)</f>
        <v>Blackwell</v>
      </c>
      <c r="I1065" s="6" t="str">
        <f>VLOOKUP(F1065,Customer,5,0)</f>
        <v>Akola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1585</v>
      </c>
      <c r="O1065" s="2">
        <v>79</v>
      </c>
      <c r="P1065" s="8">
        <f t="shared" si="82"/>
        <v>1664</v>
      </c>
      <c r="Q1065" s="8">
        <f t="shared" si="83"/>
        <v>90</v>
      </c>
      <c r="R1065" s="2" t="s">
        <v>28</v>
      </c>
      <c r="S1065" s="24">
        <f t="shared" si="84"/>
        <v>0.02</v>
      </c>
    </row>
    <row r="1066" spans="1:19" x14ac:dyDescent="0.25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>VLOOKUP(F1066,'Customer Info'!$A:$B,2,0)</f>
        <v>Giulietta</v>
      </c>
      <c r="H1066" s="6" t="str">
        <f>VLOOKUP(F1066,'Customer Info'!$A$1:$C$501,3,0)</f>
        <v>Weimer</v>
      </c>
      <c r="I1066" s="6" t="str">
        <f>VLOOKUP(F1066,Customer,5,0)</f>
        <v>Suihua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4400</v>
      </c>
      <c r="O1066" s="2">
        <v>40</v>
      </c>
      <c r="P1066" s="8">
        <f t="shared" si="82"/>
        <v>4440</v>
      </c>
      <c r="Q1066" s="8">
        <f t="shared" si="83"/>
        <v>360</v>
      </c>
      <c r="R1066" s="2" t="s">
        <v>28</v>
      </c>
      <c r="S1066" s="24">
        <f t="shared" si="84"/>
        <v>0.02</v>
      </c>
    </row>
    <row r="1067" spans="1:19" x14ac:dyDescent="0.25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>VLOOKUP(F1067,'Customer Info'!$A:$B,2,0)</f>
        <v>Rachel</v>
      </c>
      <c r="H1067" s="6" t="str">
        <f>VLOOKUP(F1067,'Customer Info'!$A$1:$C$501,3,0)</f>
        <v>Payne</v>
      </c>
      <c r="I1067" s="6" t="str">
        <f>VLOOKUP(F1067,Customer,5,0)</f>
        <v>Caloundra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5080</v>
      </c>
      <c r="O1067" s="2">
        <v>41</v>
      </c>
      <c r="P1067" s="8">
        <f t="shared" si="82"/>
        <v>5121</v>
      </c>
      <c r="Q1067" s="8">
        <f t="shared" si="83"/>
        <v>286</v>
      </c>
      <c r="R1067" s="2" t="s">
        <v>28</v>
      </c>
      <c r="S1067" s="24">
        <f t="shared" si="84"/>
        <v>0.05</v>
      </c>
    </row>
    <row r="1068" spans="1:19" x14ac:dyDescent="0.25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>VLOOKUP(F1068,'Customer Info'!$A:$B,2,0)</f>
        <v>Dave</v>
      </c>
      <c r="H1068" s="6" t="str">
        <f>VLOOKUP(F1068,'Customer Info'!$A$1:$C$501,3,0)</f>
        <v>Hallsten</v>
      </c>
      <c r="I1068" s="6" t="str">
        <f>VLOOKUP(F1068,Customer,5,0)</f>
        <v>Coimbatore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4815</v>
      </c>
      <c r="O1068" s="2">
        <v>91</v>
      </c>
      <c r="P1068" s="8">
        <f t="shared" si="82"/>
        <v>4906</v>
      </c>
      <c r="Q1068" s="8">
        <f t="shared" si="83"/>
        <v>225</v>
      </c>
      <c r="R1068" s="2" t="s">
        <v>26</v>
      </c>
      <c r="S1068" s="24">
        <f t="shared" si="84"/>
        <v>0.02</v>
      </c>
    </row>
    <row r="1069" spans="1:19" x14ac:dyDescent="0.25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>VLOOKUP(F1069,'Customer Info'!$A:$B,2,0)</f>
        <v>Sonia</v>
      </c>
      <c r="H1069" s="6" t="str">
        <f>VLOOKUP(F1069,'Customer Info'!$A$1:$C$501,3,0)</f>
        <v>Sunley</v>
      </c>
      <c r="I1069" s="6" t="str">
        <f>VLOOKUP(F1069,Customer,5,0)</f>
        <v>Canberra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7932</v>
      </c>
      <c r="O1069" s="2">
        <v>71</v>
      </c>
      <c r="P1069" s="8">
        <f t="shared" si="82"/>
        <v>8003</v>
      </c>
      <c r="Q1069" s="8">
        <f t="shared" si="83"/>
        <v>657</v>
      </c>
      <c r="R1069" s="2" t="s">
        <v>28</v>
      </c>
      <c r="S1069" s="24">
        <f t="shared" si="84"/>
        <v>0.05</v>
      </c>
    </row>
    <row r="1070" spans="1:19" x14ac:dyDescent="0.25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>VLOOKUP(F1070,'Customer Info'!$A:$B,2,0)</f>
        <v>Rachel</v>
      </c>
      <c r="H1070" s="6" t="str">
        <f>VLOOKUP(F1070,'Customer Info'!$A$1:$C$501,3,0)</f>
        <v>Payne</v>
      </c>
      <c r="I1070" s="6" t="str">
        <f>VLOOKUP(F1070,Customer,5,0)</f>
        <v>Raipur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3148</v>
      </c>
      <c r="O1070" s="2">
        <v>75</v>
      </c>
      <c r="P1070" s="8">
        <f t="shared" si="82"/>
        <v>3223</v>
      </c>
      <c r="Q1070" s="8">
        <f t="shared" si="83"/>
        <v>398</v>
      </c>
      <c r="R1070" s="2" t="s">
        <v>28</v>
      </c>
      <c r="S1070" s="24">
        <f t="shared" si="84"/>
        <v>0.02</v>
      </c>
    </row>
    <row r="1071" spans="1:19" x14ac:dyDescent="0.25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>VLOOKUP(F1071,'Customer Info'!$A:$B,2,0)</f>
        <v>Bill</v>
      </c>
      <c r="H1071" s="6" t="str">
        <f>VLOOKUP(F1071,'Customer Info'!$A$1:$C$501,3,0)</f>
        <v>Shonely</v>
      </c>
      <c r="I1071" s="6" t="str">
        <f>VLOOKUP(F1071,Customer,5,0)</f>
        <v>Jinjiang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125</v>
      </c>
      <c r="O1071" s="2">
        <v>30</v>
      </c>
      <c r="P1071" s="8">
        <f t="shared" si="82"/>
        <v>155</v>
      </c>
      <c r="Q1071" s="8">
        <f t="shared" si="83"/>
        <v>12</v>
      </c>
      <c r="R1071" s="2" t="s">
        <v>28</v>
      </c>
      <c r="S1071" s="24">
        <f t="shared" si="84"/>
        <v>0.02</v>
      </c>
    </row>
    <row r="1072" spans="1:19" x14ac:dyDescent="0.25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>VLOOKUP(F1072,'Customer Info'!$A:$B,2,0)</f>
        <v>Toby</v>
      </c>
      <c r="H1072" s="6" t="str">
        <f>VLOOKUP(F1072,'Customer Info'!$A$1:$C$501,3,0)</f>
        <v>Gnade</v>
      </c>
      <c r="I1072" s="6" t="str">
        <f>VLOOKUP(F1072,Customer,5,0)</f>
        <v>Bhopal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385</v>
      </c>
      <c r="O1072" s="2">
        <v>10</v>
      </c>
      <c r="P1072" s="8">
        <f t="shared" si="82"/>
        <v>395</v>
      </c>
      <c r="Q1072" s="8">
        <f t="shared" si="83"/>
        <v>20</v>
      </c>
      <c r="R1072" s="2" t="s">
        <v>26</v>
      </c>
      <c r="S1072" s="24">
        <f t="shared" si="84"/>
        <v>0.02</v>
      </c>
    </row>
    <row r="1073" spans="1:19" x14ac:dyDescent="0.25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>VLOOKUP(F1073,'Customer Info'!$A:$B,2,0)</f>
        <v>Maureen</v>
      </c>
      <c r="H1073" s="6" t="str">
        <f>VLOOKUP(F1073,'Customer Info'!$A$1:$C$501,3,0)</f>
        <v>Gastineau</v>
      </c>
      <c r="I1073" s="6" t="str">
        <f>VLOOKUP(F1073,Customer,5,0)</f>
        <v>Melton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4857</v>
      </c>
      <c r="O1073" s="2">
        <v>86</v>
      </c>
      <c r="P1073" s="8">
        <f t="shared" si="82"/>
        <v>4943</v>
      </c>
      <c r="Q1073" s="8">
        <f t="shared" si="83"/>
        <v>531</v>
      </c>
      <c r="R1073" s="2" t="s">
        <v>28</v>
      </c>
      <c r="S1073" s="24">
        <f t="shared" si="84"/>
        <v>0.02</v>
      </c>
    </row>
    <row r="1074" spans="1:19" x14ac:dyDescent="0.25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>VLOOKUP(F1074,'Customer Info'!$A:$B,2,0)</f>
        <v>Darren</v>
      </c>
      <c r="H1074" s="6" t="str">
        <f>VLOOKUP(F1074,'Customer Info'!$A$1:$C$501,3,0)</f>
        <v>Powers</v>
      </c>
      <c r="I1074" s="6" t="str">
        <f>VLOOKUP(F1074,Customer,5,0)</f>
        <v>Depok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1010</v>
      </c>
      <c r="O1074" s="2">
        <v>30</v>
      </c>
      <c r="P1074" s="8">
        <f t="shared" si="82"/>
        <v>1040</v>
      </c>
      <c r="Q1074" s="8">
        <f t="shared" si="83"/>
        <v>75</v>
      </c>
      <c r="R1074" s="2" t="s">
        <v>50</v>
      </c>
      <c r="S1074" s="24">
        <f t="shared" si="84"/>
        <v>0.02</v>
      </c>
    </row>
    <row r="1075" spans="1:19" x14ac:dyDescent="0.25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>VLOOKUP(F1075,'Customer Info'!$A:$B,2,0)</f>
        <v>Emily</v>
      </c>
      <c r="H1075" s="6" t="str">
        <f>VLOOKUP(F1075,'Customer Info'!$A$1:$C$501,3,0)</f>
        <v>Burns</v>
      </c>
      <c r="I1075" s="6" t="str">
        <f>VLOOKUP(F1075,Customer,5,0)</f>
        <v>Nasik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126</v>
      </c>
      <c r="O1075" s="2">
        <v>10</v>
      </c>
      <c r="P1075" s="8">
        <f t="shared" si="82"/>
        <v>136</v>
      </c>
      <c r="Q1075" s="8">
        <f t="shared" si="83"/>
        <v>8</v>
      </c>
      <c r="R1075" s="2" t="s">
        <v>28</v>
      </c>
      <c r="S1075" s="24">
        <f t="shared" si="84"/>
        <v>0.02</v>
      </c>
    </row>
    <row r="1076" spans="1:19" x14ac:dyDescent="0.25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>VLOOKUP(F1076,'Customer Info'!$A:$B,2,0)</f>
        <v>Darren</v>
      </c>
      <c r="H1076" s="6" t="str">
        <f>VLOOKUP(F1076,'Customer Info'!$A$1:$C$501,3,0)</f>
        <v>Koutras</v>
      </c>
      <c r="I1076" s="6" t="str">
        <f>VLOOKUP(F1076,Customer,5,0)</f>
        <v>Pune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1798</v>
      </c>
      <c r="O1076" s="2">
        <v>100</v>
      </c>
      <c r="P1076" s="8">
        <f t="shared" si="82"/>
        <v>1898</v>
      </c>
      <c r="Q1076" s="8">
        <f t="shared" si="83"/>
        <v>148</v>
      </c>
      <c r="R1076" s="2" t="s">
        <v>28</v>
      </c>
      <c r="S1076" s="24">
        <f t="shared" si="84"/>
        <v>0.02</v>
      </c>
    </row>
    <row r="1077" spans="1:19" x14ac:dyDescent="0.25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>VLOOKUP(F1077,'Customer Info'!$A:$B,2,0)</f>
        <v>Darren</v>
      </c>
      <c r="H1077" s="6" t="str">
        <f>VLOOKUP(F1077,'Customer Info'!$A$1:$C$501,3,0)</f>
        <v>Koutras</v>
      </c>
      <c r="I1077" s="6" t="str">
        <f>VLOOKUP(F1077,Customer,5,0)</f>
        <v>Pune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1215</v>
      </c>
      <c r="O1077" s="2">
        <v>45</v>
      </c>
      <c r="P1077" s="8">
        <f t="shared" si="82"/>
        <v>1260</v>
      </c>
      <c r="Q1077" s="8">
        <f t="shared" si="83"/>
        <v>72</v>
      </c>
      <c r="R1077" s="2" t="s">
        <v>26</v>
      </c>
      <c r="S1077" s="24">
        <f t="shared" si="84"/>
        <v>0.02</v>
      </c>
    </row>
    <row r="1078" spans="1:19" x14ac:dyDescent="0.25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>VLOOKUP(F1078,'Customer Info'!$A:$B,2,0)</f>
        <v>Rick</v>
      </c>
      <c r="H1078" s="6" t="str">
        <f>VLOOKUP(F1078,'Customer Info'!$A$1:$C$501,3,0)</f>
        <v>Reed</v>
      </c>
      <c r="I1078" s="6" t="str">
        <f>VLOOKUP(F1078,Customer,5,0)</f>
        <v>Lucknow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1062</v>
      </c>
      <c r="O1078" s="2">
        <v>66</v>
      </c>
      <c r="P1078" s="8">
        <f t="shared" si="82"/>
        <v>1128</v>
      </c>
      <c r="Q1078" s="8">
        <f t="shared" si="83"/>
        <v>88</v>
      </c>
      <c r="R1078" s="2" t="s">
        <v>28</v>
      </c>
      <c r="S1078" s="24">
        <f t="shared" si="84"/>
        <v>0.02</v>
      </c>
    </row>
    <row r="1079" spans="1:19" x14ac:dyDescent="0.25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>VLOOKUP(F1079,'Customer Info'!$A:$B,2,0)</f>
        <v>Brad</v>
      </c>
      <c r="H1079" s="6" t="str">
        <f>VLOOKUP(F1079,'Customer Info'!$A$1:$C$501,3,0)</f>
        <v>Thomas</v>
      </c>
      <c r="I1079" s="6" t="str">
        <f>VLOOKUP(F1079,Customer,5,0)</f>
        <v>Udaipur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34660</v>
      </c>
      <c r="O1079" s="2">
        <v>41</v>
      </c>
      <c r="P1079" s="8">
        <f t="shared" si="82"/>
        <v>34701</v>
      </c>
      <c r="Q1079" s="8">
        <f t="shared" si="83"/>
        <v>3768</v>
      </c>
      <c r="R1079" s="2" t="s">
        <v>50</v>
      </c>
      <c r="S1079" s="24">
        <f t="shared" si="84"/>
        <v>7.0000000000000007E-2</v>
      </c>
    </row>
    <row r="1080" spans="1:19" x14ac:dyDescent="0.25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>VLOOKUP(F1080,'Customer Info'!$A:$B,2,0)</f>
        <v>Paul</v>
      </c>
      <c r="H1080" s="6" t="str">
        <f>VLOOKUP(F1080,'Customer Info'!$A$1:$C$501,3,0)</f>
        <v>Stevenson</v>
      </c>
      <c r="I1080" s="6" t="str">
        <f>VLOOKUP(F1080,Customer,5,0)</f>
        <v>Kwinana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1422</v>
      </c>
      <c r="O1080" s="2">
        <v>64</v>
      </c>
      <c r="P1080" s="8">
        <f t="shared" si="82"/>
        <v>1486</v>
      </c>
      <c r="Q1080" s="8">
        <f t="shared" si="83"/>
        <v>93</v>
      </c>
      <c r="R1080" s="2" t="s">
        <v>28</v>
      </c>
      <c r="S1080" s="24">
        <f t="shared" si="84"/>
        <v>0.02</v>
      </c>
    </row>
    <row r="1081" spans="1:19" x14ac:dyDescent="0.25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>VLOOKUP(F1081,'Customer Info'!$A:$B,2,0)</f>
        <v>James</v>
      </c>
      <c r="H1081" s="6" t="str">
        <f>VLOOKUP(F1081,'Customer Info'!$A$1:$C$501,3,0)</f>
        <v>Lanier</v>
      </c>
      <c r="I1081" s="6" t="str">
        <f>VLOOKUP(F1081,Customer,5,0)</f>
        <v>Dortmund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375</v>
      </c>
      <c r="O1081" s="2">
        <v>30</v>
      </c>
      <c r="P1081" s="8">
        <f t="shared" si="82"/>
        <v>405</v>
      </c>
      <c r="Q1081" s="8">
        <f t="shared" si="83"/>
        <v>36</v>
      </c>
      <c r="R1081" s="2" t="s">
        <v>56</v>
      </c>
      <c r="S1081" s="24">
        <f t="shared" si="84"/>
        <v>0.02</v>
      </c>
    </row>
    <row r="1082" spans="1:19" x14ac:dyDescent="0.25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>VLOOKUP(F1082,'Customer Info'!$A:$B,2,0)</f>
        <v>Julia</v>
      </c>
      <c r="H1082" s="6" t="str">
        <f>VLOOKUP(F1082,'Customer Info'!$A$1:$C$501,3,0)</f>
        <v>Barnett</v>
      </c>
      <c r="I1082" s="6" t="str">
        <f>VLOOKUP(F1082,Customer,5,0)</f>
        <v>Zhuhai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2342</v>
      </c>
      <c r="O1082" s="2">
        <v>76</v>
      </c>
      <c r="P1082" s="8">
        <f t="shared" si="82"/>
        <v>2418</v>
      </c>
      <c r="Q1082" s="8">
        <f t="shared" si="83"/>
        <v>132</v>
      </c>
      <c r="R1082" s="2" t="s">
        <v>50</v>
      </c>
      <c r="S1082" s="24">
        <f t="shared" si="84"/>
        <v>0.02</v>
      </c>
    </row>
    <row r="1083" spans="1:19" x14ac:dyDescent="0.25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>VLOOKUP(F1083,'Customer Info'!$A:$B,2,0)</f>
        <v>Alyssa</v>
      </c>
      <c r="H1083" s="6" t="str">
        <f>VLOOKUP(F1083,'Customer Info'!$A$1:$C$501,3,0)</f>
        <v>Tate</v>
      </c>
      <c r="I1083" s="6" t="str">
        <f>VLOOKUP(F1083,Customer,5,0)</f>
        <v>Wafangdian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784</v>
      </c>
      <c r="O1083" s="2">
        <v>29</v>
      </c>
      <c r="P1083" s="8">
        <f t="shared" si="82"/>
        <v>813</v>
      </c>
      <c r="Q1083" s="8">
        <f t="shared" si="83"/>
        <v>72</v>
      </c>
      <c r="R1083" s="2" t="s">
        <v>28</v>
      </c>
      <c r="S1083" s="24">
        <f t="shared" si="84"/>
        <v>0.02</v>
      </c>
    </row>
    <row r="1084" spans="1:19" x14ac:dyDescent="0.25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>VLOOKUP(F1084,'Customer Info'!$A:$B,2,0)</f>
        <v>Meg</v>
      </c>
      <c r="H1084" s="6" t="str">
        <f>VLOOKUP(F1084,'Customer Info'!$A$1:$C$501,3,0)</f>
        <v>Tillman</v>
      </c>
      <c r="I1084" s="6" t="str">
        <f>VLOOKUP(F1084,Customer,5,0)</f>
        <v>Bangalore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426</v>
      </c>
      <c r="O1084" s="2">
        <v>30</v>
      </c>
      <c r="P1084" s="8">
        <f t="shared" si="82"/>
        <v>456</v>
      </c>
      <c r="Q1084" s="8">
        <f t="shared" si="83"/>
        <v>39</v>
      </c>
      <c r="R1084" s="2" t="s">
        <v>28</v>
      </c>
      <c r="S1084" s="24">
        <f t="shared" si="84"/>
        <v>0.02</v>
      </c>
    </row>
    <row r="1085" spans="1:19" x14ac:dyDescent="0.25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>VLOOKUP(F1085,'Customer Info'!$A:$B,2,0)</f>
        <v>Jack</v>
      </c>
      <c r="H1085" s="6" t="str">
        <f>VLOOKUP(F1085,'Customer Info'!$A$1:$C$501,3,0)</f>
        <v>Garza</v>
      </c>
      <c r="I1085" s="6" t="str">
        <f>VLOOKUP(F1085,Customer,5,0)</f>
        <v>Oldenburg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276</v>
      </c>
      <c r="O1085" s="2">
        <v>10</v>
      </c>
      <c r="P1085" s="8">
        <f t="shared" si="82"/>
        <v>286</v>
      </c>
      <c r="Q1085" s="8">
        <f t="shared" si="83"/>
        <v>30</v>
      </c>
      <c r="R1085" s="2" t="s">
        <v>28</v>
      </c>
      <c r="S1085" s="24">
        <f t="shared" si="84"/>
        <v>0.02</v>
      </c>
    </row>
    <row r="1086" spans="1:19" x14ac:dyDescent="0.25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>VLOOKUP(F1086,'Customer Info'!$A:$B,2,0)</f>
        <v>Brendan</v>
      </c>
      <c r="H1086" s="6" t="str">
        <f>VLOOKUP(F1086,'Customer Info'!$A$1:$C$501,3,0)</f>
        <v>Murry</v>
      </c>
      <c r="I1086" s="6" t="str">
        <f>VLOOKUP(F1086,Customer,5,0)</f>
        <v>Schwerin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82</v>
      </c>
      <c r="O1086" s="2">
        <v>10</v>
      </c>
      <c r="P1086" s="8">
        <f t="shared" si="82"/>
        <v>92</v>
      </c>
      <c r="Q1086" s="8">
        <f t="shared" si="83"/>
        <v>3</v>
      </c>
      <c r="R1086" s="2" t="s">
        <v>28</v>
      </c>
      <c r="S1086" s="24">
        <f t="shared" si="84"/>
        <v>0.02</v>
      </c>
    </row>
    <row r="1087" spans="1:19" x14ac:dyDescent="0.25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>VLOOKUP(F1087,'Customer Info'!$A:$B,2,0)</f>
        <v>Dennis</v>
      </c>
      <c r="H1087" s="6" t="str">
        <f>VLOOKUP(F1087,'Customer Info'!$A$1:$C$501,3,0)</f>
        <v>Pardue</v>
      </c>
      <c r="I1087" s="6" t="str">
        <f>VLOOKUP(F1087,Customer,5,0)</f>
        <v>Townsville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17778</v>
      </c>
      <c r="O1087" s="2">
        <v>91</v>
      </c>
      <c r="P1087" s="8">
        <f t="shared" si="82"/>
        <v>17869</v>
      </c>
      <c r="Q1087" s="8">
        <f t="shared" si="83"/>
        <v>840</v>
      </c>
      <c r="R1087" s="2" t="s">
        <v>28</v>
      </c>
      <c r="S1087" s="24">
        <f t="shared" si="84"/>
        <v>0.05</v>
      </c>
    </row>
    <row r="1088" spans="1:19" x14ac:dyDescent="0.25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>VLOOKUP(F1088,'Customer Info'!$A:$B,2,0)</f>
        <v>Erin</v>
      </c>
      <c r="H1088" s="6" t="str">
        <f>VLOOKUP(F1088,'Customer Info'!$A$1:$C$501,3,0)</f>
        <v>Smith</v>
      </c>
      <c r="I1088" s="6" t="str">
        <f>VLOOKUP(F1088,Customer,5,0)</f>
        <v>Yuci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63</v>
      </c>
      <c r="O1088" s="2">
        <v>10</v>
      </c>
      <c r="P1088" s="8">
        <f t="shared" si="82"/>
        <v>73</v>
      </c>
      <c r="Q1088" s="8">
        <f t="shared" si="83"/>
        <v>5</v>
      </c>
      <c r="R1088" s="2" t="s">
        <v>28</v>
      </c>
      <c r="S1088" s="24">
        <f t="shared" si="84"/>
        <v>0.02</v>
      </c>
    </row>
    <row r="1089" spans="1:19" x14ac:dyDescent="0.25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>VLOOKUP(F1089,'Customer Info'!$A:$B,2,0)</f>
        <v>Troy</v>
      </c>
      <c r="H1089" s="6" t="str">
        <f>VLOOKUP(F1089,'Customer Info'!$A$1:$C$501,3,0)</f>
        <v>Staebel</v>
      </c>
      <c r="I1089" s="6" t="str">
        <f>VLOOKUP(F1089,Customer,5,0)</f>
        <v>Canberra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474</v>
      </c>
      <c r="O1089" s="2">
        <v>33</v>
      </c>
      <c r="P1089" s="8">
        <f t="shared" si="82"/>
        <v>507</v>
      </c>
      <c r="Q1089" s="8">
        <f t="shared" si="83"/>
        <v>31</v>
      </c>
      <c r="R1089" s="2" t="s">
        <v>28</v>
      </c>
      <c r="S1089" s="24">
        <f t="shared" si="84"/>
        <v>0.02</v>
      </c>
    </row>
    <row r="1090" spans="1:19" x14ac:dyDescent="0.25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>VLOOKUP(F1090,'Customer Info'!$A:$B,2,0)</f>
        <v>Helen</v>
      </c>
      <c r="H1090" s="6" t="str">
        <f>VLOOKUP(F1090,'Customer Info'!$A$1:$C$501,3,0)</f>
        <v>Abelman</v>
      </c>
      <c r="I1090" s="6" t="str">
        <f>VLOOKUP(F1090,Customer,5,0)</f>
        <v>Munich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1700</v>
      </c>
      <c r="O1090" s="2">
        <v>53</v>
      </c>
      <c r="P1090" s="8">
        <f t="shared" si="82"/>
        <v>1753</v>
      </c>
      <c r="Q1090" s="8">
        <f t="shared" si="83"/>
        <v>80</v>
      </c>
      <c r="R1090" s="2" t="s">
        <v>28</v>
      </c>
      <c r="S1090" s="24">
        <f t="shared" si="84"/>
        <v>0.02</v>
      </c>
    </row>
    <row r="1091" spans="1:19" x14ac:dyDescent="0.25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>VLOOKUP(F1091,'Customer Info'!$A:$B,2,0)</f>
        <v>Anna</v>
      </c>
      <c r="H1091" s="6" t="str">
        <f>VLOOKUP(F1091,'Customer Info'!$A$1:$C$501,3,0)</f>
        <v>Gayman</v>
      </c>
      <c r="I1091" s="6" t="str">
        <f>VLOOKUP(F1091,Customer,5,0)</f>
        <v>Jakarta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41405</v>
      </c>
      <c r="O1091" s="2">
        <v>48</v>
      </c>
      <c r="P1091" s="8">
        <f t="shared" si="82"/>
        <v>41453</v>
      </c>
      <c r="Q1091" s="8">
        <f t="shared" si="83"/>
        <v>3040</v>
      </c>
      <c r="R1091" s="2" t="s">
        <v>26</v>
      </c>
      <c r="S1091" s="24">
        <f t="shared" si="84"/>
        <v>7.0000000000000007E-2</v>
      </c>
    </row>
    <row r="1092" spans="1:19" x14ac:dyDescent="0.25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>VLOOKUP(F1092,'Customer Info'!$A:$B,2,0)</f>
        <v>Harry</v>
      </c>
      <c r="H1092" s="6" t="str">
        <f>VLOOKUP(F1092,'Customer Info'!$A$1:$C$501,3,0)</f>
        <v>Marie</v>
      </c>
      <c r="I1092" s="6" t="str">
        <f>VLOOKUP(F1092,Customer,5,0)</f>
        <v>Dortmund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882</v>
      </c>
      <c r="O1092" s="2">
        <v>10</v>
      </c>
      <c r="P1092" s="8">
        <f t="shared" si="82"/>
        <v>892</v>
      </c>
      <c r="Q1092" s="8">
        <f t="shared" si="83"/>
        <v>70</v>
      </c>
      <c r="R1092" s="2" t="s">
        <v>28</v>
      </c>
      <c r="S1092" s="24">
        <f t="shared" si="84"/>
        <v>0.02</v>
      </c>
    </row>
    <row r="1093" spans="1:19" x14ac:dyDescent="0.25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>VLOOKUP(F1093,'Customer Info'!$A:$B,2,0)</f>
        <v>Kelly</v>
      </c>
      <c r="H1093" s="6" t="str">
        <f>VLOOKUP(F1093,'Customer Info'!$A$1:$C$501,3,0)</f>
        <v>Collister</v>
      </c>
      <c r="I1093" s="6" t="str">
        <f>VLOOKUP(F1093,Customer,5,0)</f>
        <v>Sydney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24240</v>
      </c>
      <c r="O1093" s="2">
        <v>67</v>
      </c>
      <c r="P1093" s="8">
        <f t="shared" si="82"/>
        <v>24307</v>
      </c>
      <c r="Q1093" s="8">
        <f t="shared" si="83"/>
        <v>232</v>
      </c>
      <c r="R1093" s="2" t="s">
        <v>28</v>
      </c>
      <c r="S1093" s="24">
        <f t="shared" si="84"/>
        <v>0.05</v>
      </c>
    </row>
    <row r="1094" spans="1:19" x14ac:dyDescent="0.25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>VLOOKUP(F1094,'Customer Info'!$A:$B,2,0)</f>
        <v>Dave</v>
      </c>
      <c r="H1094" s="6" t="str">
        <f>VLOOKUP(F1094,'Customer Info'!$A$1:$C$501,3,0)</f>
        <v>Poirier</v>
      </c>
      <c r="I1094" s="6" t="str">
        <f>VLOOKUP(F1094,Customer,5,0)</f>
        <v>Suizhou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58756</v>
      </c>
      <c r="O1094" s="2">
        <v>74</v>
      </c>
      <c r="P1094" s="8">
        <f t="shared" si="82"/>
        <v>58830</v>
      </c>
      <c r="Q1094" s="8">
        <f t="shared" si="83"/>
        <v>4932</v>
      </c>
      <c r="R1094" s="2" t="s">
        <v>50</v>
      </c>
      <c r="S1094" s="24">
        <f t="shared" si="84"/>
        <v>0.09</v>
      </c>
    </row>
    <row r="1095" spans="1:19" x14ac:dyDescent="0.25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>VLOOKUP(F1095,'Customer Info'!$A:$B,2,0)</f>
        <v>Sonia</v>
      </c>
      <c r="H1095" s="6" t="str">
        <f>VLOOKUP(F1095,'Customer Info'!$A$1:$C$501,3,0)</f>
        <v>Sunley</v>
      </c>
      <c r="I1095" s="6" t="str">
        <f>VLOOKUP(F1095,Customer,5,0)</f>
        <v>Canberra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1210</v>
      </c>
      <c r="O1095" s="2">
        <v>88</v>
      </c>
      <c r="P1095" s="8">
        <f t="shared" si="82"/>
        <v>1298</v>
      </c>
      <c r="Q1095" s="8">
        <f t="shared" si="83"/>
        <v>46</v>
      </c>
      <c r="R1095" s="2" t="s">
        <v>50</v>
      </c>
      <c r="S1095" s="24">
        <f t="shared" si="84"/>
        <v>0.02</v>
      </c>
    </row>
    <row r="1096" spans="1:19" x14ac:dyDescent="0.25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>VLOOKUP(F1096,'Customer Info'!$A:$B,2,0)</f>
        <v>Sung</v>
      </c>
      <c r="H1096" s="6" t="str">
        <f>VLOOKUP(F1096,'Customer Info'!$A$1:$C$501,3,0)</f>
        <v>Pak</v>
      </c>
      <c r="I1096" s="6" t="str">
        <f>VLOOKUP(F1096,Customer,5,0)</f>
        <v>Chaozhou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3092</v>
      </c>
      <c r="O1096" s="2">
        <v>98</v>
      </c>
      <c r="P1096" s="8">
        <f t="shared" si="82"/>
        <v>3190</v>
      </c>
      <c r="Q1096" s="8">
        <f t="shared" si="83"/>
        <v>260</v>
      </c>
      <c r="R1096" s="2" t="s">
        <v>50</v>
      </c>
      <c r="S1096" s="24">
        <f t="shared" si="84"/>
        <v>0.02</v>
      </c>
    </row>
    <row r="1097" spans="1:19" x14ac:dyDescent="0.25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>VLOOKUP(F1097,'Customer Info'!$A:$B,2,0)</f>
        <v>Aaron</v>
      </c>
      <c r="H1097" s="6" t="str">
        <f>VLOOKUP(F1097,'Customer Info'!$A$1:$C$501,3,0)</f>
        <v>Smayling</v>
      </c>
      <c r="I1097" s="6" t="str">
        <f>VLOOKUP(F1097,Customer,5,0)</f>
        <v>Port Macquarie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7001</v>
      </c>
      <c r="O1097" s="2">
        <v>55</v>
      </c>
      <c r="P1097" s="8">
        <f t="shared" si="82"/>
        <v>7056</v>
      </c>
      <c r="Q1097" s="8">
        <f t="shared" si="83"/>
        <v>525</v>
      </c>
      <c r="R1097" s="2" t="s">
        <v>28</v>
      </c>
      <c r="S1097" s="24">
        <f t="shared" si="84"/>
        <v>0.05</v>
      </c>
    </row>
    <row r="1098" spans="1:19" x14ac:dyDescent="0.25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>VLOOKUP(F1098,'Customer Info'!$A:$B,2,0)</f>
        <v>Harold</v>
      </c>
      <c r="H1098" s="6" t="str">
        <f>VLOOKUP(F1098,'Customer Info'!$A$1:$C$501,3,0)</f>
        <v>Dahlen</v>
      </c>
      <c r="I1098" s="6" t="str">
        <f>VLOOKUP(F1098,Customer,5,0)</f>
        <v>Jakarta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381</v>
      </c>
      <c r="O1098" s="2">
        <v>30</v>
      </c>
      <c r="P1098" s="8">
        <f t="shared" si="82"/>
        <v>411</v>
      </c>
      <c r="Q1098" s="8">
        <f t="shared" si="83"/>
        <v>33</v>
      </c>
      <c r="R1098" s="2" t="s">
        <v>28</v>
      </c>
      <c r="S1098" s="24">
        <f t="shared" si="84"/>
        <v>0.02</v>
      </c>
    </row>
    <row r="1099" spans="1:19" x14ac:dyDescent="0.25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>VLOOKUP(F1099,'Customer Info'!$A:$B,2,0)</f>
        <v>Dave</v>
      </c>
      <c r="H1099" s="6" t="str">
        <f>VLOOKUP(F1099,'Customer Info'!$A$1:$C$501,3,0)</f>
        <v>Poirier</v>
      </c>
      <c r="I1099" s="6" t="str">
        <f>VLOOKUP(F1099,Customer,5,0)</f>
        <v>Suizhou</v>
      </c>
      <c r="J1099" s="2">
        <v>36057</v>
      </c>
      <c r="K1099" s="2">
        <v>34028</v>
      </c>
      <c r="L1099" s="2">
        <v>1</v>
      </c>
      <c r="M1099" s="7">
        <f t="shared" ref="M1099:M1162" si="85">K1099*L1099</f>
        <v>34028</v>
      </c>
      <c r="N1099" s="7">
        <f t="shared" ref="N1099:N1162" si="86">J1099*L1099</f>
        <v>36057</v>
      </c>
      <c r="O1099" s="2">
        <v>96</v>
      </c>
      <c r="P1099" s="8">
        <f t="shared" ref="P1099:P1162" si="87">N1099+O1099</f>
        <v>36153</v>
      </c>
      <c r="Q1099" s="8">
        <f t="shared" ref="Q1099:Q1162" si="88">N1099-M1099</f>
        <v>2029</v>
      </c>
      <c r="R1099" s="2" t="s">
        <v>28</v>
      </c>
      <c r="S1099" s="24">
        <f t="shared" ref="S1099:S1162" si="89">VLOOKUP(N1099,$T$1:$U$7,2,TRUE)</f>
        <v>7.0000000000000007E-2</v>
      </c>
    </row>
    <row r="1100" spans="1:19" x14ac:dyDescent="0.25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>VLOOKUP(F1100,'Customer Info'!$A:$B,2,0)</f>
        <v>Monica</v>
      </c>
      <c r="H1100" s="6" t="str">
        <f>VLOOKUP(F1100,'Customer Info'!$A$1:$C$501,3,0)</f>
        <v>Federle</v>
      </c>
      <c r="I1100" s="6" t="str">
        <f>VLOOKUP(F1100,Customer,5,0)</f>
        <v>Lismore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8">
        <f t="shared" si="87"/>
        <v>743</v>
      </c>
      <c r="Q1100" s="8">
        <f t="shared" si="88"/>
        <v>45</v>
      </c>
      <c r="R1100" s="2" t="s">
        <v>50</v>
      </c>
      <c r="S1100" s="24">
        <f t="shared" si="89"/>
        <v>0.02</v>
      </c>
    </row>
    <row r="1101" spans="1:19" x14ac:dyDescent="0.25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>VLOOKUP(F1101,'Customer Info'!$A:$B,2,0)</f>
        <v>Michelle</v>
      </c>
      <c r="H1101" s="6" t="str">
        <f>VLOOKUP(F1101,'Customer Info'!$A$1:$C$501,3,0)</f>
        <v>Arnett</v>
      </c>
      <c r="I1101" s="6" t="str">
        <f>VLOOKUP(F1101,Customer,5,0)</f>
        <v>Yancheng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8">
        <f t="shared" si="87"/>
        <v>4512</v>
      </c>
      <c r="Q1101" s="8">
        <f t="shared" si="88"/>
        <v>286</v>
      </c>
      <c r="R1101" s="2" t="s">
        <v>28</v>
      </c>
      <c r="S1101" s="24">
        <f t="shared" si="89"/>
        <v>0.02</v>
      </c>
    </row>
    <row r="1102" spans="1:19" x14ac:dyDescent="0.25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>VLOOKUP(F1102,'Customer Info'!$A:$B,2,0)</f>
        <v>Barry</v>
      </c>
      <c r="H1102" s="6" t="str">
        <f>VLOOKUP(F1102,'Customer Info'!$A$1:$C$501,3,0)</f>
        <v>Blumstein</v>
      </c>
      <c r="I1102" s="6" t="str">
        <f>VLOOKUP(F1102,Customer,5,0)</f>
        <v>Gold Coast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8">
        <f t="shared" si="87"/>
        <v>34806</v>
      </c>
      <c r="Q1102" s="8">
        <f t="shared" si="88"/>
        <v>2604</v>
      </c>
      <c r="R1102" s="2" t="s">
        <v>28</v>
      </c>
      <c r="S1102" s="24">
        <f t="shared" si="89"/>
        <v>7.0000000000000007E-2</v>
      </c>
    </row>
    <row r="1103" spans="1:19" x14ac:dyDescent="0.25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>VLOOKUP(F1103,'Customer Info'!$A:$B,2,0)</f>
        <v>Tony</v>
      </c>
      <c r="H1103" s="6" t="str">
        <f>VLOOKUP(F1103,'Customer Info'!$A$1:$C$501,3,0)</f>
        <v>Sayre</v>
      </c>
      <c r="I1103" s="6" t="str">
        <f>VLOOKUP(F1103,Customer,5,0)</f>
        <v>Jakarta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8">
        <f t="shared" si="87"/>
        <v>11963</v>
      </c>
      <c r="Q1103" s="8">
        <f t="shared" si="88"/>
        <v>444</v>
      </c>
      <c r="R1103" s="2" t="s">
        <v>50</v>
      </c>
      <c r="S1103" s="24">
        <f t="shared" si="89"/>
        <v>0.05</v>
      </c>
    </row>
    <row r="1104" spans="1:19" x14ac:dyDescent="0.25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>VLOOKUP(F1104,'Customer Info'!$A:$B,2,0)</f>
        <v>Anemone</v>
      </c>
      <c r="H1104" s="6" t="str">
        <f>VLOOKUP(F1104,'Customer Info'!$A$1:$C$501,3,0)</f>
        <v>Ratner</v>
      </c>
      <c r="I1104" s="6" t="str">
        <f>VLOOKUP(F1104,Customer,5,0)</f>
        <v>Berlin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1556</v>
      </c>
      <c r="O1104" s="2">
        <v>35</v>
      </c>
      <c r="P1104" s="8">
        <f t="shared" si="87"/>
        <v>1591</v>
      </c>
      <c r="Q1104" s="8">
        <f t="shared" si="88"/>
        <v>142</v>
      </c>
      <c r="R1104" s="2" t="s">
        <v>28</v>
      </c>
      <c r="S1104" s="24">
        <f t="shared" si="89"/>
        <v>0.02</v>
      </c>
    </row>
    <row r="1105" spans="1:19" x14ac:dyDescent="0.25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>VLOOKUP(F1105,'Customer Info'!$A:$B,2,0)</f>
        <v>Dionis</v>
      </c>
      <c r="H1105" s="6" t="str">
        <f>VLOOKUP(F1105,'Customer Info'!$A$1:$C$501,3,0)</f>
        <v>Lloyd</v>
      </c>
      <c r="I1105" s="6" t="str">
        <f>VLOOKUP(F1105,Customer,5,0)</f>
        <v>Kamarhati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3138</v>
      </c>
      <c r="O1105" s="2">
        <v>36</v>
      </c>
      <c r="P1105" s="8">
        <f t="shared" si="87"/>
        <v>3174</v>
      </c>
      <c r="Q1105" s="8">
        <f t="shared" si="88"/>
        <v>206</v>
      </c>
      <c r="R1105" s="2" t="s">
        <v>50</v>
      </c>
      <c r="S1105" s="24">
        <f t="shared" si="89"/>
        <v>0.02</v>
      </c>
    </row>
    <row r="1106" spans="1:19" x14ac:dyDescent="0.25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>VLOOKUP(F1106,'Customer Info'!$A:$B,2,0)</f>
        <v>Brooke</v>
      </c>
      <c r="H1106" s="6" t="str">
        <f>VLOOKUP(F1106,'Customer Info'!$A$1:$C$501,3,0)</f>
        <v>Gillingham</v>
      </c>
      <c r="I1106" s="6" t="str">
        <f>VLOOKUP(F1106,Customer,5,0)</f>
        <v>Geraldton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2566</v>
      </c>
      <c r="O1106" s="2">
        <v>20</v>
      </c>
      <c r="P1106" s="8">
        <f t="shared" si="87"/>
        <v>2586</v>
      </c>
      <c r="Q1106" s="8">
        <f t="shared" si="88"/>
        <v>192</v>
      </c>
      <c r="R1106" s="2" t="s">
        <v>50</v>
      </c>
      <c r="S1106" s="24">
        <f t="shared" si="89"/>
        <v>0.02</v>
      </c>
    </row>
    <row r="1107" spans="1:19" x14ac:dyDescent="0.25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>VLOOKUP(F1107,'Customer Info'!$A:$B,2,0)</f>
        <v>Sarah</v>
      </c>
      <c r="H1107" s="6" t="str">
        <f>VLOOKUP(F1107,'Customer Info'!$A$1:$C$501,3,0)</f>
        <v>Bern</v>
      </c>
      <c r="I1107" s="6" t="str">
        <f>VLOOKUP(F1107,Customer,5,0)</f>
        <v>Wollongong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3174</v>
      </c>
      <c r="O1107" s="2">
        <v>50</v>
      </c>
      <c r="P1107" s="8">
        <f t="shared" si="87"/>
        <v>3224</v>
      </c>
      <c r="Q1107" s="8">
        <f t="shared" si="88"/>
        <v>318</v>
      </c>
      <c r="R1107" s="2" t="s">
        <v>28</v>
      </c>
      <c r="S1107" s="24">
        <f t="shared" si="89"/>
        <v>0.02</v>
      </c>
    </row>
    <row r="1108" spans="1:19" x14ac:dyDescent="0.25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>VLOOKUP(F1108,'Customer Info'!$A:$B,2,0)</f>
        <v>Stefania</v>
      </c>
      <c r="H1108" s="6" t="str">
        <f>VLOOKUP(F1108,'Customer Info'!$A$1:$C$501,3,0)</f>
        <v>Perrino</v>
      </c>
      <c r="I1108" s="6" t="str">
        <f>VLOOKUP(F1108,Customer,5,0)</f>
        <v>Albury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8340</v>
      </c>
      <c r="O1108" s="2">
        <v>34</v>
      </c>
      <c r="P1108" s="8">
        <f t="shared" si="87"/>
        <v>8374</v>
      </c>
      <c r="Q1108" s="8">
        <f t="shared" si="88"/>
        <v>160</v>
      </c>
      <c r="R1108" s="2" t="s">
        <v>50</v>
      </c>
      <c r="S1108" s="24">
        <f t="shared" si="89"/>
        <v>0.05</v>
      </c>
    </row>
    <row r="1109" spans="1:19" x14ac:dyDescent="0.25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>VLOOKUP(F1109,'Customer Info'!$A:$B,2,0)</f>
        <v>Bryan</v>
      </c>
      <c r="H1109" s="6" t="str">
        <f>VLOOKUP(F1109,'Customer Info'!$A$1:$C$501,3,0)</f>
        <v>Davis</v>
      </c>
      <c r="I1109" s="6" t="str">
        <f>VLOOKUP(F1109,Customer,5,0)</f>
        <v>Delhi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16052</v>
      </c>
      <c r="O1109" s="2">
        <v>25</v>
      </c>
      <c r="P1109" s="8">
        <f t="shared" si="87"/>
        <v>16077</v>
      </c>
      <c r="Q1109" s="8">
        <f t="shared" si="88"/>
        <v>908</v>
      </c>
      <c r="R1109" s="2" t="s">
        <v>28</v>
      </c>
      <c r="S1109" s="24">
        <f t="shared" si="89"/>
        <v>0.05</v>
      </c>
    </row>
    <row r="1110" spans="1:19" x14ac:dyDescent="0.25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>VLOOKUP(F1110,'Customer Info'!$A:$B,2,0)</f>
        <v>Carl</v>
      </c>
      <c r="H1110" s="6" t="str">
        <f>VLOOKUP(F1110,'Customer Info'!$A$1:$C$501,3,0)</f>
        <v>Weiss</v>
      </c>
      <c r="I1110" s="6" t="str">
        <f>VLOOKUP(F1110,Customer,5,0)</f>
        <v>Delhi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660</v>
      </c>
      <c r="O1110" s="2">
        <v>30</v>
      </c>
      <c r="P1110" s="8">
        <f t="shared" si="87"/>
        <v>690</v>
      </c>
      <c r="Q1110" s="8">
        <f t="shared" si="88"/>
        <v>64</v>
      </c>
      <c r="R1110" s="2" t="s">
        <v>28</v>
      </c>
      <c r="S1110" s="24">
        <f t="shared" si="89"/>
        <v>0.02</v>
      </c>
    </row>
    <row r="1111" spans="1:19" x14ac:dyDescent="0.25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>VLOOKUP(F1111,'Customer Info'!$A:$B,2,0)</f>
        <v>Jenna</v>
      </c>
      <c r="H1111" s="6" t="str">
        <f>VLOOKUP(F1111,'Customer Info'!$A$1:$C$501,3,0)</f>
        <v>Caffey</v>
      </c>
      <c r="I1111" s="6" t="str">
        <f>VLOOKUP(F1111,Customer,5,0)</f>
        <v>Kanpur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2250</v>
      </c>
      <c r="O1111" s="2">
        <v>22</v>
      </c>
      <c r="P1111" s="8">
        <f t="shared" si="87"/>
        <v>2272</v>
      </c>
      <c r="Q1111" s="8">
        <f t="shared" si="88"/>
        <v>43</v>
      </c>
      <c r="R1111" s="2" t="s">
        <v>28</v>
      </c>
      <c r="S1111" s="24">
        <f t="shared" si="89"/>
        <v>0.02</v>
      </c>
    </row>
    <row r="1112" spans="1:19" x14ac:dyDescent="0.25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>VLOOKUP(F1112,'Customer Info'!$A:$B,2,0)</f>
        <v>Mitch</v>
      </c>
      <c r="H1112" s="6" t="str">
        <f>VLOOKUP(F1112,'Customer Info'!$A$1:$C$501,3,0)</f>
        <v>Willingham</v>
      </c>
      <c r="I1112" s="6" t="str">
        <f>VLOOKUP(F1112,Customer,5,0)</f>
        <v>Surakarta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8379</v>
      </c>
      <c r="O1112" s="2">
        <v>81</v>
      </c>
      <c r="P1112" s="8">
        <f t="shared" si="87"/>
        <v>8460</v>
      </c>
      <c r="Q1112" s="8">
        <f t="shared" si="88"/>
        <v>318</v>
      </c>
      <c r="R1112" s="2" t="s">
        <v>28</v>
      </c>
      <c r="S1112" s="24">
        <f t="shared" si="89"/>
        <v>0.05</v>
      </c>
    </row>
    <row r="1113" spans="1:19" x14ac:dyDescent="0.25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>VLOOKUP(F1113,'Customer Info'!$A:$B,2,0)</f>
        <v>Rick</v>
      </c>
      <c r="H1113" s="6" t="str">
        <f>VLOOKUP(F1113,'Customer Info'!$A$1:$C$501,3,0)</f>
        <v>Duston</v>
      </c>
      <c r="I1113" s="6" t="str">
        <f>VLOOKUP(F1113,Customer,5,0)</f>
        <v>Bhiwandi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15246</v>
      </c>
      <c r="O1113" s="2">
        <v>69</v>
      </c>
      <c r="P1113" s="8">
        <f t="shared" si="87"/>
        <v>15315</v>
      </c>
      <c r="Q1113" s="8">
        <f t="shared" si="88"/>
        <v>1118</v>
      </c>
      <c r="R1113" s="2" t="s">
        <v>50</v>
      </c>
      <c r="S1113" s="24">
        <f t="shared" si="89"/>
        <v>0.05</v>
      </c>
    </row>
    <row r="1114" spans="1:19" x14ac:dyDescent="0.25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>VLOOKUP(F1114,'Customer Info'!$A:$B,2,0)</f>
        <v>Steve</v>
      </c>
      <c r="H1114" s="6" t="str">
        <f>VLOOKUP(F1114,'Customer Info'!$A$1:$C$501,3,0)</f>
        <v>Carroll</v>
      </c>
      <c r="I1114" s="6" t="str">
        <f>VLOOKUP(F1114,Customer,5,0)</f>
        <v>Qingdao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35005</v>
      </c>
      <c r="O1114" s="2">
        <v>28</v>
      </c>
      <c r="P1114" s="8">
        <f t="shared" si="87"/>
        <v>35033</v>
      </c>
      <c r="Q1114" s="8">
        <f t="shared" si="88"/>
        <v>2625</v>
      </c>
      <c r="R1114" s="2" t="s">
        <v>50</v>
      </c>
      <c r="S1114" s="24">
        <f t="shared" si="89"/>
        <v>7.0000000000000007E-2</v>
      </c>
    </row>
    <row r="1115" spans="1:19" x14ac:dyDescent="0.25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>VLOOKUP(F1115,'Customer Info'!$A:$B,2,0)</f>
        <v>Kristina</v>
      </c>
      <c r="H1115" s="6" t="str">
        <f>VLOOKUP(F1115,'Customer Info'!$A$1:$C$501,3,0)</f>
        <v>Nunn</v>
      </c>
      <c r="I1115" s="6" t="str">
        <f>VLOOKUP(F1115,Customer,5,0)</f>
        <v>Sydney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1016</v>
      </c>
      <c r="O1115" s="2">
        <v>30</v>
      </c>
      <c r="P1115" s="8">
        <f t="shared" si="87"/>
        <v>1046</v>
      </c>
      <c r="Q1115" s="8">
        <f t="shared" si="88"/>
        <v>88</v>
      </c>
      <c r="R1115" s="2" t="s">
        <v>28</v>
      </c>
      <c r="S1115" s="24">
        <f t="shared" si="89"/>
        <v>0.02</v>
      </c>
    </row>
    <row r="1116" spans="1:19" x14ac:dyDescent="0.25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>VLOOKUP(F1116,'Customer Info'!$A:$B,2,0)</f>
        <v>Charlotte</v>
      </c>
      <c r="H1116" s="6" t="str">
        <f>VLOOKUP(F1116,'Customer Info'!$A$1:$C$501,3,0)</f>
        <v>Melton</v>
      </c>
      <c r="I1116" s="6" t="str">
        <f>VLOOKUP(F1116,Customer,5,0)</f>
        <v>Canberra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1284</v>
      </c>
      <c r="O1116" s="2">
        <v>41</v>
      </c>
      <c r="P1116" s="8">
        <f t="shared" si="87"/>
        <v>1325</v>
      </c>
      <c r="Q1116" s="8">
        <f t="shared" si="88"/>
        <v>84</v>
      </c>
      <c r="R1116" s="2" t="s">
        <v>26</v>
      </c>
      <c r="S1116" s="24">
        <f t="shared" si="89"/>
        <v>0.02</v>
      </c>
    </row>
    <row r="1117" spans="1:19" x14ac:dyDescent="0.25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>VLOOKUP(F1117,'Customer Info'!$A:$B,2,0)</f>
        <v>Benjamin</v>
      </c>
      <c r="H1117" s="6" t="str">
        <f>VLOOKUP(F1117,'Customer Info'!$A$1:$C$501,3,0)</f>
        <v>Patterson</v>
      </c>
      <c r="I1117" s="6" t="str">
        <f>VLOOKUP(F1117,Customer,5,0)</f>
        <v>Tamworth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20790</v>
      </c>
      <c r="O1117" s="2">
        <v>93</v>
      </c>
      <c r="P1117" s="8">
        <f t="shared" si="87"/>
        <v>20883</v>
      </c>
      <c r="Q1117" s="8">
        <f t="shared" si="88"/>
        <v>2430</v>
      </c>
      <c r="R1117" s="2" t="s">
        <v>28</v>
      </c>
      <c r="S1117" s="24">
        <f t="shared" si="89"/>
        <v>0.05</v>
      </c>
    </row>
    <row r="1118" spans="1:19" x14ac:dyDescent="0.25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>VLOOKUP(F1118,'Customer Info'!$A:$B,2,0)</f>
        <v>Bart</v>
      </c>
      <c r="H1118" s="6" t="str">
        <f>VLOOKUP(F1118,'Customer Info'!$A$1:$C$501,3,0)</f>
        <v>Folk</v>
      </c>
      <c r="I1118" s="6" t="str">
        <f>VLOOKUP(F1118,Customer,5,0)</f>
        <v>Melbourne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16770</v>
      </c>
      <c r="O1118" s="2">
        <v>35</v>
      </c>
      <c r="P1118" s="8">
        <f t="shared" si="87"/>
        <v>16805</v>
      </c>
      <c r="Q1118" s="8">
        <f t="shared" si="88"/>
        <v>1260</v>
      </c>
      <c r="R1118" s="2" t="s">
        <v>50</v>
      </c>
      <c r="S1118" s="24">
        <f t="shared" si="89"/>
        <v>0.05</v>
      </c>
    </row>
    <row r="1119" spans="1:19" x14ac:dyDescent="0.25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>VLOOKUP(F1119,'Customer Info'!$A:$B,2,0)</f>
        <v>Julia</v>
      </c>
      <c r="H1119" s="6" t="str">
        <f>VLOOKUP(F1119,'Customer Info'!$A$1:$C$501,3,0)</f>
        <v>Barnett</v>
      </c>
      <c r="I1119" s="6" t="str">
        <f>VLOOKUP(F1119,Customer,5,0)</f>
        <v>Zhuhai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16044</v>
      </c>
      <c r="O1119" s="2">
        <v>52</v>
      </c>
      <c r="P1119" s="8">
        <f t="shared" si="87"/>
        <v>16096</v>
      </c>
      <c r="Q1119" s="8">
        <f t="shared" si="88"/>
        <v>308</v>
      </c>
      <c r="R1119" s="2" t="s">
        <v>26</v>
      </c>
      <c r="S1119" s="24">
        <f t="shared" si="89"/>
        <v>0.05</v>
      </c>
    </row>
    <row r="1120" spans="1:19" x14ac:dyDescent="0.25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>VLOOKUP(F1120,'Customer Info'!$A:$B,2,0)</f>
        <v>Michelle</v>
      </c>
      <c r="H1120" s="6" t="str">
        <f>VLOOKUP(F1120,'Customer Info'!$A$1:$C$501,3,0)</f>
        <v>Arnett</v>
      </c>
      <c r="I1120" s="6" t="str">
        <f>VLOOKUP(F1120,Customer,5,0)</f>
        <v>Palembang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189</v>
      </c>
      <c r="O1120" s="2">
        <v>10</v>
      </c>
      <c r="P1120" s="8">
        <f t="shared" si="87"/>
        <v>199</v>
      </c>
      <c r="Q1120" s="8">
        <f t="shared" si="88"/>
        <v>12</v>
      </c>
      <c r="R1120" s="2" t="s">
        <v>26</v>
      </c>
      <c r="S1120" s="24">
        <f t="shared" si="89"/>
        <v>0.02</v>
      </c>
    </row>
    <row r="1121" spans="1:19" x14ac:dyDescent="0.25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>VLOOKUP(F1121,'Customer Info'!$A:$B,2,0)</f>
        <v>Max</v>
      </c>
      <c r="H1121" s="6" t="str">
        <f>VLOOKUP(F1121,'Customer Info'!$A$1:$C$501,3,0)</f>
        <v>Ludwig</v>
      </c>
      <c r="I1121" s="6" t="str">
        <f>VLOOKUP(F1121,Customer,5,0)</f>
        <v>Cirebon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180285</v>
      </c>
      <c r="O1121" s="2">
        <v>62</v>
      </c>
      <c r="P1121" s="8">
        <f t="shared" si="87"/>
        <v>180347</v>
      </c>
      <c r="Q1121" s="8">
        <f t="shared" si="88"/>
        <v>10145</v>
      </c>
      <c r="R1121" s="2" t="s">
        <v>50</v>
      </c>
      <c r="S1121" s="24">
        <f t="shared" si="89"/>
        <v>0.12</v>
      </c>
    </row>
    <row r="1122" spans="1:19" x14ac:dyDescent="0.25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>VLOOKUP(F1122,'Customer Info'!$A:$B,2,0)</f>
        <v>Bill</v>
      </c>
      <c r="H1122" s="6" t="str">
        <f>VLOOKUP(F1122,'Customer Info'!$A$1:$C$501,3,0)</f>
        <v>Donatelli</v>
      </c>
      <c r="I1122" s="6" t="str">
        <f>VLOOKUP(F1122,Customer,5,0)</f>
        <v>Kamarhati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3148</v>
      </c>
      <c r="O1122" s="2">
        <v>78</v>
      </c>
      <c r="P1122" s="8">
        <f t="shared" si="87"/>
        <v>3226</v>
      </c>
      <c r="Q1122" s="8">
        <f t="shared" si="88"/>
        <v>398</v>
      </c>
      <c r="R1122" s="2" t="s">
        <v>28</v>
      </c>
      <c r="S1122" s="24">
        <f t="shared" si="89"/>
        <v>0.02</v>
      </c>
    </row>
    <row r="1123" spans="1:19" x14ac:dyDescent="0.25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>VLOOKUP(F1123,'Customer Info'!$A:$B,2,0)</f>
        <v>Allen</v>
      </c>
      <c r="H1123" s="6" t="str">
        <f>VLOOKUP(F1123,'Customer Info'!$A$1:$C$501,3,0)</f>
        <v>Rosenblatt</v>
      </c>
      <c r="I1123" s="6" t="str">
        <f>VLOOKUP(F1123,Customer,5,0)</f>
        <v>Chaozhou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1530</v>
      </c>
      <c r="O1123" s="2">
        <v>58</v>
      </c>
      <c r="P1123" s="8">
        <f t="shared" si="87"/>
        <v>1588</v>
      </c>
      <c r="Q1123" s="8">
        <f t="shared" si="88"/>
        <v>128</v>
      </c>
      <c r="R1123" s="2" t="s">
        <v>28</v>
      </c>
      <c r="S1123" s="24">
        <f t="shared" si="89"/>
        <v>0.02</v>
      </c>
    </row>
    <row r="1124" spans="1:19" x14ac:dyDescent="0.25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>VLOOKUP(F1124,'Customer Info'!$A:$B,2,0)</f>
        <v>Sally</v>
      </c>
      <c r="H1124" s="6" t="str">
        <f>VLOOKUP(F1124,'Customer Info'!$A$1:$C$501,3,0)</f>
        <v>Knutson</v>
      </c>
      <c r="I1124" s="6" t="str">
        <f>VLOOKUP(F1124,Customer,5,0)</f>
        <v>CastropRauxel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3066</v>
      </c>
      <c r="O1124" s="2">
        <v>28</v>
      </c>
      <c r="P1124" s="8">
        <f t="shared" si="87"/>
        <v>3094</v>
      </c>
      <c r="Q1124" s="8">
        <f t="shared" si="88"/>
        <v>254</v>
      </c>
      <c r="R1124" s="2" t="s">
        <v>28</v>
      </c>
      <c r="S1124" s="24">
        <f t="shared" si="89"/>
        <v>0.02</v>
      </c>
    </row>
    <row r="1125" spans="1:19" x14ac:dyDescent="0.25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>VLOOKUP(F1125,'Customer Info'!$A:$B,2,0)</f>
        <v>Annie</v>
      </c>
      <c r="H1125" s="6" t="str">
        <f>VLOOKUP(F1125,'Customer Info'!$A$1:$C$501,3,0)</f>
        <v>Thurman</v>
      </c>
      <c r="I1125" s="6" t="str">
        <f>VLOOKUP(F1125,Customer,5,0)</f>
        <v>Sydney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188</v>
      </c>
      <c r="O1125" s="2">
        <v>30</v>
      </c>
      <c r="P1125" s="8">
        <f t="shared" si="87"/>
        <v>218</v>
      </c>
      <c r="Q1125" s="8">
        <f t="shared" si="88"/>
        <v>15</v>
      </c>
      <c r="R1125" s="2" t="s">
        <v>50</v>
      </c>
      <c r="S1125" s="24">
        <f t="shared" si="89"/>
        <v>0.02</v>
      </c>
    </row>
    <row r="1126" spans="1:19" x14ac:dyDescent="0.25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>VLOOKUP(F1126,'Customer Info'!$A:$B,2,0)</f>
        <v>Kristina</v>
      </c>
      <c r="H1126" s="6" t="str">
        <f>VLOOKUP(F1126,'Customer Info'!$A$1:$C$501,3,0)</f>
        <v>Nunn</v>
      </c>
      <c r="I1126" s="6" t="str">
        <f>VLOOKUP(F1126,Customer,5,0)</f>
        <v>Sydney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12120</v>
      </c>
      <c r="O1126" s="2">
        <v>63</v>
      </c>
      <c r="P1126" s="8">
        <f t="shared" si="87"/>
        <v>12183</v>
      </c>
      <c r="Q1126" s="8">
        <f t="shared" si="88"/>
        <v>116</v>
      </c>
      <c r="R1126" s="2" t="s">
        <v>28</v>
      </c>
      <c r="S1126" s="24">
        <f t="shared" si="89"/>
        <v>0.05</v>
      </c>
    </row>
    <row r="1127" spans="1:19" x14ac:dyDescent="0.25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>VLOOKUP(F1127,'Customer Info'!$A:$B,2,0)</f>
        <v>Heather</v>
      </c>
      <c r="H1127" s="6" t="str">
        <f>VLOOKUP(F1127,'Customer Info'!$A$1:$C$501,3,0)</f>
        <v>Kirkland</v>
      </c>
      <c r="I1127" s="6" t="str">
        <f>VLOOKUP(F1127,Customer,5,0)</f>
        <v>Townsville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5748</v>
      </c>
      <c r="O1127" s="2">
        <v>97</v>
      </c>
      <c r="P1127" s="8">
        <f t="shared" si="87"/>
        <v>5845</v>
      </c>
      <c r="Q1127" s="8">
        <f t="shared" si="88"/>
        <v>216</v>
      </c>
      <c r="R1127" s="2" t="s">
        <v>50</v>
      </c>
      <c r="S1127" s="24">
        <f t="shared" si="89"/>
        <v>0.05</v>
      </c>
    </row>
    <row r="1128" spans="1:19" x14ac:dyDescent="0.25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>VLOOKUP(F1128,'Customer Info'!$A:$B,2,0)</f>
        <v>Brooke</v>
      </c>
      <c r="H1128" s="6" t="str">
        <f>VLOOKUP(F1128,'Customer Info'!$A$1:$C$501,3,0)</f>
        <v>Gillingham</v>
      </c>
      <c r="I1128" s="6" t="str">
        <f>VLOOKUP(F1128,Customer,5,0)</f>
        <v>Weimar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1458</v>
      </c>
      <c r="O1128" s="2">
        <v>54</v>
      </c>
      <c r="P1128" s="8">
        <f t="shared" si="87"/>
        <v>1512</v>
      </c>
      <c r="Q1128" s="8">
        <f t="shared" si="88"/>
        <v>80</v>
      </c>
      <c r="R1128" s="2" t="s">
        <v>28</v>
      </c>
      <c r="S1128" s="24">
        <f t="shared" si="89"/>
        <v>0.02</v>
      </c>
    </row>
    <row r="1129" spans="1:19" x14ac:dyDescent="0.25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>VLOOKUP(F1129,'Customer Info'!$A:$B,2,0)</f>
        <v>Liz</v>
      </c>
      <c r="H1129" s="6" t="str">
        <f>VLOOKUP(F1129,'Customer Info'!$A$1:$C$501,3,0)</f>
        <v>Carlisle</v>
      </c>
      <c r="I1129" s="6" t="str">
        <f>VLOOKUP(F1129,Customer,5,0)</f>
        <v>Luoyang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5394</v>
      </c>
      <c r="O1129" s="2">
        <v>55</v>
      </c>
      <c r="P1129" s="8">
        <f t="shared" si="87"/>
        <v>5449</v>
      </c>
      <c r="Q1129" s="8">
        <f t="shared" si="88"/>
        <v>396</v>
      </c>
      <c r="R1129" s="2" t="s">
        <v>28</v>
      </c>
      <c r="S1129" s="24">
        <f t="shared" si="89"/>
        <v>0.05</v>
      </c>
    </row>
    <row r="1130" spans="1:19" x14ac:dyDescent="0.25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>VLOOKUP(F1130,'Customer Info'!$A:$B,2,0)</f>
        <v>Dennis</v>
      </c>
      <c r="H1130" s="6" t="str">
        <f>VLOOKUP(F1130,'Customer Info'!$A$1:$C$501,3,0)</f>
        <v>Pardue</v>
      </c>
      <c r="I1130" s="6" t="str">
        <f>VLOOKUP(F1130,Customer,5,0)</f>
        <v>Wollongong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222</v>
      </c>
      <c r="O1130" s="2">
        <v>27</v>
      </c>
      <c r="P1130" s="8">
        <f t="shared" si="87"/>
        <v>249</v>
      </c>
      <c r="Q1130" s="8">
        <f t="shared" si="88"/>
        <v>18</v>
      </c>
      <c r="R1130" s="2" t="s">
        <v>28</v>
      </c>
      <c r="S1130" s="24">
        <f t="shared" si="89"/>
        <v>0.02</v>
      </c>
    </row>
    <row r="1131" spans="1:19" x14ac:dyDescent="0.25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>VLOOKUP(F1131,'Customer Info'!$A:$B,2,0)</f>
        <v>Brooke</v>
      </c>
      <c r="H1131" s="6" t="str">
        <f>VLOOKUP(F1131,'Customer Info'!$A$1:$C$501,3,0)</f>
        <v>Gillingham</v>
      </c>
      <c r="I1131" s="6" t="str">
        <f>VLOOKUP(F1131,Customer,5,0)</f>
        <v>Mysore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43132</v>
      </c>
      <c r="O1131" s="2">
        <v>75</v>
      </c>
      <c r="P1131" s="8">
        <f t="shared" si="87"/>
        <v>43207</v>
      </c>
      <c r="Q1131" s="8">
        <f t="shared" si="88"/>
        <v>4682</v>
      </c>
      <c r="R1131" s="2" t="s">
        <v>28</v>
      </c>
      <c r="S1131" s="24">
        <f t="shared" si="89"/>
        <v>7.0000000000000007E-2</v>
      </c>
    </row>
    <row r="1132" spans="1:19" x14ac:dyDescent="0.25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>VLOOKUP(F1132,'Customer Info'!$A:$B,2,0)</f>
        <v>Linda</v>
      </c>
      <c r="H1132" s="6" t="str">
        <f>VLOOKUP(F1132,'Customer Info'!$A$1:$C$501,3,0)</f>
        <v>Southworth</v>
      </c>
      <c r="I1132" s="6" t="str">
        <f>VLOOKUP(F1132,Customer,5,0)</f>
        <v>Brisbane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604</v>
      </c>
      <c r="O1132" s="2">
        <v>30</v>
      </c>
      <c r="P1132" s="8">
        <f t="shared" si="87"/>
        <v>634</v>
      </c>
      <c r="Q1132" s="8">
        <f t="shared" si="88"/>
        <v>48</v>
      </c>
      <c r="R1132" s="2" t="s">
        <v>28</v>
      </c>
      <c r="S1132" s="24">
        <f t="shared" si="89"/>
        <v>0.02</v>
      </c>
    </row>
    <row r="1133" spans="1:19" x14ac:dyDescent="0.25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>VLOOKUP(F1133,'Customer Info'!$A:$B,2,0)</f>
        <v>Dionis</v>
      </c>
      <c r="H1133" s="6" t="str">
        <f>VLOOKUP(F1133,'Customer Info'!$A$1:$C$501,3,0)</f>
        <v>Lloyd</v>
      </c>
      <c r="I1133" s="6" t="str">
        <f>VLOOKUP(F1133,Customer,5,0)</f>
        <v>Kamarhati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1128</v>
      </c>
      <c r="O1133" s="2">
        <v>30</v>
      </c>
      <c r="P1133" s="8">
        <f t="shared" si="87"/>
        <v>1158</v>
      </c>
      <c r="Q1133" s="8">
        <f t="shared" si="88"/>
        <v>80</v>
      </c>
      <c r="R1133" s="2" t="s">
        <v>50</v>
      </c>
      <c r="S1133" s="24">
        <f t="shared" si="89"/>
        <v>0.02</v>
      </c>
    </row>
    <row r="1134" spans="1:19" x14ac:dyDescent="0.25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>VLOOKUP(F1134,'Customer Info'!$A:$B,2,0)</f>
        <v>Neoma</v>
      </c>
      <c r="H1134" s="6" t="str">
        <f>VLOOKUP(F1134,'Customer Info'!$A$1:$C$501,3,0)</f>
        <v>Murray</v>
      </c>
      <c r="I1134" s="6" t="str">
        <f>VLOOKUP(F1134,Customer,5,0)</f>
        <v>Guwahati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9513</v>
      </c>
      <c r="O1134" s="2">
        <v>73</v>
      </c>
      <c r="P1134" s="8">
        <f t="shared" si="87"/>
        <v>9586</v>
      </c>
      <c r="Q1134" s="8">
        <f t="shared" si="88"/>
        <v>966</v>
      </c>
      <c r="R1134" s="2" t="s">
        <v>28</v>
      </c>
      <c r="S1134" s="24">
        <f t="shared" si="89"/>
        <v>0.05</v>
      </c>
    </row>
    <row r="1135" spans="1:19" x14ac:dyDescent="0.25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>VLOOKUP(F1135,'Customer Info'!$A:$B,2,0)</f>
        <v>Mick</v>
      </c>
      <c r="H1135" s="6" t="str">
        <f>VLOOKUP(F1135,'Customer Info'!$A$1:$C$501,3,0)</f>
        <v>Brown</v>
      </c>
      <c r="I1135" s="6" t="str">
        <f>VLOOKUP(F1135,Customer,5,0)</f>
        <v>Shenzhen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24606</v>
      </c>
      <c r="O1135" s="2">
        <v>21</v>
      </c>
      <c r="P1135" s="8">
        <f t="shared" si="87"/>
        <v>24627</v>
      </c>
      <c r="Q1135" s="8">
        <f t="shared" si="88"/>
        <v>1824</v>
      </c>
      <c r="R1135" s="2" t="s">
        <v>28</v>
      </c>
      <c r="S1135" s="24">
        <f t="shared" si="89"/>
        <v>0.05</v>
      </c>
    </row>
    <row r="1136" spans="1:19" x14ac:dyDescent="0.25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>VLOOKUP(F1136,'Customer Info'!$A:$B,2,0)</f>
        <v>Jason</v>
      </c>
      <c r="H1136" s="6" t="str">
        <f>VLOOKUP(F1136,'Customer Info'!$A$1:$C$501,3,0)</f>
        <v>Gross</v>
      </c>
      <c r="I1136" s="6" t="str">
        <f>VLOOKUP(F1136,Customer,5,0)</f>
        <v>Sydney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537</v>
      </c>
      <c r="O1136" s="2">
        <v>30</v>
      </c>
      <c r="P1136" s="8">
        <f t="shared" si="87"/>
        <v>567</v>
      </c>
      <c r="Q1136" s="8">
        <f t="shared" si="88"/>
        <v>24</v>
      </c>
      <c r="R1136" s="2" t="s">
        <v>50</v>
      </c>
      <c r="S1136" s="24">
        <f t="shared" si="89"/>
        <v>0.02</v>
      </c>
    </row>
    <row r="1137" spans="1:19" x14ac:dyDescent="0.25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>VLOOKUP(F1137,'Customer Info'!$A:$B,2,0)</f>
        <v>Claire</v>
      </c>
      <c r="H1137" s="6" t="str">
        <f>VLOOKUP(F1137,'Customer Info'!$A$1:$C$501,3,0)</f>
        <v>Gute</v>
      </c>
      <c r="I1137" s="6" t="str">
        <f>VLOOKUP(F1137,Customer,5,0)</f>
        <v>Shenzhen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38400</v>
      </c>
      <c r="O1137" s="2">
        <v>73</v>
      </c>
      <c r="P1137" s="8">
        <f t="shared" si="87"/>
        <v>38473</v>
      </c>
      <c r="Q1137" s="8">
        <f t="shared" si="88"/>
        <v>-6</v>
      </c>
      <c r="R1137" s="2" t="s">
        <v>28</v>
      </c>
      <c r="S1137" s="24">
        <f t="shared" si="89"/>
        <v>7.0000000000000007E-2</v>
      </c>
    </row>
    <row r="1138" spans="1:19" x14ac:dyDescent="0.25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>VLOOKUP(F1138,'Customer Info'!$A:$B,2,0)</f>
        <v>Thomas</v>
      </c>
      <c r="H1138" s="6" t="str">
        <f>VLOOKUP(F1138,'Customer Info'!$A$1:$C$501,3,0)</f>
        <v>Brumley</v>
      </c>
      <c r="I1138" s="6" t="str">
        <f>VLOOKUP(F1138,Customer,5,0)</f>
        <v>Jinan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14282</v>
      </c>
      <c r="O1138" s="2">
        <v>59</v>
      </c>
      <c r="P1138" s="8">
        <f t="shared" si="87"/>
        <v>14341</v>
      </c>
      <c r="Q1138" s="8">
        <f t="shared" si="88"/>
        <v>1200</v>
      </c>
      <c r="R1138" s="2" t="s">
        <v>50</v>
      </c>
      <c r="S1138" s="24">
        <f t="shared" si="89"/>
        <v>0.05</v>
      </c>
    </row>
    <row r="1139" spans="1:19" x14ac:dyDescent="0.25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>VLOOKUP(F1139,'Customer Info'!$A:$B,2,0)</f>
        <v>Jack</v>
      </c>
      <c r="H1139" s="6" t="str">
        <f>VLOOKUP(F1139,'Customer Info'!$A$1:$C$501,3,0)</f>
        <v>Garza</v>
      </c>
      <c r="I1139" s="6" t="str">
        <f>VLOOKUP(F1139,Customer,5,0)</f>
        <v>Taiyuan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122</v>
      </c>
      <c r="O1139" s="2">
        <v>10</v>
      </c>
      <c r="P1139" s="8">
        <f t="shared" si="87"/>
        <v>132</v>
      </c>
      <c r="Q1139" s="8">
        <f t="shared" si="88"/>
        <v>8</v>
      </c>
      <c r="R1139" s="2" t="s">
        <v>26</v>
      </c>
      <c r="S1139" s="24">
        <f t="shared" si="89"/>
        <v>0.02</v>
      </c>
    </row>
    <row r="1140" spans="1:19" x14ac:dyDescent="0.25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>VLOOKUP(F1140,'Customer Info'!$A:$B,2,0)</f>
        <v>Mike</v>
      </c>
      <c r="H1140" s="6" t="str">
        <f>VLOOKUP(F1140,'Customer Info'!$A$1:$C$501,3,0)</f>
        <v>Gockenbach</v>
      </c>
      <c r="I1140" s="6" t="str">
        <f>VLOOKUP(F1140,Customer,5,0)</f>
        <v>Caloundra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3504</v>
      </c>
      <c r="O1140" s="2">
        <v>92</v>
      </c>
      <c r="P1140" s="8">
        <f t="shared" si="87"/>
        <v>3596</v>
      </c>
      <c r="Q1140" s="8">
        <f t="shared" si="88"/>
        <v>352</v>
      </c>
      <c r="R1140" s="2" t="s">
        <v>28</v>
      </c>
      <c r="S1140" s="24">
        <f t="shared" si="89"/>
        <v>0.02</v>
      </c>
    </row>
    <row r="1141" spans="1:19" x14ac:dyDescent="0.25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>VLOOKUP(F1141,'Customer Info'!$A:$B,2,0)</f>
        <v>Cari</v>
      </c>
      <c r="H1141" s="6" t="str">
        <f>VLOOKUP(F1141,'Customer Info'!$A$1:$C$501,3,0)</f>
        <v>MacIntyre</v>
      </c>
      <c r="I1141" s="6" t="str">
        <f>VLOOKUP(F1141,Customer,5,0)</f>
        <v>Freiburg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5991</v>
      </c>
      <c r="O1141" s="2">
        <v>86</v>
      </c>
      <c r="P1141" s="8">
        <f t="shared" si="87"/>
        <v>6077</v>
      </c>
      <c r="Q1141" s="8">
        <f t="shared" si="88"/>
        <v>543</v>
      </c>
      <c r="R1141" s="2" t="s">
        <v>28</v>
      </c>
      <c r="S1141" s="24">
        <f t="shared" si="89"/>
        <v>0.05</v>
      </c>
    </row>
    <row r="1142" spans="1:19" x14ac:dyDescent="0.25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>VLOOKUP(F1142,'Customer Info'!$A:$B,2,0)</f>
        <v>Julie</v>
      </c>
      <c r="H1142" s="6" t="str">
        <f>VLOOKUP(F1142,'Customer Info'!$A$1:$C$501,3,0)</f>
        <v>Creighton</v>
      </c>
      <c r="I1142" s="6" t="str">
        <f>VLOOKUP(F1142,Customer,5,0)</f>
        <v>Ballarat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2664</v>
      </c>
      <c r="O1142" s="2">
        <v>73</v>
      </c>
      <c r="P1142" s="8">
        <f t="shared" si="87"/>
        <v>2737</v>
      </c>
      <c r="Q1142" s="8">
        <f t="shared" si="88"/>
        <v>100</v>
      </c>
      <c r="R1142" s="2" t="s">
        <v>50</v>
      </c>
      <c r="S1142" s="24">
        <f t="shared" si="89"/>
        <v>0.02</v>
      </c>
    </row>
    <row r="1143" spans="1:19" x14ac:dyDescent="0.25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>VLOOKUP(F1143,'Customer Info'!$A:$B,2,0)</f>
        <v>Darren</v>
      </c>
      <c r="H1143" s="6" t="str">
        <f>VLOOKUP(F1143,'Customer Info'!$A$1:$C$501,3,0)</f>
        <v>Budd</v>
      </c>
      <c r="I1143" s="6" t="str">
        <f>VLOOKUP(F1143,Customer,5,0)</f>
        <v>Jakarta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9726</v>
      </c>
      <c r="O1143" s="2">
        <v>48</v>
      </c>
      <c r="P1143" s="8">
        <f t="shared" si="87"/>
        <v>9774</v>
      </c>
      <c r="Q1143" s="8">
        <f t="shared" si="88"/>
        <v>456</v>
      </c>
      <c r="R1143" s="2" t="s">
        <v>50</v>
      </c>
      <c r="S1143" s="24">
        <f t="shared" si="89"/>
        <v>0.05</v>
      </c>
    </row>
    <row r="1144" spans="1:19" x14ac:dyDescent="0.25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>VLOOKUP(F1144,'Customer Info'!$A:$B,2,0)</f>
        <v>Brian</v>
      </c>
      <c r="H1144" s="6" t="str">
        <f>VLOOKUP(F1144,'Customer Info'!$A$1:$C$501,3,0)</f>
        <v>Stugart</v>
      </c>
      <c r="I1144" s="6" t="str">
        <f>VLOOKUP(F1144,Customer,5,0)</f>
        <v>Jakarta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3764</v>
      </c>
      <c r="O1144" s="2">
        <v>78</v>
      </c>
      <c r="P1144" s="8">
        <f t="shared" si="87"/>
        <v>3842</v>
      </c>
      <c r="Q1144" s="8">
        <f t="shared" si="88"/>
        <v>180</v>
      </c>
      <c r="R1144" s="2" t="s">
        <v>26</v>
      </c>
      <c r="S1144" s="24">
        <f t="shared" si="89"/>
        <v>0.02</v>
      </c>
    </row>
    <row r="1145" spans="1:19" x14ac:dyDescent="0.25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>VLOOKUP(F1145,'Customer Info'!$A:$B,2,0)</f>
        <v>Brooke</v>
      </c>
      <c r="H1145" s="6" t="str">
        <f>VLOOKUP(F1145,'Customer Info'!$A$1:$C$501,3,0)</f>
        <v>Gillingham</v>
      </c>
      <c r="I1145" s="6" t="str">
        <f>VLOOKUP(F1145,Customer,5,0)</f>
        <v>Mysore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268</v>
      </c>
      <c r="O1145" s="2">
        <v>10</v>
      </c>
      <c r="P1145" s="8">
        <f t="shared" si="87"/>
        <v>278</v>
      </c>
      <c r="Q1145" s="8">
        <f t="shared" si="88"/>
        <v>20</v>
      </c>
      <c r="R1145" s="2" t="s">
        <v>28</v>
      </c>
      <c r="S1145" s="24">
        <f t="shared" si="89"/>
        <v>0.02</v>
      </c>
    </row>
    <row r="1146" spans="1:19" x14ac:dyDescent="0.25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>VLOOKUP(F1146,'Customer Info'!$A:$B,2,0)</f>
        <v>Duane</v>
      </c>
      <c r="H1146" s="6" t="str">
        <f>VLOOKUP(F1146,'Customer Info'!$A$1:$C$501,3,0)</f>
        <v>Benoit</v>
      </c>
      <c r="I1146" s="6" t="str">
        <f>VLOOKUP(F1146,Customer,5,0)</f>
        <v>Tamworth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7691</v>
      </c>
      <c r="O1146" s="2">
        <v>68</v>
      </c>
      <c r="P1146" s="8">
        <f t="shared" si="87"/>
        <v>7759</v>
      </c>
      <c r="Q1146" s="8">
        <f t="shared" si="88"/>
        <v>436</v>
      </c>
      <c r="R1146" s="2" t="s">
        <v>50</v>
      </c>
      <c r="S1146" s="24">
        <f t="shared" si="89"/>
        <v>0.05</v>
      </c>
    </row>
    <row r="1147" spans="1:19" x14ac:dyDescent="0.25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>VLOOKUP(F1147,'Customer Info'!$A:$B,2,0)</f>
        <v>Sanjit</v>
      </c>
      <c r="H1147" s="6" t="str">
        <f>VLOOKUP(F1147,'Customer Info'!$A$1:$C$501,3,0)</f>
        <v>Chand</v>
      </c>
      <c r="I1147" s="6" t="str">
        <f>VLOOKUP(F1147,Customer,5,0)</f>
        <v>Thiruvananthapuram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2826</v>
      </c>
      <c r="O1147" s="2">
        <v>60</v>
      </c>
      <c r="P1147" s="8">
        <f t="shared" si="87"/>
        <v>2886</v>
      </c>
      <c r="Q1147" s="8">
        <f t="shared" si="88"/>
        <v>158</v>
      </c>
      <c r="R1147" s="2" t="s">
        <v>28</v>
      </c>
      <c r="S1147" s="24">
        <f t="shared" si="89"/>
        <v>0.02</v>
      </c>
    </row>
    <row r="1148" spans="1:19" x14ac:dyDescent="0.25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>VLOOKUP(F1148,'Customer Info'!$A:$B,2,0)</f>
        <v>Brad</v>
      </c>
      <c r="H1148" s="6" t="str">
        <f>VLOOKUP(F1148,'Customer Info'!$A$1:$C$501,3,0)</f>
        <v>Thomas</v>
      </c>
      <c r="I1148" s="6" t="str">
        <f>VLOOKUP(F1148,Customer,5,0)</f>
        <v>Udaipur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1572</v>
      </c>
      <c r="O1148" s="2">
        <v>50</v>
      </c>
      <c r="P1148" s="8">
        <f t="shared" si="87"/>
        <v>1622</v>
      </c>
      <c r="Q1148" s="8">
        <f t="shared" si="88"/>
        <v>76</v>
      </c>
      <c r="R1148" s="2" t="s">
        <v>50</v>
      </c>
      <c r="S1148" s="24">
        <f t="shared" si="89"/>
        <v>0.02</v>
      </c>
    </row>
    <row r="1149" spans="1:19" x14ac:dyDescent="0.25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>VLOOKUP(F1149,'Customer Info'!$A:$B,2,0)</f>
        <v>Harold</v>
      </c>
      <c r="H1149" s="6" t="str">
        <f>VLOOKUP(F1149,'Customer Info'!$A$1:$C$501,3,0)</f>
        <v>Pawlan</v>
      </c>
      <c r="I1149" s="6" t="str">
        <f>VLOOKUP(F1149,Customer,5,0)</f>
        <v>Banda Aceh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4074</v>
      </c>
      <c r="O1149" s="2">
        <v>35</v>
      </c>
      <c r="P1149" s="8">
        <f t="shared" si="87"/>
        <v>4109</v>
      </c>
      <c r="Q1149" s="8">
        <f t="shared" si="88"/>
        <v>303</v>
      </c>
      <c r="R1149" s="2" t="s">
        <v>26</v>
      </c>
      <c r="S1149" s="24">
        <f t="shared" si="89"/>
        <v>0.02</v>
      </c>
    </row>
    <row r="1150" spans="1:19" x14ac:dyDescent="0.25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>VLOOKUP(F1150,'Customer Info'!$A:$B,2,0)</f>
        <v>Thais</v>
      </c>
      <c r="H1150" s="6" t="str">
        <f>VLOOKUP(F1150,'Customer Info'!$A$1:$C$501,3,0)</f>
        <v>Sissman</v>
      </c>
      <c r="I1150" s="6" t="str">
        <f>VLOOKUP(F1150,Customer,5,0)</f>
        <v>Essen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142</v>
      </c>
      <c r="O1150" s="2">
        <v>10</v>
      </c>
      <c r="P1150" s="8">
        <f t="shared" si="87"/>
        <v>152</v>
      </c>
      <c r="Q1150" s="8">
        <f t="shared" si="88"/>
        <v>14</v>
      </c>
      <c r="R1150" s="2" t="s">
        <v>56</v>
      </c>
      <c r="S1150" s="24">
        <f t="shared" si="89"/>
        <v>0.02</v>
      </c>
    </row>
    <row r="1151" spans="1:19" x14ac:dyDescent="0.25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>VLOOKUP(F1151,'Customer Info'!$A:$B,2,0)</f>
        <v>Keith</v>
      </c>
      <c r="H1151" s="6" t="str">
        <f>VLOOKUP(F1151,'Customer Info'!$A$1:$C$501,3,0)</f>
        <v>Herrera</v>
      </c>
      <c r="I1151" s="6" t="str">
        <f>VLOOKUP(F1151,Customer,5,0)</f>
        <v>Jakarta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34468</v>
      </c>
      <c r="O1151" s="2">
        <v>26</v>
      </c>
      <c r="P1151" s="8">
        <f t="shared" si="87"/>
        <v>34494</v>
      </c>
      <c r="Q1151" s="8">
        <f t="shared" si="88"/>
        <v>2868</v>
      </c>
      <c r="R1151" s="2" t="s">
        <v>28</v>
      </c>
      <c r="S1151" s="24">
        <f t="shared" si="89"/>
        <v>7.0000000000000007E-2</v>
      </c>
    </row>
    <row r="1152" spans="1:19" x14ac:dyDescent="0.25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>VLOOKUP(F1152,'Customer Info'!$A:$B,2,0)</f>
        <v>Dorothy</v>
      </c>
      <c r="H1152" s="6" t="str">
        <f>VLOOKUP(F1152,'Customer Info'!$A$1:$C$501,3,0)</f>
        <v>Badders</v>
      </c>
      <c r="I1152" s="6" t="str">
        <f>VLOOKUP(F1152,Customer,5,0)</f>
        <v>Nanning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17738</v>
      </c>
      <c r="O1152" s="2">
        <v>47</v>
      </c>
      <c r="P1152" s="8">
        <f t="shared" si="87"/>
        <v>17785</v>
      </c>
      <c r="Q1152" s="8">
        <f t="shared" si="88"/>
        <v>1926</v>
      </c>
      <c r="R1152" s="2" t="s">
        <v>28</v>
      </c>
      <c r="S1152" s="24">
        <f t="shared" si="89"/>
        <v>0.05</v>
      </c>
    </row>
    <row r="1153" spans="1:19" x14ac:dyDescent="0.25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>VLOOKUP(F1153,'Customer Info'!$A:$B,2,0)</f>
        <v>Bart</v>
      </c>
      <c r="H1153" s="6" t="str">
        <f>VLOOKUP(F1153,'Customer Info'!$A$1:$C$501,3,0)</f>
        <v>Folk</v>
      </c>
      <c r="I1153" s="6" t="str">
        <f>VLOOKUP(F1153,Customer,5,0)</f>
        <v>Melbourne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6925</v>
      </c>
      <c r="O1153" s="2">
        <v>100</v>
      </c>
      <c r="P1153" s="8">
        <f t="shared" si="87"/>
        <v>7025</v>
      </c>
      <c r="Q1153" s="8">
        <f t="shared" si="88"/>
        <v>450</v>
      </c>
      <c r="R1153" s="2" t="s">
        <v>28</v>
      </c>
      <c r="S1153" s="24">
        <f t="shared" si="89"/>
        <v>0.05</v>
      </c>
    </row>
    <row r="1154" spans="1:19" x14ac:dyDescent="0.25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>VLOOKUP(F1154,'Customer Info'!$A:$B,2,0)</f>
        <v>Joy</v>
      </c>
      <c r="H1154" s="6" t="str">
        <f>VLOOKUP(F1154,'Customer Info'!$A$1:$C$501,3,0)</f>
        <v>Bell</v>
      </c>
      <c r="I1154" s="6" t="str">
        <f>VLOOKUP(F1154,Customer,5,0)</f>
        <v>Vijayawada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14394</v>
      </c>
      <c r="O1154" s="2">
        <v>40</v>
      </c>
      <c r="P1154" s="8">
        <f t="shared" si="87"/>
        <v>14434</v>
      </c>
      <c r="Q1154" s="8">
        <f t="shared" si="88"/>
        <v>1050</v>
      </c>
      <c r="R1154" s="2" t="s">
        <v>28</v>
      </c>
      <c r="S1154" s="24">
        <f t="shared" si="89"/>
        <v>0.05</v>
      </c>
    </row>
    <row r="1155" spans="1:19" x14ac:dyDescent="0.25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>VLOOKUP(F1155,'Customer Info'!$A:$B,2,0)</f>
        <v>Andrew</v>
      </c>
      <c r="H1155" s="6" t="str">
        <f>VLOOKUP(F1155,'Customer Info'!$A$1:$C$501,3,0)</f>
        <v>Gjertsen</v>
      </c>
      <c r="I1155" s="6" t="str">
        <f>VLOOKUP(F1155,Customer,5,0)</f>
        <v>Hamburg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6864</v>
      </c>
      <c r="O1155" s="2">
        <v>79</v>
      </c>
      <c r="P1155" s="8">
        <f t="shared" si="87"/>
        <v>6943</v>
      </c>
      <c r="Q1155" s="8">
        <f t="shared" si="88"/>
        <v>197</v>
      </c>
      <c r="R1155" s="2" t="s">
        <v>28</v>
      </c>
      <c r="S1155" s="24">
        <f t="shared" si="89"/>
        <v>0.05</v>
      </c>
    </row>
    <row r="1156" spans="1:19" x14ac:dyDescent="0.25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>VLOOKUP(F1156,'Customer Info'!$A:$B,2,0)</f>
        <v>Charles</v>
      </c>
      <c r="H1156" s="6" t="str">
        <f>VLOOKUP(F1156,'Customer Info'!$A$1:$C$501,3,0)</f>
        <v>Sheldon</v>
      </c>
      <c r="I1156" s="6" t="str">
        <f>VLOOKUP(F1156,Customer,5,0)</f>
        <v>Brisbane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19200</v>
      </c>
      <c r="O1156" s="2">
        <v>88</v>
      </c>
      <c r="P1156" s="8">
        <f t="shared" si="87"/>
        <v>19288</v>
      </c>
      <c r="Q1156" s="8">
        <f t="shared" si="88"/>
        <v>-3</v>
      </c>
      <c r="R1156" s="2" t="s">
        <v>28</v>
      </c>
      <c r="S1156" s="24">
        <f t="shared" si="89"/>
        <v>0.05</v>
      </c>
    </row>
    <row r="1157" spans="1:19" x14ac:dyDescent="0.25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>VLOOKUP(F1157,'Customer Info'!$A:$B,2,0)</f>
        <v>Bill</v>
      </c>
      <c r="H1157" s="6" t="str">
        <f>VLOOKUP(F1157,'Customer Info'!$A$1:$C$501,3,0)</f>
        <v>Donatelli</v>
      </c>
      <c r="I1157" s="6" t="str">
        <f>VLOOKUP(F1157,Customer,5,0)</f>
        <v>Kamarhati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9810</v>
      </c>
      <c r="O1157" s="2">
        <v>86</v>
      </c>
      <c r="P1157" s="8">
        <f t="shared" si="87"/>
        <v>9896</v>
      </c>
      <c r="Q1157" s="8">
        <f t="shared" si="88"/>
        <v>372</v>
      </c>
      <c r="R1157" s="2" t="s">
        <v>28</v>
      </c>
      <c r="S1157" s="24">
        <f t="shared" si="89"/>
        <v>0.05</v>
      </c>
    </row>
    <row r="1158" spans="1:19" x14ac:dyDescent="0.25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>VLOOKUP(F1158,'Customer Info'!$A:$B,2,0)</f>
        <v>Ben</v>
      </c>
      <c r="H1158" s="6" t="str">
        <f>VLOOKUP(F1158,'Customer Info'!$A$1:$C$501,3,0)</f>
        <v>Wallace</v>
      </c>
      <c r="I1158" s="6" t="str">
        <f>VLOOKUP(F1158,Customer,5,0)</f>
        <v>Shanghai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5714</v>
      </c>
      <c r="O1158" s="2">
        <v>98</v>
      </c>
      <c r="P1158" s="8">
        <f t="shared" si="87"/>
        <v>5812</v>
      </c>
      <c r="Q1158" s="8">
        <f t="shared" si="88"/>
        <v>470</v>
      </c>
      <c r="R1158" s="2" t="s">
        <v>50</v>
      </c>
      <c r="S1158" s="24">
        <f t="shared" si="89"/>
        <v>0.05</v>
      </c>
    </row>
    <row r="1159" spans="1:19" x14ac:dyDescent="0.25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>VLOOKUP(F1159,'Customer Info'!$A:$B,2,0)</f>
        <v>Denny</v>
      </c>
      <c r="H1159" s="6" t="str">
        <f>VLOOKUP(F1159,'Customer Info'!$A$1:$C$501,3,0)</f>
        <v>Ordway</v>
      </c>
      <c r="I1159" s="6" t="str">
        <f>VLOOKUP(F1159,Customer,5,0)</f>
        <v>Berlin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19232</v>
      </c>
      <c r="O1159" s="2">
        <v>39</v>
      </c>
      <c r="P1159" s="8">
        <f t="shared" si="87"/>
        <v>19271</v>
      </c>
      <c r="Q1159" s="8">
        <f t="shared" si="88"/>
        <v>1420</v>
      </c>
      <c r="R1159" s="2" t="s">
        <v>28</v>
      </c>
      <c r="S1159" s="24">
        <f t="shared" si="89"/>
        <v>0.05</v>
      </c>
    </row>
    <row r="1160" spans="1:19" x14ac:dyDescent="0.25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>VLOOKUP(F1160,'Customer Info'!$A:$B,2,0)</f>
        <v>Alex</v>
      </c>
      <c r="H1160" s="6" t="str">
        <f>VLOOKUP(F1160,'Customer Info'!$A$1:$C$501,3,0)</f>
        <v>Avila</v>
      </c>
      <c r="I1160" s="6" t="str">
        <f>VLOOKUP(F1160,Customer,5,0)</f>
        <v>Agra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3145</v>
      </c>
      <c r="O1160" s="2">
        <v>30</v>
      </c>
      <c r="P1160" s="8">
        <f t="shared" si="87"/>
        <v>3175</v>
      </c>
      <c r="Q1160" s="8">
        <f t="shared" si="88"/>
        <v>120</v>
      </c>
      <c r="R1160" s="2" t="s">
        <v>50</v>
      </c>
      <c r="S1160" s="24">
        <f t="shared" si="89"/>
        <v>0.02</v>
      </c>
    </row>
    <row r="1161" spans="1:19" x14ac:dyDescent="0.25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>VLOOKUP(F1161,'Customer Info'!$A:$B,2,0)</f>
        <v>John</v>
      </c>
      <c r="H1161" s="6" t="str">
        <f>VLOOKUP(F1161,'Customer Info'!$A$1:$C$501,3,0)</f>
        <v>Castell</v>
      </c>
      <c r="I1161" s="6" t="str">
        <f>VLOOKUP(F1161,Customer,5,0)</f>
        <v>Jakarta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2525</v>
      </c>
      <c r="O1161" s="2">
        <v>95</v>
      </c>
      <c r="P1161" s="8">
        <f t="shared" si="87"/>
        <v>2620</v>
      </c>
      <c r="Q1161" s="8">
        <f t="shared" si="88"/>
        <v>210</v>
      </c>
      <c r="R1161" s="2" t="s">
        <v>50</v>
      </c>
      <c r="S1161" s="24">
        <f t="shared" si="89"/>
        <v>0.02</v>
      </c>
    </row>
    <row r="1162" spans="1:19" x14ac:dyDescent="0.25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>VLOOKUP(F1162,'Customer Info'!$A:$B,2,0)</f>
        <v>Christy</v>
      </c>
      <c r="H1162" s="6" t="str">
        <f>VLOOKUP(F1162,'Customer Info'!$A$1:$C$501,3,0)</f>
        <v>Brittain</v>
      </c>
      <c r="I1162" s="6" t="str">
        <f>VLOOKUP(F1162,Customer,5,0)</f>
        <v>Depok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368</v>
      </c>
      <c r="O1162" s="2">
        <v>30</v>
      </c>
      <c r="P1162" s="8">
        <f t="shared" si="87"/>
        <v>398</v>
      </c>
      <c r="Q1162" s="8">
        <f t="shared" si="88"/>
        <v>16</v>
      </c>
      <c r="R1162" s="2" t="s">
        <v>28</v>
      </c>
      <c r="S1162" s="24">
        <f t="shared" si="89"/>
        <v>0.02</v>
      </c>
    </row>
    <row r="1163" spans="1:19" x14ac:dyDescent="0.25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>VLOOKUP(F1163,'Customer Info'!$A:$B,2,0)</f>
        <v>Kelly</v>
      </c>
      <c r="H1163" s="6" t="str">
        <f>VLOOKUP(F1163,'Customer Info'!$A$1:$C$501,3,0)</f>
        <v>Collister</v>
      </c>
      <c r="I1163" s="6" t="str">
        <f>VLOOKUP(F1163,Customer,5,0)</f>
        <v>Tangshan</v>
      </c>
      <c r="J1163" s="2">
        <v>210</v>
      </c>
      <c r="K1163" s="2">
        <v>191</v>
      </c>
      <c r="L1163" s="2">
        <v>2</v>
      </c>
      <c r="M1163" s="7">
        <f t="shared" ref="M1163:M1226" si="90">K1163*L1163</f>
        <v>382</v>
      </c>
      <c r="N1163" s="7">
        <f t="shared" ref="N1163:N1226" si="91">J1163*L1163</f>
        <v>420</v>
      </c>
      <c r="O1163" s="2">
        <v>55</v>
      </c>
      <c r="P1163" s="8">
        <f t="shared" ref="P1163:P1226" si="92">N1163+O1163</f>
        <v>475</v>
      </c>
      <c r="Q1163" s="8">
        <f t="shared" ref="Q1163:Q1226" si="93">N1163-M1163</f>
        <v>38</v>
      </c>
      <c r="R1163" s="2" t="s">
        <v>28</v>
      </c>
      <c r="S1163" s="24">
        <f t="shared" ref="S1163:S1226" si="94">VLOOKUP(N1163,$T$1:$U$7,2,TRUE)</f>
        <v>0.02</v>
      </c>
    </row>
    <row r="1164" spans="1:19" x14ac:dyDescent="0.25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>VLOOKUP(F1164,'Customer Info'!$A:$B,2,0)</f>
        <v>Dave</v>
      </c>
      <c r="H1164" s="6" t="str">
        <f>VLOOKUP(F1164,'Customer Info'!$A$1:$C$501,3,0)</f>
        <v>Poirier</v>
      </c>
      <c r="I1164" s="6" t="str">
        <f>VLOOKUP(F1164,Customer,5,0)</f>
        <v>Suizhou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8">
        <f t="shared" si="92"/>
        <v>645</v>
      </c>
      <c r="Q1164" s="8">
        <f t="shared" si="93"/>
        <v>40</v>
      </c>
      <c r="R1164" s="2" t="s">
        <v>28</v>
      </c>
      <c r="S1164" s="24">
        <f t="shared" si="94"/>
        <v>0.02</v>
      </c>
    </row>
    <row r="1165" spans="1:19" x14ac:dyDescent="0.25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>VLOOKUP(F1165,'Customer Info'!$A:$B,2,0)</f>
        <v>Julia</v>
      </c>
      <c r="H1165" s="6" t="str">
        <f>VLOOKUP(F1165,'Customer Info'!$A$1:$C$501,3,0)</f>
        <v>Barnett</v>
      </c>
      <c r="I1165" s="6" t="str">
        <f>VLOOKUP(F1165,Customer,5,0)</f>
        <v>Zhuhai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8">
        <f t="shared" si="92"/>
        <v>4797</v>
      </c>
      <c r="Q1165" s="8">
        <f t="shared" si="93"/>
        <v>477</v>
      </c>
      <c r="R1165" s="2" t="s">
        <v>50</v>
      </c>
      <c r="S1165" s="24">
        <f t="shared" si="94"/>
        <v>0.02</v>
      </c>
    </row>
    <row r="1166" spans="1:19" x14ac:dyDescent="0.25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>VLOOKUP(F1166,'Customer Info'!$A:$B,2,0)</f>
        <v>Sarah</v>
      </c>
      <c r="H1166" s="6" t="str">
        <f>VLOOKUP(F1166,'Customer Info'!$A$1:$C$501,3,0)</f>
        <v>Bern</v>
      </c>
      <c r="I1166" s="6" t="str">
        <f>VLOOKUP(F1166,Customer,5,0)</f>
        <v>Wollongong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8">
        <f t="shared" si="92"/>
        <v>24458</v>
      </c>
      <c r="Q1166" s="8">
        <f t="shared" si="93"/>
        <v>928</v>
      </c>
      <c r="R1166" s="2" t="s">
        <v>28</v>
      </c>
      <c r="S1166" s="24">
        <f t="shared" si="94"/>
        <v>0.05</v>
      </c>
    </row>
    <row r="1167" spans="1:19" x14ac:dyDescent="0.25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>VLOOKUP(F1167,'Customer Info'!$A:$B,2,0)</f>
        <v>Roger</v>
      </c>
      <c r="H1167" s="6" t="str">
        <f>VLOOKUP(F1167,'Customer Info'!$A$1:$C$501,3,0)</f>
        <v>Barcio</v>
      </c>
      <c r="I1167" s="6" t="str">
        <f>VLOOKUP(F1167,Customer,5,0)</f>
        <v>Celle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8">
        <f t="shared" si="92"/>
        <v>5336</v>
      </c>
      <c r="Q1167" s="8">
        <f t="shared" si="93"/>
        <v>198</v>
      </c>
      <c r="R1167" s="2" t="s">
        <v>28</v>
      </c>
      <c r="S1167" s="24">
        <f t="shared" si="94"/>
        <v>0.05</v>
      </c>
    </row>
    <row r="1168" spans="1:19" x14ac:dyDescent="0.25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>VLOOKUP(F1168,'Customer Info'!$A:$B,2,0)</f>
        <v>Trudy</v>
      </c>
      <c r="H1168" s="6" t="str">
        <f>VLOOKUP(F1168,'Customer Info'!$A$1:$C$501,3,0)</f>
        <v>Glocke</v>
      </c>
      <c r="I1168" s="6" t="str">
        <f>VLOOKUP(F1168,Customer,5,0)</f>
        <v>Huaiyin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59</v>
      </c>
      <c r="O1168" s="2">
        <v>10</v>
      </c>
      <c r="P1168" s="8">
        <f t="shared" si="92"/>
        <v>69</v>
      </c>
      <c r="Q1168" s="8">
        <f t="shared" si="93"/>
        <v>4</v>
      </c>
      <c r="R1168" s="2" t="s">
        <v>28</v>
      </c>
      <c r="S1168" s="24">
        <f t="shared" si="94"/>
        <v>0.02</v>
      </c>
    </row>
    <row r="1169" spans="1:19" x14ac:dyDescent="0.25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>VLOOKUP(F1169,'Customer Info'!$A:$B,2,0)</f>
        <v>Paul</v>
      </c>
      <c r="H1169" s="6" t="str">
        <f>VLOOKUP(F1169,'Customer Info'!$A$1:$C$501,3,0)</f>
        <v>Stevenson</v>
      </c>
      <c r="I1169" s="6" t="str">
        <f>VLOOKUP(F1169,Customer,5,0)</f>
        <v>Kwinana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375</v>
      </c>
      <c r="O1169" s="2">
        <v>30</v>
      </c>
      <c r="P1169" s="8">
        <f t="shared" si="92"/>
        <v>405</v>
      </c>
      <c r="Q1169" s="8">
        <f t="shared" si="93"/>
        <v>36</v>
      </c>
      <c r="R1169" s="2" t="s">
        <v>50</v>
      </c>
      <c r="S1169" s="24">
        <f t="shared" si="94"/>
        <v>0.02</v>
      </c>
    </row>
    <row r="1170" spans="1:19" x14ac:dyDescent="0.25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>VLOOKUP(F1170,'Customer Info'!$A:$B,2,0)</f>
        <v>John</v>
      </c>
      <c r="H1170" s="6" t="str">
        <f>VLOOKUP(F1170,'Customer Info'!$A$1:$C$501,3,0)</f>
        <v>Castell</v>
      </c>
      <c r="I1170" s="6" t="str">
        <f>VLOOKUP(F1170,Customer,5,0)</f>
        <v>Jakarta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664</v>
      </c>
      <c r="O1170" s="2">
        <v>30</v>
      </c>
      <c r="P1170" s="8">
        <f t="shared" si="92"/>
        <v>694</v>
      </c>
      <c r="Q1170" s="8">
        <f t="shared" si="93"/>
        <v>68</v>
      </c>
      <c r="R1170" s="2" t="s">
        <v>28</v>
      </c>
      <c r="S1170" s="24">
        <f t="shared" si="94"/>
        <v>0.02</v>
      </c>
    </row>
    <row r="1171" spans="1:19" x14ac:dyDescent="0.25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>VLOOKUP(F1171,'Customer Info'!$A:$B,2,0)</f>
        <v>Gary</v>
      </c>
      <c r="H1171" s="6" t="str">
        <f>VLOOKUP(F1171,'Customer Info'!$A$1:$C$501,3,0)</f>
        <v>Zandusky</v>
      </c>
      <c r="I1171" s="6" t="str">
        <f>VLOOKUP(F1171,Customer,5,0)</f>
        <v>Gold Coast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1452</v>
      </c>
      <c r="O1171" s="2">
        <v>39</v>
      </c>
      <c r="P1171" s="8">
        <f t="shared" si="92"/>
        <v>1491</v>
      </c>
      <c r="Q1171" s="8">
        <f t="shared" si="93"/>
        <v>160</v>
      </c>
      <c r="R1171" s="2" t="s">
        <v>26</v>
      </c>
      <c r="S1171" s="24">
        <f t="shared" si="94"/>
        <v>0.02</v>
      </c>
    </row>
    <row r="1172" spans="1:19" x14ac:dyDescent="0.25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>VLOOKUP(F1172,'Customer Info'!$A:$B,2,0)</f>
        <v>Craig</v>
      </c>
      <c r="H1172" s="6" t="str">
        <f>VLOOKUP(F1172,'Customer Info'!$A$1:$C$501,3,0)</f>
        <v>Carroll</v>
      </c>
      <c r="I1172" s="6" t="str">
        <f>VLOOKUP(F1172,Customer,5,0)</f>
        <v>Suzhou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31840</v>
      </c>
      <c r="O1172" s="2">
        <v>26</v>
      </c>
      <c r="P1172" s="8">
        <f t="shared" si="92"/>
        <v>31866</v>
      </c>
      <c r="Q1172" s="8">
        <f t="shared" si="93"/>
        <v>2340</v>
      </c>
      <c r="R1172" s="2" t="s">
        <v>28</v>
      </c>
      <c r="S1172" s="24">
        <f t="shared" si="94"/>
        <v>7.0000000000000007E-2</v>
      </c>
    </row>
    <row r="1173" spans="1:19" x14ac:dyDescent="0.25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>VLOOKUP(F1173,'Customer Info'!$A:$B,2,0)</f>
        <v>Peter</v>
      </c>
      <c r="H1173" s="6" t="str">
        <f>VLOOKUP(F1173,'Customer Info'!$A$1:$C$501,3,0)</f>
        <v>BŸhler</v>
      </c>
      <c r="I1173" s="6" t="str">
        <f>VLOOKUP(F1173,Customer,5,0)</f>
        <v>Dresden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4125</v>
      </c>
      <c r="O1173" s="2">
        <v>77</v>
      </c>
      <c r="P1173" s="8">
        <f t="shared" si="92"/>
        <v>4202</v>
      </c>
      <c r="Q1173" s="8">
        <f t="shared" si="93"/>
        <v>160</v>
      </c>
      <c r="R1173" s="2" t="s">
        <v>28</v>
      </c>
      <c r="S1173" s="24">
        <f t="shared" si="94"/>
        <v>0.02</v>
      </c>
    </row>
    <row r="1174" spans="1:19" x14ac:dyDescent="0.25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>VLOOKUP(F1174,'Customer Info'!$A:$B,2,0)</f>
        <v>Patrick</v>
      </c>
      <c r="H1174" s="6" t="str">
        <f>VLOOKUP(F1174,'Customer Info'!$A$1:$C$501,3,0)</f>
        <v>Bzostek</v>
      </c>
      <c r="I1174" s="6" t="str">
        <f>VLOOKUP(F1174,Customer,5,0)</f>
        <v>Krefeld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17171</v>
      </c>
      <c r="O1174" s="2">
        <v>90</v>
      </c>
      <c r="P1174" s="8">
        <f t="shared" si="92"/>
        <v>17261</v>
      </c>
      <c r="Q1174" s="8">
        <f t="shared" si="93"/>
        <v>819</v>
      </c>
      <c r="R1174" s="2" t="s">
        <v>28</v>
      </c>
      <c r="S1174" s="24">
        <f t="shared" si="94"/>
        <v>0.05</v>
      </c>
    </row>
    <row r="1175" spans="1:19" x14ac:dyDescent="0.25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>VLOOKUP(F1175,'Customer Info'!$A:$B,2,0)</f>
        <v>Jennifer</v>
      </c>
      <c r="H1175" s="6" t="str">
        <f>VLOOKUP(F1175,'Customer Info'!$A$1:$C$501,3,0)</f>
        <v>Jackson</v>
      </c>
      <c r="I1175" s="6" t="str">
        <f>VLOOKUP(F1175,Customer,5,0)</f>
        <v>Queanbeyan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3915</v>
      </c>
      <c r="O1175" s="2">
        <v>38</v>
      </c>
      <c r="P1175" s="8">
        <f t="shared" si="92"/>
        <v>3953</v>
      </c>
      <c r="Q1175" s="8">
        <f t="shared" si="93"/>
        <v>324</v>
      </c>
      <c r="R1175" s="2" t="s">
        <v>28</v>
      </c>
      <c r="S1175" s="24">
        <f t="shared" si="94"/>
        <v>0.02</v>
      </c>
    </row>
    <row r="1176" spans="1:19" x14ac:dyDescent="0.25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>VLOOKUP(F1176,'Customer Info'!$A:$B,2,0)</f>
        <v>Jennifer</v>
      </c>
      <c r="H1176" s="6" t="str">
        <f>VLOOKUP(F1176,'Customer Info'!$A$1:$C$501,3,0)</f>
        <v>Jackson</v>
      </c>
      <c r="I1176" s="6" t="str">
        <f>VLOOKUP(F1176,Customer,5,0)</f>
        <v>Queanbeyan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38886</v>
      </c>
      <c r="O1176" s="2">
        <v>21</v>
      </c>
      <c r="P1176" s="8">
        <f t="shared" si="92"/>
        <v>38907</v>
      </c>
      <c r="Q1176" s="8">
        <f t="shared" si="93"/>
        <v>3582</v>
      </c>
      <c r="R1176" s="2" t="s">
        <v>26</v>
      </c>
      <c r="S1176" s="24">
        <f t="shared" si="94"/>
        <v>7.0000000000000007E-2</v>
      </c>
    </row>
    <row r="1177" spans="1:19" x14ac:dyDescent="0.25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>VLOOKUP(F1177,'Customer Info'!$A:$B,2,0)</f>
        <v>Alex</v>
      </c>
      <c r="H1177" s="6" t="str">
        <f>VLOOKUP(F1177,'Customer Info'!$A$1:$C$501,3,0)</f>
        <v>Avila</v>
      </c>
      <c r="I1177" s="6" t="str">
        <f>VLOOKUP(F1177,Customer,5,0)</f>
        <v>Newcastle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6081</v>
      </c>
      <c r="O1177" s="2">
        <v>80</v>
      </c>
      <c r="P1177" s="8">
        <f t="shared" si="92"/>
        <v>6161</v>
      </c>
      <c r="Q1177" s="8">
        <f t="shared" si="93"/>
        <v>342</v>
      </c>
      <c r="R1177" s="2" t="s">
        <v>28</v>
      </c>
      <c r="S1177" s="24">
        <f t="shared" si="94"/>
        <v>0.05</v>
      </c>
    </row>
    <row r="1178" spans="1:19" x14ac:dyDescent="0.25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>VLOOKUP(F1178,'Customer Info'!$A:$B,2,0)</f>
        <v>Ann</v>
      </c>
      <c r="H1178" s="6" t="str">
        <f>VLOOKUP(F1178,'Customer Info'!$A$1:$C$501,3,0)</f>
        <v>Chong</v>
      </c>
      <c r="I1178" s="6" t="str">
        <f>VLOOKUP(F1178,Customer,5,0)</f>
        <v>Sydney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6600</v>
      </c>
      <c r="O1178" s="2">
        <v>71</v>
      </c>
      <c r="P1178" s="8">
        <f t="shared" si="92"/>
        <v>6671</v>
      </c>
      <c r="Q1178" s="8">
        <f t="shared" si="93"/>
        <v>540</v>
      </c>
      <c r="R1178" s="2" t="s">
        <v>28</v>
      </c>
      <c r="S1178" s="24">
        <f t="shared" si="94"/>
        <v>0.05</v>
      </c>
    </row>
    <row r="1179" spans="1:19" x14ac:dyDescent="0.25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>VLOOKUP(F1179,'Customer Info'!$A:$B,2,0)</f>
        <v>Roy</v>
      </c>
      <c r="H1179" s="6" t="str">
        <f>VLOOKUP(F1179,'Customer Info'!$A$1:$C$501,3,0)</f>
        <v>Phan</v>
      </c>
      <c r="I1179" s="6" t="str">
        <f>VLOOKUP(F1179,Customer,5,0)</f>
        <v>Melbourne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17476</v>
      </c>
      <c r="O1179" s="2">
        <v>42</v>
      </c>
      <c r="P1179" s="8">
        <f t="shared" si="92"/>
        <v>17518</v>
      </c>
      <c r="Q1179" s="8">
        <f t="shared" si="93"/>
        <v>1152</v>
      </c>
      <c r="R1179" s="2" t="s">
        <v>28</v>
      </c>
      <c r="S1179" s="24">
        <f t="shared" si="94"/>
        <v>0.05</v>
      </c>
    </row>
    <row r="1180" spans="1:19" x14ac:dyDescent="0.25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>VLOOKUP(F1180,'Customer Info'!$A:$B,2,0)</f>
        <v>Julia</v>
      </c>
      <c r="H1180" s="6" t="str">
        <f>VLOOKUP(F1180,'Customer Info'!$A$1:$C$501,3,0)</f>
        <v>Barnett</v>
      </c>
      <c r="I1180" s="6" t="str">
        <f>VLOOKUP(F1180,Customer,5,0)</f>
        <v>Zhuhai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2292</v>
      </c>
      <c r="O1180" s="2">
        <v>31</v>
      </c>
      <c r="P1180" s="8">
        <f t="shared" si="92"/>
        <v>2323</v>
      </c>
      <c r="Q1180" s="8">
        <f t="shared" si="93"/>
        <v>170</v>
      </c>
      <c r="R1180" s="2" t="s">
        <v>50</v>
      </c>
      <c r="S1180" s="24">
        <f t="shared" si="94"/>
        <v>0.02</v>
      </c>
    </row>
    <row r="1181" spans="1:19" x14ac:dyDescent="0.25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>VLOOKUP(F1181,'Customer Info'!$A:$B,2,0)</f>
        <v>Brian</v>
      </c>
      <c r="H1181" s="6" t="str">
        <f>VLOOKUP(F1181,'Customer Info'!$A$1:$C$501,3,0)</f>
        <v>DeCherney</v>
      </c>
      <c r="I1181" s="6" t="str">
        <f>VLOOKUP(F1181,Customer,5,0)</f>
        <v>Kendari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1790</v>
      </c>
      <c r="O1181" s="2">
        <v>61</v>
      </c>
      <c r="P1181" s="8">
        <f t="shared" si="92"/>
        <v>1851</v>
      </c>
      <c r="Q1181" s="8">
        <f t="shared" si="93"/>
        <v>84</v>
      </c>
      <c r="R1181" s="2" t="s">
        <v>28</v>
      </c>
      <c r="S1181" s="24">
        <f t="shared" si="94"/>
        <v>0.02</v>
      </c>
    </row>
    <row r="1182" spans="1:19" x14ac:dyDescent="0.25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>VLOOKUP(F1182,'Customer Info'!$A:$B,2,0)</f>
        <v>Sally</v>
      </c>
      <c r="H1182" s="6" t="str">
        <f>VLOOKUP(F1182,'Customer Info'!$A$1:$C$501,3,0)</f>
        <v>Knutson</v>
      </c>
      <c r="I1182" s="6" t="str">
        <f>VLOOKUP(F1182,Customer,5,0)</f>
        <v>CastropRauxel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270</v>
      </c>
      <c r="O1182" s="2">
        <v>30</v>
      </c>
      <c r="P1182" s="8">
        <f t="shared" si="92"/>
        <v>300</v>
      </c>
      <c r="Q1182" s="8">
        <f t="shared" si="93"/>
        <v>18</v>
      </c>
      <c r="R1182" s="2" t="s">
        <v>50</v>
      </c>
      <c r="S1182" s="24">
        <f t="shared" si="94"/>
        <v>0.02</v>
      </c>
    </row>
    <row r="1183" spans="1:19" x14ac:dyDescent="0.25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>VLOOKUP(F1183,'Customer Info'!$A:$B,2,0)</f>
        <v>Monica</v>
      </c>
      <c r="H1183" s="6" t="str">
        <f>VLOOKUP(F1183,'Customer Info'!$A$1:$C$501,3,0)</f>
        <v>Federle</v>
      </c>
      <c r="I1183" s="6" t="str">
        <f>VLOOKUP(F1183,Customer,5,0)</f>
        <v>Lismore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6496</v>
      </c>
      <c r="O1183" s="2">
        <v>30</v>
      </c>
      <c r="P1183" s="8">
        <f t="shared" si="92"/>
        <v>6526</v>
      </c>
      <c r="Q1183" s="8">
        <f t="shared" si="93"/>
        <v>426</v>
      </c>
      <c r="R1183" s="2" t="s">
        <v>56</v>
      </c>
      <c r="S1183" s="24">
        <f t="shared" si="94"/>
        <v>0.05</v>
      </c>
    </row>
    <row r="1184" spans="1:19" x14ac:dyDescent="0.25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>VLOOKUP(F1184,'Customer Info'!$A:$B,2,0)</f>
        <v>Sarah</v>
      </c>
      <c r="H1184" s="6" t="str">
        <f>VLOOKUP(F1184,'Customer Info'!$A$1:$C$501,3,0)</f>
        <v>Foster</v>
      </c>
      <c r="I1184" s="6" t="str">
        <f>VLOOKUP(F1184,Customer,5,0)</f>
        <v>Xianning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895</v>
      </c>
      <c r="O1184" s="2">
        <v>30</v>
      </c>
      <c r="P1184" s="8">
        <f t="shared" si="92"/>
        <v>925</v>
      </c>
      <c r="Q1184" s="8">
        <f t="shared" si="93"/>
        <v>65</v>
      </c>
      <c r="R1184" s="2" t="s">
        <v>50</v>
      </c>
      <c r="S1184" s="24">
        <f t="shared" si="94"/>
        <v>0.02</v>
      </c>
    </row>
    <row r="1185" spans="1:19" x14ac:dyDescent="0.25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>VLOOKUP(F1185,'Customer Info'!$A:$B,2,0)</f>
        <v>Hunter</v>
      </c>
      <c r="H1185" s="6" t="str">
        <f>VLOOKUP(F1185,'Customer Info'!$A$1:$C$501,3,0)</f>
        <v>Lopez</v>
      </c>
      <c r="I1185" s="6" t="str">
        <f>VLOOKUP(F1185,Customer,5,0)</f>
        <v>Wollongong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574</v>
      </c>
      <c r="O1185" s="2">
        <v>10</v>
      </c>
      <c r="P1185" s="8">
        <f t="shared" si="92"/>
        <v>584</v>
      </c>
      <c r="Q1185" s="8">
        <f t="shared" si="93"/>
        <v>21</v>
      </c>
      <c r="R1185" s="2" t="s">
        <v>56</v>
      </c>
      <c r="S1185" s="24">
        <f t="shared" si="94"/>
        <v>0.02</v>
      </c>
    </row>
    <row r="1186" spans="1:19" x14ac:dyDescent="0.25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>VLOOKUP(F1186,'Customer Info'!$A:$B,2,0)</f>
        <v>William</v>
      </c>
      <c r="H1186" s="6" t="str">
        <f>VLOOKUP(F1186,'Customer Info'!$A$1:$C$501,3,0)</f>
        <v>Brown</v>
      </c>
      <c r="I1186" s="6" t="str">
        <f>VLOOKUP(F1186,Customer,5,0)</f>
        <v>Denpasar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4798</v>
      </c>
      <c r="O1186" s="2">
        <v>87</v>
      </c>
      <c r="P1186" s="8">
        <f t="shared" si="92"/>
        <v>4885</v>
      </c>
      <c r="Q1186" s="8">
        <f t="shared" si="93"/>
        <v>350</v>
      </c>
      <c r="R1186" s="2" t="s">
        <v>50</v>
      </c>
      <c r="S1186" s="24">
        <f t="shared" si="94"/>
        <v>0.02</v>
      </c>
    </row>
    <row r="1187" spans="1:19" x14ac:dyDescent="0.25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>VLOOKUP(F1187,'Customer Info'!$A:$B,2,0)</f>
        <v>Harold</v>
      </c>
      <c r="H1187" s="6" t="str">
        <f>VLOOKUP(F1187,'Customer Info'!$A$1:$C$501,3,0)</f>
        <v>Pawlan</v>
      </c>
      <c r="I1187" s="6" t="str">
        <f>VLOOKUP(F1187,Customer,5,0)</f>
        <v>Banda Aceh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4857</v>
      </c>
      <c r="O1187" s="2">
        <v>87</v>
      </c>
      <c r="P1187" s="8">
        <f t="shared" si="92"/>
        <v>4944</v>
      </c>
      <c r="Q1187" s="8">
        <f t="shared" si="93"/>
        <v>531</v>
      </c>
      <c r="R1187" s="2" t="s">
        <v>28</v>
      </c>
      <c r="S1187" s="24">
        <f t="shared" si="94"/>
        <v>0.02</v>
      </c>
    </row>
    <row r="1188" spans="1:19" x14ac:dyDescent="0.25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>VLOOKUP(F1188,'Customer Info'!$A:$B,2,0)</f>
        <v>Eugene</v>
      </c>
      <c r="H1188" s="6" t="str">
        <f>VLOOKUP(F1188,'Customer Info'!$A$1:$C$501,3,0)</f>
        <v>Hildebrand</v>
      </c>
      <c r="I1188" s="6" t="str">
        <f>VLOOKUP(F1188,Customer,5,0)</f>
        <v>Coffs Harbour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8988</v>
      </c>
      <c r="O1188" s="2">
        <v>57</v>
      </c>
      <c r="P1188" s="8">
        <f t="shared" si="92"/>
        <v>9045</v>
      </c>
      <c r="Q1188" s="8">
        <f t="shared" si="93"/>
        <v>978</v>
      </c>
      <c r="R1188" s="2" t="s">
        <v>50</v>
      </c>
      <c r="S1188" s="24">
        <f t="shared" si="94"/>
        <v>0.05</v>
      </c>
    </row>
    <row r="1189" spans="1:19" x14ac:dyDescent="0.25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>VLOOKUP(F1189,'Customer Info'!$A:$B,2,0)</f>
        <v>Susan</v>
      </c>
      <c r="H1189" s="6" t="str">
        <f>VLOOKUP(F1189,'Customer Info'!$A$1:$C$501,3,0)</f>
        <v>Pistek</v>
      </c>
      <c r="I1189" s="6" t="str">
        <f>VLOOKUP(F1189,Customer,5,0)</f>
        <v>Padang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1734</v>
      </c>
      <c r="O1189" s="2">
        <v>42</v>
      </c>
      <c r="P1189" s="8">
        <f t="shared" si="92"/>
        <v>1776</v>
      </c>
      <c r="Q1189" s="8">
        <f t="shared" si="93"/>
        <v>32</v>
      </c>
      <c r="R1189" s="2" t="s">
        <v>50</v>
      </c>
      <c r="S1189" s="24">
        <f t="shared" si="94"/>
        <v>0.02</v>
      </c>
    </row>
    <row r="1190" spans="1:19" x14ac:dyDescent="0.25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>VLOOKUP(F1190,'Customer Info'!$A:$B,2,0)</f>
        <v>Darren</v>
      </c>
      <c r="H1190" s="6" t="str">
        <f>VLOOKUP(F1190,'Customer Info'!$A$1:$C$501,3,0)</f>
        <v>Budd</v>
      </c>
      <c r="I1190" s="6" t="str">
        <f>VLOOKUP(F1190,Customer,5,0)</f>
        <v>Perth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14605</v>
      </c>
      <c r="O1190" s="2">
        <v>80</v>
      </c>
      <c r="P1190" s="8">
        <f t="shared" si="92"/>
        <v>14685</v>
      </c>
      <c r="Q1190" s="8">
        <f t="shared" si="93"/>
        <v>560</v>
      </c>
      <c r="R1190" s="2" t="s">
        <v>56</v>
      </c>
      <c r="S1190" s="24">
        <f t="shared" si="94"/>
        <v>0.05</v>
      </c>
    </row>
    <row r="1191" spans="1:19" x14ac:dyDescent="0.25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>VLOOKUP(F1191,'Customer Info'!$A:$B,2,0)</f>
        <v>Mike</v>
      </c>
      <c r="H1191" s="6" t="str">
        <f>VLOOKUP(F1191,'Customer Info'!$A$1:$C$501,3,0)</f>
        <v>Vittorini</v>
      </c>
      <c r="I1191" s="6" t="str">
        <f>VLOOKUP(F1191,Customer,5,0)</f>
        <v>Naihati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1395</v>
      </c>
      <c r="O1191" s="2">
        <v>99</v>
      </c>
      <c r="P1191" s="8">
        <f t="shared" si="92"/>
        <v>1494</v>
      </c>
      <c r="Q1191" s="8">
        <f t="shared" si="93"/>
        <v>78</v>
      </c>
      <c r="R1191" s="2" t="s">
        <v>50</v>
      </c>
      <c r="S1191" s="24">
        <f t="shared" si="94"/>
        <v>0.02</v>
      </c>
    </row>
    <row r="1192" spans="1:19" x14ac:dyDescent="0.25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>VLOOKUP(F1192,'Customer Info'!$A:$B,2,0)</f>
        <v>Heather</v>
      </c>
      <c r="H1192" s="6" t="str">
        <f>VLOOKUP(F1192,'Customer Info'!$A$1:$C$501,3,0)</f>
        <v>Kirkland</v>
      </c>
      <c r="I1192" s="6" t="str">
        <f>VLOOKUP(F1192,Customer,5,0)</f>
        <v>Townsville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128</v>
      </c>
      <c r="O1192" s="2">
        <v>30</v>
      </c>
      <c r="P1192" s="8">
        <f t="shared" si="92"/>
        <v>158</v>
      </c>
      <c r="Q1192" s="8">
        <f t="shared" si="93"/>
        <v>13</v>
      </c>
      <c r="R1192" s="2" t="s">
        <v>28</v>
      </c>
      <c r="S1192" s="24">
        <f t="shared" si="94"/>
        <v>0.02</v>
      </c>
    </row>
    <row r="1193" spans="1:19" x14ac:dyDescent="0.25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>VLOOKUP(F1193,'Customer Info'!$A:$B,2,0)</f>
        <v>Linda</v>
      </c>
      <c r="H1193" s="6" t="str">
        <f>VLOOKUP(F1193,'Customer Info'!$A$1:$C$501,3,0)</f>
        <v>Southworth</v>
      </c>
      <c r="I1193" s="6" t="str">
        <f>VLOOKUP(F1193,Customer,5,0)</f>
        <v>Brisbane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3104</v>
      </c>
      <c r="O1193" s="2">
        <v>37</v>
      </c>
      <c r="P1193" s="8">
        <f t="shared" si="92"/>
        <v>3141</v>
      </c>
      <c r="Q1193" s="8">
        <f t="shared" si="93"/>
        <v>172</v>
      </c>
      <c r="R1193" s="2" t="s">
        <v>28</v>
      </c>
      <c r="S1193" s="24">
        <f t="shared" si="94"/>
        <v>0.02</v>
      </c>
    </row>
    <row r="1194" spans="1:19" x14ac:dyDescent="0.25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>VLOOKUP(F1194,'Customer Info'!$A:$B,2,0)</f>
        <v>Olvera</v>
      </c>
      <c r="H1194" s="6" t="str">
        <f>VLOOKUP(F1194,'Customer Info'!$A$1:$C$501,3,0)</f>
        <v>Toch</v>
      </c>
      <c r="I1194" s="6" t="str">
        <f>VLOOKUP(F1194,Customer,5,0)</f>
        <v>Wollongong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2367</v>
      </c>
      <c r="O1194" s="2">
        <v>98</v>
      </c>
      <c r="P1194" s="8">
        <f t="shared" si="92"/>
        <v>2465</v>
      </c>
      <c r="Q1194" s="8">
        <f t="shared" si="93"/>
        <v>150</v>
      </c>
      <c r="R1194" s="2" t="s">
        <v>50</v>
      </c>
      <c r="S1194" s="24">
        <f t="shared" si="94"/>
        <v>0.02</v>
      </c>
    </row>
    <row r="1195" spans="1:19" x14ac:dyDescent="0.25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>VLOOKUP(F1195,'Customer Info'!$A:$B,2,0)</f>
        <v>Becky</v>
      </c>
      <c r="H1195" s="6" t="str">
        <f>VLOOKUP(F1195,'Customer Info'!$A$1:$C$501,3,0)</f>
        <v>Castell</v>
      </c>
      <c r="I1195" s="6" t="str">
        <f>VLOOKUP(F1195,Customer,5,0)</f>
        <v>Berlin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695</v>
      </c>
      <c r="O1195" s="2">
        <v>100</v>
      </c>
      <c r="P1195" s="8">
        <f t="shared" si="92"/>
        <v>795</v>
      </c>
      <c r="Q1195" s="8">
        <f t="shared" si="93"/>
        <v>34</v>
      </c>
      <c r="R1195" s="2" t="s">
        <v>28</v>
      </c>
      <c r="S1195" s="24">
        <f t="shared" si="94"/>
        <v>0.02</v>
      </c>
    </row>
    <row r="1196" spans="1:19" x14ac:dyDescent="0.25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>VLOOKUP(F1196,'Customer Info'!$A:$B,2,0)</f>
        <v>Darren</v>
      </c>
      <c r="H1196" s="6" t="str">
        <f>VLOOKUP(F1196,'Customer Info'!$A$1:$C$501,3,0)</f>
        <v>Koutras</v>
      </c>
      <c r="I1196" s="6" t="str">
        <f>VLOOKUP(F1196,Customer,5,0)</f>
        <v>Pune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18036</v>
      </c>
      <c r="O1196" s="2">
        <v>48</v>
      </c>
      <c r="P1196" s="8">
        <f t="shared" si="92"/>
        <v>18084</v>
      </c>
      <c r="Q1196" s="8">
        <f t="shared" si="93"/>
        <v>1005</v>
      </c>
      <c r="R1196" s="2" t="s">
        <v>28</v>
      </c>
      <c r="S1196" s="24">
        <f t="shared" si="94"/>
        <v>0.05</v>
      </c>
    </row>
    <row r="1197" spans="1:19" x14ac:dyDescent="0.25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>VLOOKUP(F1197,'Customer Info'!$A:$B,2,0)</f>
        <v>Darren</v>
      </c>
      <c r="H1197" s="6" t="str">
        <f>VLOOKUP(F1197,'Customer Info'!$A$1:$C$501,3,0)</f>
        <v>Koutras</v>
      </c>
      <c r="I1197" s="6" t="str">
        <f>VLOOKUP(F1197,Customer,5,0)</f>
        <v>Pune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8361</v>
      </c>
      <c r="O1197" s="2">
        <v>85</v>
      </c>
      <c r="P1197" s="8">
        <f t="shared" si="92"/>
        <v>8446</v>
      </c>
      <c r="Q1197" s="8">
        <f t="shared" si="93"/>
        <v>318</v>
      </c>
      <c r="R1197" s="2" t="s">
        <v>50</v>
      </c>
      <c r="S1197" s="24">
        <f t="shared" si="94"/>
        <v>0.05</v>
      </c>
    </row>
    <row r="1198" spans="1:19" x14ac:dyDescent="0.25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>VLOOKUP(F1198,'Customer Info'!$A:$B,2,0)</f>
        <v>Rick</v>
      </c>
      <c r="H1198" s="6" t="str">
        <f>VLOOKUP(F1198,'Customer Info'!$A$1:$C$501,3,0)</f>
        <v>Reed</v>
      </c>
      <c r="I1198" s="6" t="str">
        <f>VLOOKUP(F1198,Customer,5,0)</f>
        <v>Lucknow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29308</v>
      </c>
      <c r="O1198" s="2">
        <v>95</v>
      </c>
      <c r="P1198" s="8">
        <f t="shared" si="92"/>
        <v>29403</v>
      </c>
      <c r="Q1198" s="8">
        <f t="shared" si="93"/>
        <v>2676</v>
      </c>
      <c r="R1198" s="2" t="s">
        <v>28</v>
      </c>
      <c r="S1198" s="24">
        <f t="shared" si="94"/>
        <v>7.0000000000000007E-2</v>
      </c>
    </row>
    <row r="1199" spans="1:19" x14ac:dyDescent="0.25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>VLOOKUP(F1199,'Customer Info'!$A:$B,2,0)</f>
        <v>Brad</v>
      </c>
      <c r="H1199" s="6" t="str">
        <f>VLOOKUP(F1199,'Customer Info'!$A$1:$C$501,3,0)</f>
        <v>Thomas</v>
      </c>
      <c r="I1199" s="6" t="str">
        <f>VLOOKUP(F1199,Customer,5,0)</f>
        <v>Udaipur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8974</v>
      </c>
      <c r="O1199" s="2">
        <v>99</v>
      </c>
      <c r="P1199" s="8">
        <f t="shared" si="92"/>
        <v>9073</v>
      </c>
      <c r="Q1199" s="8">
        <f t="shared" si="93"/>
        <v>572</v>
      </c>
      <c r="R1199" s="2" t="s">
        <v>50</v>
      </c>
      <c r="S1199" s="24">
        <f t="shared" si="94"/>
        <v>0.05</v>
      </c>
    </row>
    <row r="1200" spans="1:19" x14ac:dyDescent="0.25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>VLOOKUP(F1200,'Customer Info'!$A:$B,2,0)</f>
        <v>Muhammed</v>
      </c>
      <c r="H1200" s="6" t="str">
        <f>VLOOKUP(F1200,'Customer Info'!$A$1:$C$501,3,0)</f>
        <v>Lee</v>
      </c>
      <c r="I1200" s="6" t="str">
        <f>VLOOKUP(F1200,Customer,5,0)</f>
        <v>Nellore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11250</v>
      </c>
      <c r="O1200" s="2">
        <v>78</v>
      </c>
      <c r="P1200" s="8">
        <f t="shared" si="92"/>
        <v>11328</v>
      </c>
      <c r="Q1200" s="8">
        <f t="shared" si="93"/>
        <v>215</v>
      </c>
      <c r="R1200" s="2" t="s">
        <v>28</v>
      </c>
      <c r="S1200" s="24">
        <f t="shared" si="94"/>
        <v>0.05</v>
      </c>
    </row>
    <row r="1201" spans="1:19" x14ac:dyDescent="0.25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>VLOOKUP(F1201,'Customer Info'!$A:$B,2,0)</f>
        <v>Julia</v>
      </c>
      <c r="H1201" s="6" t="str">
        <f>VLOOKUP(F1201,'Customer Info'!$A$1:$C$501,3,0)</f>
        <v>Dunbar</v>
      </c>
      <c r="I1201" s="6" t="str">
        <f>VLOOKUP(F1201,Customer,5,0)</f>
        <v>Melbourne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8091</v>
      </c>
      <c r="O1201" s="2">
        <v>21</v>
      </c>
      <c r="P1201" s="8">
        <f t="shared" si="92"/>
        <v>8112</v>
      </c>
      <c r="Q1201" s="8">
        <f t="shared" si="93"/>
        <v>597</v>
      </c>
      <c r="R1201" s="2" t="s">
        <v>50</v>
      </c>
      <c r="S1201" s="24">
        <f t="shared" si="94"/>
        <v>0.05</v>
      </c>
    </row>
    <row r="1202" spans="1:19" x14ac:dyDescent="0.25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>VLOOKUP(F1202,'Customer Info'!$A:$B,2,0)</f>
        <v>Larry</v>
      </c>
      <c r="H1202" s="6" t="str">
        <f>VLOOKUP(F1202,'Customer Info'!$A$1:$C$501,3,0)</f>
        <v>Blacks</v>
      </c>
      <c r="I1202" s="6" t="str">
        <f>VLOOKUP(F1202,Customer,5,0)</f>
        <v>Shangyu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276</v>
      </c>
      <c r="O1202" s="2">
        <v>30</v>
      </c>
      <c r="P1202" s="8">
        <f t="shared" si="92"/>
        <v>306</v>
      </c>
      <c r="Q1202" s="8">
        <f t="shared" si="93"/>
        <v>20</v>
      </c>
      <c r="R1202" s="2" t="s">
        <v>28</v>
      </c>
      <c r="S1202" s="24">
        <f t="shared" si="94"/>
        <v>0.02</v>
      </c>
    </row>
    <row r="1203" spans="1:19" x14ac:dyDescent="0.25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>VLOOKUP(F1203,'Customer Info'!$A:$B,2,0)</f>
        <v>Sarah</v>
      </c>
      <c r="H1203" s="6" t="str">
        <f>VLOOKUP(F1203,'Customer Info'!$A$1:$C$501,3,0)</f>
        <v>Foster</v>
      </c>
      <c r="I1203" s="6" t="str">
        <f>VLOOKUP(F1203,Customer,5,0)</f>
        <v>Harbin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17992</v>
      </c>
      <c r="O1203" s="2">
        <v>70</v>
      </c>
      <c r="P1203" s="8">
        <f t="shared" si="92"/>
        <v>18062</v>
      </c>
      <c r="Q1203" s="8">
        <f t="shared" si="93"/>
        <v>1176</v>
      </c>
      <c r="R1203" s="2" t="s">
        <v>28</v>
      </c>
      <c r="S1203" s="24">
        <f t="shared" si="94"/>
        <v>0.05</v>
      </c>
    </row>
    <row r="1204" spans="1:19" x14ac:dyDescent="0.25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>VLOOKUP(F1204,'Customer Info'!$A:$B,2,0)</f>
        <v>Claudia</v>
      </c>
      <c r="H1204" s="6" t="str">
        <f>VLOOKUP(F1204,'Customer Info'!$A$1:$C$501,3,0)</f>
        <v>Bergmann</v>
      </c>
      <c r="I1204" s="6" t="str">
        <f>VLOOKUP(F1204,Customer,5,0)</f>
        <v>Aschaffenburg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8025</v>
      </c>
      <c r="O1204" s="2">
        <v>90</v>
      </c>
      <c r="P1204" s="8">
        <f t="shared" si="92"/>
        <v>8115</v>
      </c>
      <c r="Q1204" s="8">
        <f t="shared" si="93"/>
        <v>590</v>
      </c>
      <c r="R1204" s="2" t="s">
        <v>28</v>
      </c>
      <c r="S1204" s="24">
        <f t="shared" si="94"/>
        <v>0.05</v>
      </c>
    </row>
    <row r="1205" spans="1:19" x14ac:dyDescent="0.25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>VLOOKUP(F1205,'Customer Info'!$A:$B,2,0)</f>
        <v>Steve</v>
      </c>
      <c r="H1205" s="6" t="str">
        <f>VLOOKUP(F1205,'Customer Info'!$A$1:$C$501,3,0)</f>
        <v>Carroll</v>
      </c>
      <c r="I1205" s="6" t="str">
        <f>VLOOKUP(F1205,Customer,5,0)</f>
        <v>Qingdao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13329</v>
      </c>
      <c r="O1205" s="2">
        <v>26</v>
      </c>
      <c r="P1205" s="8">
        <f t="shared" si="92"/>
        <v>13355</v>
      </c>
      <c r="Q1205" s="8">
        <f t="shared" si="93"/>
        <v>1092</v>
      </c>
      <c r="R1205" s="2" t="s">
        <v>50</v>
      </c>
      <c r="S1205" s="24">
        <f t="shared" si="94"/>
        <v>0.05</v>
      </c>
    </row>
    <row r="1206" spans="1:19" x14ac:dyDescent="0.25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>VLOOKUP(F1206,'Customer Info'!$A:$B,2,0)</f>
        <v>Kelly</v>
      </c>
      <c r="H1206" s="6" t="str">
        <f>VLOOKUP(F1206,'Customer Info'!$A$1:$C$501,3,0)</f>
        <v>Collister</v>
      </c>
      <c r="I1206" s="6" t="str">
        <f>VLOOKUP(F1206,Customer,5,0)</f>
        <v>Tangshan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12708</v>
      </c>
      <c r="O1206" s="2">
        <v>52</v>
      </c>
      <c r="P1206" s="8">
        <f t="shared" si="92"/>
        <v>12760</v>
      </c>
      <c r="Q1206" s="8">
        <f t="shared" si="93"/>
        <v>1170</v>
      </c>
      <c r="R1206" s="2" t="s">
        <v>50</v>
      </c>
      <c r="S1206" s="24">
        <f t="shared" si="94"/>
        <v>0.05</v>
      </c>
    </row>
    <row r="1207" spans="1:19" x14ac:dyDescent="0.25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>VLOOKUP(F1207,'Customer Info'!$A:$B,2,0)</f>
        <v>Greg</v>
      </c>
      <c r="H1207" s="6" t="str">
        <f>VLOOKUP(F1207,'Customer Info'!$A$1:$C$501,3,0)</f>
        <v>Hansen</v>
      </c>
      <c r="I1207" s="6" t="str">
        <f>VLOOKUP(F1207,Customer,5,0)</f>
        <v>Canberra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7474</v>
      </c>
      <c r="O1207" s="2">
        <v>44</v>
      </c>
      <c r="P1207" s="8">
        <f t="shared" si="92"/>
        <v>7518</v>
      </c>
      <c r="Q1207" s="8">
        <f t="shared" si="93"/>
        <v>616</v>
      </c>
      <c r="R1207" s="2" t="s">
        <v>50</v>
      </c>
      <c r="S1207" s="24">
        <f t="shared" si="94"/>
        <v>0.05</v>
      </c>
    </row>
    <row r="1208" spans="1:19" x14ac:dyDescent="0.25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>VLOOKUP(F1208,'Customer Info'!$A:$B,2,0)</f>
        <v>Alex</v>
      </c>
      <c r="H1208" s="6" t="str">
        <f>VLOOKUP(F1208,'Customer Info'!$A$1:$C$501,3,0)</f>
        <v>Avila</v>
      </c>
      <c r="I1208" s="6" t="str">
        <f>VLOOKUP(F1208,Customer,5,0)</f>
        <v>Newcastle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7503</v>
      </c>
      <c r="O1208" s="2">
        <v>96</v>
      </c>
      <c r="P1208" s="8">
        <f t="shared" si="92"/>
        <v>7599</v>
      </c>
      <c r="Q1208" s="8">
        <f t="shared" si="93"/>
        <v>420</v>
      </c>
      <c r="R1208" s="2" t="s">
        <v>28</v>
      </c>
      <c r="S1208" s="24">
        <f t="shared" si="94"/>
        <v>0.05</v>
      </c>
    </row>
    <row r="1209" spans="1:19" x14ac:dyDescent="0.25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>VLOOKUP(F1209,'Customer Info'!$A:$B,2,0)</f>
        <v>Rick</v>
      </c>
      <c r="H1209" s="6" t="str">
        <f>VLOOKUP(F1209,'Customer Info'!$A$1:$C$501,3,0)</f>
        <v>Duston</v>
      </c>
      <c r="I1209" s="6" t="str">
        <f>VLOOKUP(F1209,Customer,5,0)</f>
        <v>Surakarta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2627</v>
      </c>
      <c r="O1209" s="2">
        <v>93</v>
      </c>
      <c r="P1209" s="8">
        <f t="shared" si="92"/>
        <v>2720</v>
      </c>
      <c r="Q1209" s="8">
        <f t="shared" si="93"/>
        <v>99</v>
      </c>
      <c r="R1209" s="2" t="s">
        <v>50</v>
      </c>
      <c r="S1209" s="24">
        <f t="shared" si="94"/>
        <v>0.02</v>
      </c>
    </row>
    <row r="1210" spans="1:19" x14ac:dyDescent="0.25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>VLOOKUP(F1210,'Customer Info'!$A:$B,2,0)</f>
        <v>Valerie</v>
      </c>
      <c r="H1210" s="6" t="str">
        <f>VLOOKUP(F1210,'Customer Info'!$A$1:$C$501,3,0)</f>
        <v>Mitchum</v>
      </c>
      <c r="I1210" s="6" t="str">
        <f>VLOOKUP(F1210,Customer,5,0)</f>
        <v>Chengdu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2630</v>
      </c>
      <c r="O1210" s="2">
        <v>72</v>
      </c>
      <c r="P1210" s="8">
        <f t="shared" si="92"/>
        <v>2702</v>
      </c>
      <c r="Q1210" s="8">
        <f t="shared" si="93"/>
        <v>195</v>
      </c>
      <c r="R1210" s="2" t="s">
        <v>50</v>
      </c>
      <c r="S1210" s="24">
        <f t="shared" si="94"/>
        <v>0.02</v>
      </c>
    </row>
    <row r="1211" spans="1:19" x14ac:dyDescent="0.25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>VLOOKUP(F1211,'Customer Info'!$A:$B,2,0)</f>
        <v>Erin</v>
      </c>
      <c r="H1211" s="6" t="str">
        <f>VLOOKUP(F1211,'Customer Info'!$A$1:$C$501,3,0)</f>
        <v>Smith</v>
      </c>
      <c r="I1211" s="6" t="str">
        <f>VLOOKUP(F1211,Customer,5,0)</f>
        <v>Yuci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2362</v>
      </c>
      <c r="O1211" s="2">
        <v>59</v>
      </c>
      <c r="P1211" s="8">
        <f t="shared" si="92"/>
        <v>2421</v>
      </c>
      <c r="Q1211" s="8">
        <f t="shared" si="93"/>
        <v>90</v>
      </c>
      <c r="R1211" s="2" t="s">
        <v>56</v>
      </c>
      <c r="S1211" s="24">
        <f t="shared" si="94"/>
        <v>0.02</v>
      </c>
    </row>
    <row r="1212" spans="1:19" x14ac:dyDescent="0.25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>VLOOKUP(F1212,'Customer Info'!$A:$B,2,0)</f>
        <v>Kelly</v>
      </c>
      <c r="H1212" s="6" t="str">
        <f>VLOOKUP(F1212,'Customer Info'!$A$1:$C$501,3,0)</f>
        <v>Collister</v>
      </c>
      <c r="I1212" s="6" t="str">
        <f>VLOOKUP(F1212,Customer,5,0)</f>
        <v>Tangshan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12120</v>
      </c>
      <c r="O1212" s="2">
        <v>51</v>
      </c>
      <c r="P1212" s="8">
        <f t="shared" si="92"/>
        <v>12171</v>
      </c>
      <c r="Q1212" s="8">
        <f t="shared" si="93"/>
        <v>116</v>
      </c>
      <c r="R1212" s="2" t="s">
        <v>28</v>
      </c>
      <c r="S1212" s="24">
        <f t="shared" si="94"/>
        <v>0.05</v>
      </c>
    </row>
    <row r="1213" spans="1:19" x14ac:dyDescent="0.25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>VLOOKUP(F1213,'Customer Info'!$A:$B,2,0)</f>
        <v>Stuart</v>
      </c>
      <c r="H1213" s="6" t="str">
        <f>VLOOKUP(F1213,'Customer Info'!$A$1:$C$501,3,0)</f>
        <v>Calhoun</v>
      </c>
      <c r="I1213" s="6" t="str">
        <f>VLOOKUP(F1213,Customer,5,0)</f>
        <v>Nowra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19836</v>
      </c>
      <c r="O1213" s="2">
        <v>64</v>
      </c>
      <c r="P1213" s="8">
        <f t="shared" si="92"/>
        <v>19900</v>
      </c>
      <c r="Q1213" s="8">
        <f t="shared" si="93"/>
        <v>1116</v>
      </c>
      <c r="R1213" s="2" t="s">
        <v>28</v>
      </c>
      <c r="S1213" s="24">
        <f t="shared" si="94"/>
        <v>0.05</v>
      </c>
    </row>
    <row r="1214" spans="1:19" x14ac:dyDescent="0.25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>VLOOKUP(F1214,'Customer Info'!$A:$B,2,0)</f>
        <v>Victor</v>
      </c>
      <c r="H1214" s="6" t="str">
        <f>VLOOKUP(F1214,'Customer Info'!$A$1:$C$501,3,0)</f>
        <v>Preis</v>
      </c>
      <c r="I1214" s="6" t="str">
        <f>VLOOKUP(F1214,Customer,5,0)</f>
        <v>Melbourne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38124</v>
      </c>
      <c r="O1214" s="2">
        <v>92</v>
      </c>
      <c r="P1214" s="8">
        <f t="shared" si="92"/>
        <v>38216</v>
      </c>
      <c r="Q1214" s="8">
        <f t="shared" si="93"/>
        <v>3510</v>
      </c>
      <c r="R1214" s="2" t="s">
        <v>28</v>
      </c>
      <c r="S1214" s="24">
        <f t="shared" si="94"/>
        <v>7.0000000000000007E-2</v>
      </c>
    </row>
    <row r="1215" spans="1:19" x14ac:dyDescent="0.25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>VLOOKUP(F1215,'Customer Info'!$A:$B,2,0)</f>
        <v>Nick</v>
      </c>
      <c r="H1215" s="6" t="str">
        <f>VLOOKUP(F1215,'Customer Info'!$A$1:$C$501,3,0)</f>
        <v>Zandusky</v>
      </c>
      <c r="I1215" s="6" t="str">
        <f>VLOOKUP(F1215,Customer,5,0)</f>
        <v>Surabaya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5494</v>
      </c>
      <c r="O1215" s="2">
        <v>77</v>
      </c>
      <c r="P1215" s="8">
        <f t="shared" si="92"/>
        <v>5571</v>
      </c>
      <c r="Q1215" s="8">
        <f t="shared" si="93"/>
        <v>404</v>
      </c>
      <c r="R1215" s="2" t="s">
        <v>28</v>
      </c>
      <c r="S1215" s="24">
        <f t="shared" si="94"/>
        <v>0.05</v>
      </c>
    </row>
    <row r="1216" spans="1:19" x14ac:dyDescent="0.25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>VLOOKUP(F1216,'Customer Info'!$A:$B,2,0)</f>
        <v>Dionis</v>
      </c>
      <c r="H1216" s="6" t="str">
        <f>VLOOKUP(F1216,'Customer Info'!$A$1:$C$501,3,0)</f>
        <v>Lloyd</v>
      </c>
      <c r="I1216" s="6" t="str">
        <f>VLOOKUP(F1216,Customer,5,0)</f>
        <v>Kamarhati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674</v>
      </c>
      <c r="O1216" s="2">
        <v>43</v>
      </c>
      <c r="P1216" s="8">
        <f t="shared" si="92"/>
        <v>717</v>
      </c>
      <c r="Q1216" s="8">
        <f t="shared" si="93"/>
        <v>45</v>
      </c>
      <c r="R1216" s="2" t="s">
        <v>50</v>
      </c>
      <c r="S1216" s="24">
        <f t="shared" si="94"/>
        <v>0.02</v>
      </c>
    </row>
    <row r="1217" spans="1:19" x14ac:dyDescent="0.25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>VLOOKUP(F1217,'Customer Info'!$A:$B,2,0)</f>
        <v>Stuart</v>
      </c>
      <c r="H1217" s="6" t="str">
        <f>VLOOKUP(F1217,'Customer Info'!$A$1:$C$501,3,0)</f>
        <v>Calhoun</v>
      </c>
      <c r="I1217" s="6" t="str">
        <f>VLOOKUP(F1217,Customer,5,0)</f>
        <v>Raipur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1925</v>
      </c>
      <c r="O1217" s="2">
        <v>33</v>
      </c>
      <c r="P1217" s="8">
        <f t="shared" si="92"/>
        <v>1958</v>
      </c>
      <c r="Q1217" s="8">
        <f t="shared" si="93"/>
        <v>91</v>
      </c>
      <c r="R1217" s="2" t="s">
        <v>26</v>
      </c>
      <c r="S1217" s="24">
        <f t="shared" si="94"/>
        <v>0.02</v>
      </c>
    </row>
    <row r="1218" spans="1:19" x14ac:dyDescent="0.25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>VLOOKUP(F1218,'Customer Info'!$A:$B,2,0)</f>
        <v>Cari</v>
      </c>
      <c r="H1218" s="6" t="str">
        <f>VLOOKUP(F1218,'Customer Info'!$A$1:$C$501,3,0)</f>
        <v>MacIntyre</v>
      </c>
      <c r="I1218" s="6" t="str">
        <f>VLOOKUP(F1218,Customer,5,0)</f>
        <v>Suzhou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316</v>
      </c>
      <c r="O1218" s="2">
        <v>10</v>
      </c>
      <c r="P1218" s="8">
        <f t="shared" si="92"/>
        <v>326</v>
      </c>
      <c r="Q1218" s="8">
        <f t="shared" si="93"/>
        <v>16</v>
      </c>
      <c r="R1218" s="2" t="s">
        <v>50</v>
      </c>
      <c r="S1218" s="24">
        <f t="shared" si="94"/>
        <v>0.02</v>
      </c>
    </row>
    <row r="1219" spans="1:19" x14ac:dyDescent="0.25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>VLOOKUP(F1219,'Customer Info'!$A:$B,2,0)</f>
        <v>Lindsay</v>
      </c>
      <c r="H1219" s="6" t="str">
        <f>VLOOKUP(F1219,'Customer Info'!$A$1:$C$501,3,0)</f>
        <v>Shagiari</v>
      </c>
      <c r="I1219" s="6" t="str">
        <f>VLOOKUP(F1219,Customer,5,0)</f>
        <v>Canberra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2700</v>
      </c>
      <c r="O1219" s="2">
        <v>98</v>
      </c>
      <c r="P1219" s="8">
        <f t="shared" si="92"/>
        <v>2798</v>
      </c>
      <c r="Q1219" s="8">
        <f t="shared" si="93"/>
        <v>198</v>
      </c>
      <c r="R1219" s="2" t="s">
        <v>28</v>
      </c>
      <c r="S1219" s="24">
        <f t="shared" si="94"/>
        <v>0.02</v>
      </c>
    </row>
    <row r="1220" spans="1:19" x14ac:dyDescent="0.25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>VLOOKUP(F1220,'Customer Info'!$A:$B,2,0)</f>
        <v>Xylona</v>
      </c>
      <c r="H1220" s="6" t="str">
        <f>VLOOKUP(F1220,'Customer Info'!$A$1:$C$501,3,0)</f>
        <v>Preis</v>
      </c>
      <c r="I1220" s="6" t="str">
        <f>VLOOKUP(F1220,Customer,5,0)</f>
        <v>Suining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30436</v>
      </c>
      <c r="O1220" s="2">
        <v>55</v>
      </c>
      <c r="P1220" s="8">
        <f t="shared" si="92"/>
        <v>30491</v>
      </c>
      <c r="Q1220" s="8">
        <f t="shared" si="93"/>
        <v>1444</v>
      </c>
      <c r="R1220" s="2" t="s">
        <v>28</v>
      </c>
      <c r="S1220" s="24">
        <f t="shared" si="94"/>
        <v>7.0000000000000007E-2</v>
      </c>
    </row>
    <row r="1221" spans="1:19" x14ac:dyDescent="0.25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>VLOOKUP(F1221,'Customer Info'!$A:$B,2,0)</f>
        <v>Cathy</v>
      </c>
      <c r="H1221" s="6" t="str">
        <f>VLOOKUP(F1221,'Customer Info'!$A$1:$C$501,3,0)</f>
        <v>Hwang</v>
      </c>
      <c r="I1221" s="6" t="str">
        <f>VLOOKUP(F1221,Customer,5,0)</f>
        <v>Ballarat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895</v>
      </c>
      <c r="O1221" s="2">
        <v>30</v>
      </c>
      <c r="P1221" s="8">
        <f t="shared" si="92"/>
        <v>925</v>
      </c>
      <c r="Q1221" s="8">
        <f t="shared" si="93"/>
        <v>40</v>
      </c>
      <c r="R1221" s="2" t="s">
        <v>50</v>
      </c>
      <c r="S1221" s="24">
        <f t="shared" si="94"/>
        <v>0.02</v>
      </c>
    </row>
    <row r="1222" spans="1:19" x14ac:dyDescent="0.25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>VLOOKUP(F1222,'Customer Info'!$A:$B,2,0)</f>
        <v>Carl</v>
      </c>
      <c r="H1222" s="6" t="str">
        <f>VLOOKUP(F1222,'Customer Info'!$A$1:$C$501,3,0)</f>
        <v>Weiss</v>
      </c>
      <c r="I1222" s="6" t="str">
        <f>VLOOKUP(F1222,Customer,5,0)</f>
        <v>Delhi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11250</v>
      </c>
      <c r="O1222" s="2">
        <v>74</v>
      </c>
      <c r="P1222" s="8">
        <f t="shared" si="92"/>
        <v>11324</v>
      </c>
      <c r="Q1222" s="8">
        <f t="shared" si="93"/>
        <v>850</v>
      </c>
      <c r="R1222" s="2" t="s">
        <v>26</v>
      </c>
      <c r="S1222" s="24">
        <f t="shared" si="94"/>
        <v>0.05</v>
      </c>
    </row>
    <row r="1223" spans="1:19" x14ac:dyDescent="0.25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>VLOOKUP(F1223,'Customer Info'!$A:$B,2,0)</f>
        <v>John</v>
      </c>
      <c r="H1223" s="6" t="str">
        <f>VLOOKUP(F1223,'Customer Info'!$A$1:$C$501,3,0)</f>
        <v>Huston</v>
      </c>
      <c r="I1223" s="6" t="str">
        <f>VLOOKUP(F1223,Customer,5,0)</f>
        <v>Jena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1246</v>
      </c>
      <c r="O1223" s="2">
        <v>47</v>
      </c>
      <c r="P1223" s="8">
        <f t="shared" si="92"/>
        <v>1293</v>
      </c>
      <c r="Q1223" s="8">
        <f t="shared" si="93"/>
        <v>82</v>
      </c>
      <c r="R1223" s="2" t="s">
        <v>50</v>
      </c>
      <c r="S1223" s="24">
        <f t="shared" si="94"/>
        <v>0.02</v>
      </c>
    </row>
    <row r="1224" spans="1:19" x14ac:dyDescent="0.25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>VLOOKUP(F1224,'Customer Info'!$A:$B,2,0)</f>
        <v>Tamara</v>
      </c>
      <c r="H1224" s="6" t="str">
        <f>VLOOKUP(F1224,'Customer Info'!$A$1:$C$501,3,0)</f>
        <v>Willingham</v>
      </c>
      <c r="I1224" s="6" t="str">
        <f>VLOOKUP(F1224,Customer,5,0)</f>
        <v>Sindelfingen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214</v>
      </c>
      <c r="O1224" s="2">
        <v>68</v>
      </c>
      <c r="P1224" s="8">
        <f t="shared" si="92"/>
        <v>282</v>
      </c>
      <c r="Q1224" s="8">
        <f t="shared" si="93"/>
        <v>14</v>
      </c>
      <c r="R1224" s="2" t="s">
        <v>50</v>
      </c>
      <c r="S1224" s="24">
        <f t="shared" si="94"/>
        <v>0.02</v>
      </c>
    </row>
    <row r="1225" spans="1:19" x14ac:dyDescent="0.25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>VLOOKUP(F1225,'Customer Info'!$A:$B,2,0)</f>
        <v>Darren</v>
      </c>
      <c r="H1225" s="6" t="str">
        <f>VLOOKUP(F1225,'Customer Info'!$A$1:$C$501,3,0)</f>
        <v>Budd</v>
      </c>
      <c r="I1225" s="6" t="str">
        <f>VLOOKUP(F1225,Customer,5,0)</f>
        <v>Jakarta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154</v>
      </c>
      <c r="O1225" s="2">
        <v>10</v>
      </c>
      <c r="P1225" s="8">
        <f t="shared" si="92"/>
        <v>164</v>
      </c>
      <c r="Q1225" s="8">
        <f t="shared" si="93"/>
        <v>8</v>
      </c>
      <c r="R1225" s="2" t="s">
        <v>26</v>
      </c>
      <c r="S1225" s="24">
        <f t="shared" si="94"/>
        <v>0.02</v>
      </c>
    </row>
    <row r="1226" spans="1:19" x14ac:dyDescent="0.25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>VLOOKUP(F1226,'Customer Info'!$A:$B,2,0)</f>
        <v>Shaun</v>
      </c>
      <c r="H1226" s="6" t="str">
        <f>VLOOKUP(F1226,'Customer Info'!$A$1:$C$501,3,0)</f>
        <v>Weien</v>
      </c>
      <c r="I1226" s="6" t="str">
        <f>VLOOKUP(F1226,Customer,5,0)</f>
        <v>Medan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360</v>
      </c>
      <c r="O1226" s="2">
        <v>10</v>
      </c>
      <c r="P1226" s="8">
        <f t="shared" si="92"/>
        <v>370</v>
      </c>
      <c r="Q1226" s="8">
        <f t="shared" si="93"/>
        <v>36</v>
      </c>
      <c r="R1226" s="2" t="s">
        <v>50</v>
      </c>
      <c r="S1226" s="24">
        <f t="shared" si="94"/>
        <v>0.02</v>
      </c>
    </row>
    <row r="1227" spans="1:19" x14ac:dyDescent="0.25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>VLOOKUP(F1227,'Customer Info'!$A:$B,2,0)</f>
        <v>John</v>
      </c>
      <c r="H1227" s="6" t="str">
        <f>VLOOKUP(F1227,'Customer Info'!$A$1:$C$501,3,0)</f>
        <v>Grady</v>
      </c>
      <c r="I1227" s="6" t="str">
        <f>VLOOKUP(F1227,Customer,5,0)</f>
        <v>Queanbeyan</v>
      </c>
      <c r="J1227" s="2">
        <v>1399</v>
      </c>
      <c r="K1227" s="2">
        <v>1308</v>
      </c>
      <c r="L1227" s="2">
        <v>1</v>
      </c>
      <c r="M1227" s="7">
        <f t="shared" ref="M1227:M1290" si="95">K1227*L1227</f>
        <v>1308</v>
      </c>
      <c r="N1227" s="7">
        <f t="shared" ref="N1227:N1290" si="96">J1227*L1227</f>
        <v>1399</v>
      </c>
      <c r="O1227" s="2">
        <v>56</v>
      </c>
      <c r="P1227" s="8">
        <f t="shared" ref="P1227:P1290" si="97">N1227+O1227</f>
        <v>1455</v>
      </c>
      <c r="Q1227" s="8">
        <f t="shared" ref="Q1227:Q1290" si="98">N1227-M1227</f>
        <v>91</v>
      </c>
      <c r="R1227" s="2" t="s">
        <v>50</v>
      </c>
      <c r="S1227" s="24">
        <f t="shared" ref="S1227:S1290" si="99">VLOOKUP(N1227,$T$1:$U$7,2,TRUE)</f>
        <v>0.02</v>
      </c>
    </row>
    <row r="1228" spans="1:19" x14ac:dyDescent="0.25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>VLOOKUP(F1228,'Customer Info'!$A:$B,2,0)</f>
        <v>Julie</v>
      </c>
      <c r="H1228" s="6" t="str">
        <f>VLOOKUP(F1228,'Customer Info'!$A$1:$C$501,3,0)</f>
        <v>Prescott</v>
      </c>
      <c r="I1228" s="6" t="str">
        <f>VLOOKUP(F1228,Customer,5,0)</f>
        <v>Norderstedt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8">
        <f t="shared" si="97"/>
        <v>1661</v>
      </c>
      <c r="Q1228" s="8">
        <f t="shared" si="98"/>
        <v>118</v>
      </c>
      <c r="R1228" s="2" t="s">
        <v>28</v>
      </c>
      <c r="S1228" s="24">
        <f t="shared" si="99"/>
        <v>0.02</v>
      </c>
    </row>
    <row r="1229" spans="1:19" x14ac:dyDescent="0.25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>VLOOKUP(F1229,'Customer Info'!$A:$B,2,0)</f>
        <v>Barry</v>
      </c>
      <c r="H1229" s="6" t="str">
        <f>VLOOKUP(F1229,'Customer Info'!$A$1:$C$501,3,0)</f>
        <v>Blumstein</v>
      </c>
      <c r="I1229" s="6" t="str">
        <f>VLOOKUP(F1229,Customer,5,0)</f>
        <v>Gold Coast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8">
        <f t="shared" si="97"/>
        <v>203</v>
      </c>
      <c r="Q1229" s="8">
        <f t="shared" si="98"/>
        <v>18</v>
      </c>
      <c r="R1229" s="2" t="s">
        <v>28</v>
      </c>
      <c r="S1229" s="24">
        <f t="shared" si="99"/>
        <v>0.02</v>
      </c>
    </row>
    <row r="1230" spans="1:19" x14ac:dyDescent="0.25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>VLOOKUP(F1230,'Customer Info'!$A:$B,2,0)</f>
        <v>Maureen</v>
      </c>
      <c r="H1230" s="6" t="str">
        <f>VLOOKUP(F1230,'Customer Info'!$A$1:$C$501,3,0)</f>
        <v>Fritzler</v>
      </c>
      <c r="I1230" s="6" t="str">
        <f>VLOOKUP(F1230,Customer,5,0)</f>
        <v>BadenBaden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8">
        <f t="shared" si="97"/>
        <v>5702</v>
      </c>
      <c r="Q1230" s="8">
        <f t="shared" si="98"/>
        <v>316</v>
      </c>
      <c r="R1230" s="2" t="s">
        <v>26</v>
      </c>
      <c r="S1230" s="24">
        <f t="shared" si="99"/>
        <v>0.05</v>
      </c>
    </row>
    <row r="1231" spans="1:19" x14ac:dyDescent="0.25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>VLOOKUP(F1231,'Customer Info'!$A:$B,2,0)</f>
        <v>Emily</v>
      </c>
      <c r="H1231" s="6" t="str">
        <f>VLOOKUP(F1231,'Customer Info'!$A$1:$C$501,3,0)</f>
        <v>Burns</v>
      </c>
      <c r="I1231" s="6" t="str">
        <f>VLOOKUP(F1231,Customer,5,0)</f>
        <v>Nasik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8">
        <f t="shared" si="97"/>
        <v>12685</v>
      </c>
      <c r="Q1231" s="8">
        <f t="shared" si="98"/>
        <v>590</v>
      </c>
      <c r="R1231" s="2" t="s">
        <v>28</v>
      </c>
      <c r="S1231" s="24">
        <f t="shared" si="99"/>
        <v>0.05</v>
      </c>
    </row>
    <row r="1232" spans="1:19" x14ac:dyDescent="0.25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>VLOOKUP(F1232,'Customer Info'!$A:$B,2,0)</f>
        <v>Hunter</v>
      </c>
      <c r="H1232" s="6" t="str">
        <f>VLOOKUP(F1232,'Customer Info'!$A$1:$C$501,3,0)</f>
        <v>Lopez</v>
      </c>
      <c r="I1232" s="6" t="str">
        <f>VLOOKUP(F1232,Customer,5,0)</f>
        <v>Cuttack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800</v>
      </c>
      <c r="O1232" s="2">
        <v>10</v>
      </c>
      <c r="P1232" s="8">
        <f t="shared" si="97"/>
        <v>810</v>
      </c>
      <c r="Q1232" s="8">
        <f t="shared" si="98"/>
        <v>40</v>
      </c>
      <c r="R1232" s="2" t="s">
        <v>28</v>
      </c>
      <c r="S1232" s="24">
        <f t="shared" si="99"/>
        <v>0.02</v>
      </c>
    </row>
    <row r="1233" spans="1:19" x14ac:dyDescent="0.25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>VLOOKUP(F1233,'Customer Info'!$A:$B,2,0)</f>
        <v>Tamara</v>
      </c>
      <c r="H1233" s="6" t="str">
        <f>VLOOKUP(F1233,'Customer Info'!$A$1:$C$501,3,0)</f>
        <v>Chand</v>
      </c>
      <c r="I1233" s="6" t="str">
        <f>VLOOKUP(F1233,Customer,5,0)</f>
        <v>Yogyakarta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690</v>
      </c>
      <c r="O1233" s="2">
        <v>30</v>
      </c>
      <c r="P1233" s="8">
        <f t="shared" si="97"/>
        <v>720</v>
      </c>
      <c r="Q1233" s="8">
        <f t="shared" si="98"/>
        <v>50</v>
      </c>
      <c r="R1233" s="2" t="s">
        <v>56</v>
      </c>
      <c r="S1233" s="24">
        <f t="shared" si="99"/>
        <v>0.02</v>
      </c>
    </row>
    <row r="1234" spans="1:19" x14ac:dyDescent="0.25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>VLOOKUP(F1234,'Customer Info'!$A:$B,2,0)</f>
        <v>Xylona</v>
      </c>
      <c r="H1234" s="6" t="str">
        <f>VLOOKUP(F1234,'Customer Info'!$A$1:$C$501,3,0)</f>
        <v>Preis</v>
      </c>
      <c r="I1234" s="6" t="str">
        <f>VLOOKUP(F1234,Customer,5,0)</f>
        <v>Suining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149</v>
      </c>
      <c r="O1234" s="2">
        <v>30</v>
      </c>
      <c r="P1234" s="8">
        <f t="shared" si="97"/>
        <v>179</v>
      </c>
      <c r="Q1234" s="8">
        <f t="shared" si="98"/>
        <v>18</v>
      </c>
      <c r="R1234" s="2" t="s">
        <v>28</v>
      </c>
      <c r="S1234" s="24">
        <f t="shared" si="99"/>
        <v>0.02</v>
      </c>
    </row>
    <row r="1235" spans="1:19" x14ac:dyDescent="0.25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>VLOOKUP(F1235,'Customer Info'!$A:$B,2,0)</f>
        <v>Eugene</v>
      </c>
      <c r="H1235" s="6" t="str">
        <f>VLOOKUP(F1235,'Customer Info'!$A$1:$C$501,3,0)</f>
        <v>Barchas</v>
      </c>
      <c r="I1235" s="6" t="str">
        <f>VLOOKUP(F1235,Customer,5,0)</f>
        <v>Aksu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9408</v>
      </c>
      <c r="O1235" s="2">
        <v>90</v>
      </c>
      <c r="P1235" s="8">
        <f t="shared" si="97"/>
        <v>9498</v>
      </c>
      <c r="Q1235" s="8">
        <f t="shared" si="98"/>
        <v>686</v>
      </c>
      <c r="R1235" s="2" t="s">
        <v>50</v>
      </c>
      <c r="S1235" s="24">
        <f t="shared" si="99"/>
        <v>0.05</v>
      </c>
    </row>
    <row r="1236" spans="1:19" x14ac:dyDescent="0.25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>VLOOKUP(F1236,'Customer Info'!$A:$B,2,0)</f>
        <v>Brenda</v>
      </c>
      <c r="H1236" s="6" t="str">
        <f>VLOOKUP(F1236,'Customer Info'!$A$1:$C$501,3,0)</f>
        <v>Bowman</v>
      </c>
      <c r="I1236" s="6" t="str">
        <f>VLOOKUP(F1236,Customer,5,0)</f>
        <v>Perth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19833</v>
      </c>
      <c r="O1236" s="2">
        <v>99</v>
      </c>
      <c r="P1236" s="8">
        <f t="shared" si="97"/>
        <v>19932</v>
      </c>
      <c r="Q1236" s="8">
        <f t="shared" si="98"/>
        <v>2004</v>
      </c>
      <c r="R1236" s="2" t="s">
        <v>28</v>
      </c>
      <c r="S1236" s="24">
        <f t="shared" si="99"/>
        <v>0.05</v>
      </c>
    </row>
    <row r="1237" spans="1:19" x14ac:dyDescent="0.25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>VLOOKUP(F1237,'Customer Info'!$A:$B,2,0)</f>
        <v>Joy</v>
      </c>
      <c r="H1237" s="6" t="str">
        <f>VLOOKUP(F1237,'Customer Info'!$A$1:$C$501,3,0)</f>
        <v>Bell</v>
      </c>
      <c r="I1237" s="6" t="str">
        <f>VLOOKUP(F1237,Customer,5,0)</f>
        <v>Tongchuan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13062</v>
      </c>
      <c r="O1237" s="2">
        <v>98</v>
      </c>
      <c r="P1237" s="8">
        <f t="shared" si="97"/>
        <v>13160</v>
      </c>
      <c r="Q1237" s="8">
        <f t="shared" si="98"/>
        <v>738</v>
      </c>
      <c r="R1237" s="2" t="s">
        <v>28</v>
      </c>
      <c r="S1237" s="24">
        <f t="shared" si="99"/>
        <v>0.05</v>
      </c>
    </row>
    <row r="1238" spans="1:19" x14ac:dyDescent="0.25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>VLOOKUP(F1238,'Customer Info'!$A:$B,2,0)</f>
        <v>Dave</v>
      </c>
      <c r="H1238" s="6" t="str">
        <f>VLOOKUP(F1238,'Customer Info'!$A$1:$C$501,3,0)</f>
        <v>Poirier</v>
      </c>
      <c r="I1238" s="6" t="str">
        <f>VLOOKUP(F1238,Customer,5,0)</f>
        <v>Changchun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3876</v>
      </c>
      <c r="O1238" s="2">
        <v>95</v>
      </c>
      <c r="P1238" s="8">
        <f t="shared" si="97"/>
        <v>3971</v>
      </c>
      <c r="Q1238" s="8">
        <f t="shared" si="98"/>
        <v>321</v>
      </c>
      <c r="R1238" s="2" t="s">
        <v>28</v>
      </c>
      <c r="S1238" s="24">
        <f t="shared" si="99"/>
        <v>0.02</v>
      </c>
    </row>
    <row r="1239" spans="1:19" x14ac:dyDescent="0.25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>VLOOKUP(F1239,'Customer Info'!$A:$B,2,0)</f>
        <v>Philip</v>
      </c>
      <c r="H1239" s="6" t="str">
        <f>VLOOKUP(F1239,'Customer Info'!$A$1:$C$501,3,0)</f>
        <v>Brown</v>
      </c>
      <c r="I1239" s="6" t="str">
        <f>VLOOKUP(F1239,Customer,5,0)</f>
        <v>Binjai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1824</v>
      </c>
      <c r="O1239" s="2">
        <v>46</v>
      </c>
      <c r="P1239" s="8">
        <f t="shared" si="97"/>
        <v>1870</v>
      </c>
      <c r="Q1239" s="8">
        <f t="shared" si="98"/>
        <v>104</v>
      </c>
      <c r="R1239" s="2" t="s">
        <v>26</v>
      </c>
      <c r="S1239" s="24">
        <f t="shared" si="99"/>
        <v>0.02</v>
      </c>
    </row>
    <row r="1240" spans="1:19" x14ac:dyDescent="0.25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>VLOOKUP(F1240,'Customer Info'!$A:$B,2,0)</f>
        <v>Jenna</v>
      </c>
      <c r="H1240" s="6" t="str">
        <f>VLOOKUP(F1240,'Customer Info'!$A$1:$C$501,3,0)</f>
        <v>Caffey</v>
      </c>
      <c r="I1240" s="6" t="str">
        <f>VLOOKUP(F1240,Customer,5,0)</f>
        <v>Kanpur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932</v>
      </c>
      <c r="O1240" s="2">
        <v>85</v>
      </c>
      <c r="P1240" s="8">
        <f t="shared" si="97"/>
        <v>1017</v>
      </c>
      <c r="Q1240" s="8">
        <f t="shared" si="98"/>
        <v>94</v>
      </c>
      <c r="R1240" s="2" t="s">
        <v>28</v>
      </c>
      <c r="S1240" s="24">
        <f t="shared" si="99"/>
        <v>0.02</v>
      </c>
    </row>
    <row r="1241" spans="1:19" x14ac:dyDescent="0.25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>VLOOKUP(F1241,'Customer Info'!$A:$B,2,0)</f>
        <v>Natalie</v>
      </c>
      <c r="H1241" s="6" t="str">
        <f>VLOOKUP(F1241,'Customer Info'!$A$1:$C$501,3,0)</f>
        <v>Webber</v>
      </c>
      <c r="I1241" s="6" t="str">
        <f>VLOOKUP(F1241,Customer,5,0)</f>
        <v>Ningbo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47658</v>
      </c>
      <c r="O1241" s="2">
        <v>29</v>
      </c>
      <c r="P1241" s="8">
        <f t="shared" si="97"/>
        <v>47687</v>
      </c>
      <c r="Q1241" s="8">
        <f t="shared" si="98"/>
        <v>918</v>
      </c>
      <c r="R1241" s="2" t="s">
        <v>28</v>
      </c>
      <c r="S1241" s="24">
        <f t="shared" si="99"/>
        <v>7.0000000000000007E-2</v>
      </c>
    </row>
    <row r="1242" spans="1:19" x14ac:dyDescent="0.25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>VLOOKUP(F1242,'Customer Info'!$A:$B,2,0)</f>
        <v>Steven</v>
      </c>
      <c r="H1242" s="6" t="str">
        <f>VLOOKUP(F1242,'Customer Info'!$A$1:$C$501,3,0)</f>
        <v>Roelle</v>
      </c>
      <c r="I1242" s="6" t="str">
        <f>VLOOKUP(F1242,Customer,5,0)</f>
        <v>Bonn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1399</v>
      </c>
      <c r="O1242" s="2">
        <v>84</v>
      </c>
      <c r="P1242" s="8">
        <f t="shared" si="97"/>
        <v>1483</v>
      </c>
      <c r="Q1242" s="8">
        <f t="shared" si="98"/>
        <v>91</v>
      </c>
      <c r="R1242" s="2" t="s">
        <v>28</v>
      </c>
      <c r="S1242" s="24">
        <f t="shared" si="99"/>
        <v>0.02</v>
      </c>
    </row>
    <row r="1243" spans="1:19" x14ac:dyDescent="0.25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>VLOOKUP(F1243,'Customer Info'!$A:$B,2,0)</f>
        <v>Kelly</v>
      </c>
      <c r="H1243" s="6" t="str">
        <f>VLOOKUP(F1243,'Customer Info'!$A$1:$C$501,3,0)</f>
        <v>Williams</v>
      </c>
      <c r="I1243" s="6" t="str">
        <f>VLOOKUP(F1243,Customer,5,0)</f>
        <v>Sydney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5080</v>
      </c>
      <c r="O1243" s="2">
        <v>48</v>
      </c>
      <c r="P1243" s="8">
        <f t="shared" si="97"/>
        <v>5128</v>
      </c>
      <c r="Q1243" s="8">
        <f t="shared" si="98"/>
        <v>286</v>
      </c>
      <c r="R1243" s="2" t="s">
        <v>28</v>
      </c>
      <c r="S1243" s="24">
        <f t="shared" si="99"/>
        <v>0.05</v>
      </c>
    </row>
    <row r="1244" spans="1:19" x14ac:dyDescent="0.25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>VLOOKUP(F1244,'Customer Info'!$A:$B,2,0)</f>
        <v>Mike</v>
      </c>
      <c r="H1244" s="6" t="str">
        <f>VLOOKUP(F1244,'Customer Info'!$A$1:$C$501,3,0)</f>
        <v>Vittorini</v>
      </c>
      <c r="I1244" s="6" t="str">
        <f>VLOOKUP(F1244,Customer,5,0)</f>
        <v>Naihati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184</v>
      </c>
      <c r="O1244" s="2">
        <v>10</v>
      </c>
      <c r="P1244" s="8">
        <f t="shared" si="97"/>
        <v>194</v>
      </c>
      <c r="Q1244" s="8">
        <f t="shared" si="98"/>
        <v>20</v>
      </c>
      <c r="R1244" s="2" t="s">
        <v>50</v>
      </c>
      <c r="S1244" s="24">
        <f t="shared" si="99"/>
        <v>0.02</v>
      </c>
    </row>
    <row r="1245" spans="1:19" x14ac:dyDescent="0.25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>VLOOKUP(F1245,'Customer Info'!$A:$B,2,0)</f>
        <v>Carol</v>
      </c>
      <c r="H1245" s="6" t="str">
        <f>VLOOKUP(F1245,'Customer Info'!$A$1:$C$501,3,0)</f>
        <v>Triggs</v>
      </c>
      <c r="I1245" s="6" t="str">
        <f>VLOOKUP(F1245,Customer,5,0)</f>
        <v>Durgapur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26319</v>
      </c>
      <c r="O1245" s="2">
        <v>71</v>
      </c>
      <c r="P1245" s="8">
        <f t="shared" si="97"/>
        <v>26390</v>
      </c>
      <c r="Q1245" s="8">
        <f t="shared" si="98"/>
        <v>1974</v>
      </c>
      <c r="R1245" s="2" t="s">
        <v>50</v>
      </c>
      <c r="S1245" s="24">
        <f t="shared" si="99"/>
        <v>7.0000000000000007E-2</v>
      </c>
    </row>
    <row r="1246" spans="1:19" x14ac:dyDescent="0.25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>VLOOKUP(F1246,'Customer Info'!$A:$B,2,0)</f>
        <v>Brian</v>
      </c>
      <c r="H1246" s="6" t="str">
        <f>VLOOKUP(F1246,'Customer Info'!$A$1:$C$501,3,0)</f>
        <v>Dahlen</v>
      </c>
      <c r="I1246" s="6" t="str">
        <f>VLOOKUP(F1246,Customer,5,0)</f>
        <v>Shantou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3802</v>
      </c>
      <c r="O1246" s="2">
        <v>74</v>
      </c>
      <c r="P1246" s="8">
        <f t="shared" si="97"/>
        <v>3876</v>
      </c>
      <c r="Q1246" s="8">
        <f t="shared" si="98"/>
        <v>182</v>
      </c>
      <c r="R1246" s="2" t="s">
        <v>28</v>
      </c>
      <c r="S1246" s="24">
        <f t="shared" si="99"/>
        <v>0.02</v>
      </c>
    </row>
    <row r="1247" spans="1:19" x14ac:dyDescent="0.25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>VLOOKUP(F1247,'Customer Info'!$A:$B,2,0)</f>
        <v>Barry</v>
      </c>
      <c r="H1247" s="6" t="str">
        <f>VLOOKUP(F1247,'Customer Info'!$A$1:$C$501,3,0)</f>
        <v>Blumstein</v>
      </c>
      <c r="I1247" s="6" t="str">
        <f>VLOOKUP(F1247,Customer,5,0)</f>
        <v>Toowoomba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144</v>
      </c>
      <c r="O1247" s="2">
        <v>30</v>
      </c>
      <c r="P1247" s="8">
        <f t="shared" si="97"/>
        <v>174</v>
      </c>
      <c r="Q1247" s="8">
        <f t="shared" si="98"/>
        <v>12</v>
      </c>
      <c r="R1247" s="2" t="s">
        <v>28</v>
      </c>
      <c r="S1247" s="24">
        <f t="shared" si="99"/>
        <v>0.02</v>
      </c>
    </row>
    <row r="1248" spans="1:19" x14ac:dyDescent="0.25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>VLOOKUP(F1248,'Customer Info'!$A:$B,2,0)</f>
        <v>David</v>
      </c>
      <c r="H1248" s="6" t="str">
        <f>VLOOKUP(F1248,'Customer Info'!$A$1:$C$501,3,0)</f>
        <v>Smith</v>
      </c>
      <c r="I1248" s="6" t="str">
        <f>VLOOKUP(F1248,Customer,5,0)</f>
        <v>Surat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4554</v>
      </c>
      <c r="O1248" s="2">
        <v>52</v>
      </c>
      <c r="P1248" s="8">
        <f t="shared" si="97"/>
        <v>4606</v>
      </c>
      <c r="Q1248" s="8">
        <f t="shared" si="98"/>
        <v>336</v>
      </c>
      <c r="R1248" s="2" t="s">
        <v>50</v>
      </c>
      <c r="S1248" s="24">
        <f t="shared" si="99"/>
        <v>0.02</v>
      </c>
    </row>
    <row r="1249" spans="1:19" x14ac:dyDescent="0.25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>VLOOKUP(F1249,'Customer Info'!$A:$B,2,0)</f>
        <v>Ionia</v>
      </c>
      <c r="H1249" s="6" t="str">
        <f>VLOOKUP(F1249,'Customer Info'!$A$1:$C$501,3,0)</f>
        <v>McGrath</v>
      </c>
      <c r="I1249" s="6" t="str">
        <f>VLOOKUP(F1249,Customer,5,0)</f>
        <v>Dormagen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2273</v>
      </c>
      <c r="O1249" s="2">
        <v>37</v>
      </c>
      <c r="P1249" s="8">
        <f t="shared" si="97"/>
        <v>2310</v>
      </c>
      <c r="Q1249" s="8">
        <f t="shared" si="98"/>
        <v>44</v>
      </c>
      <c r="R1249" s="2" t="s">
        <v>50</v>
      </c>
      <c r="S1249" s="24">
        <f t="shared" si="99"/>
        <v>0.02</v>
      </c>
    </row>
    <row r="1250" spans="1:19" x14ac:dyDescent="0.25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>VLOOKUP(F1250,'Customer Info'!$A:$B,2,0)</f>
        <v>Tom</v>
      </c>
      <c r="H1250" s="6" t="str">
        <f>VLOOKUP(F1250,'Customer Info'!$A$1:$C$501,3,0)</f>
        <v>Zandusky</v>
      </c>
      <c r="I1250" s="6" t="str">
        <f>VLOOKUP(F1250,Customer,5,0)</f>
        <v>Hobart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5652</v>
      </c>
      <c r="O1250" s="2">
        <v>56</v>
      </c>
      <c r="P1250" s="8">
        <f t="shared" si="97"/>
        <v>5708</v>
      </c>
      <c r="Q1250" s="8">
        <f t="shared" si="98"/>
        <v>316</v>
      </c>
      <c r="R1250" s="2" t="s">
        <v>50</v>
      </c>
      <c r="S1250" s="24">
        <f t="shared" si="99"/>
        <v>0.05</v>
      </c>
    </row>
    <row r="1251" spans="1:19" x14ac:dyDescent="0.25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>VLOOKUP(F1251,'Customer Info'!$A:$B,2,0)</f>
        <v>Natalie</v>
      </c>
      <c r="H1251" s="6" t="str">
        <f>VLOOKUP(F1251,'Customer Info'!$A$1:$C$501,3,0)</f>
        <v>DeCherney</v>
      </c>
      <c r="I1251" s="6" t="str">
        <f>VLOOKUP(F1251,Customer,5,0)</f>
        <v>Anqing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2796</v>
      </c>
      <c r="O1251" s="2">
        <v>88</v>
      </c>
      <c r="P1251" s="8">
        <f t="shared" si="97"/>
        <v>2884</v>
      </c>
      <c r="Q1251" s="8">
        <f t="shared" si="98"/>
        <v>282</v>
      </c>
      <c r="R1251" s="2" t="s">
        <v>50</v>
      </c>
      <c r="S1251" s="24">
        <f t="shared" si="99"/>
        <v>0.02</v>
      </c>
    </row>
    <row r="1252" spans="1:19" x14ac:dyDescent="0.25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>VLOOKUP(F1252,'Customer Info'!$A:$B,2,0)</f>
        <v>Arthur</v>
      </c>
      <c r="H1252" s="6" t="str">
        <f>VLOOKUP(F1252,'Customer Info'!$A$1:$C$501,3,0)</f>
        <v>Prichep</v>
      </c>
      <c r="I1252" s="6" t="str">
        <f>VLOOKUP(F1252,Customer,5,0)</f>
        <v>Minden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3632</v>
      </c>
      <c r="O1252" s="2">
        <v>84</v>
      </c>
      <c r="P1252" s="8">
        <f t="shared" si="97"/>
        <v>3716</v>
      </c>
      <c r="Q1252" s="8">
        <f t="shared" si="98"/>
        <v>234</v>
      </c>
      <c r="R1252" s="2" t="s">
        <v>26</v>
      </c>
      <c r="S1252" s="24">
        <f t="shared" si="99"/>
        <v>0.02</v>
      </c>
    </row>
    <row r="1253" spans="1:19" x14ac:dyDescent="0.25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>VLOOKUP(F1253,'Customer Info'!$A:$B,2,0)</f>
        <v>Maureen</v>
      </c>
      <c r="H1253" s="6" t="str">
        <f>VLOOKUP(F1253,'Customer Info'!$A$1:$C$501,3,0)</f>
        <v>Gastineau</v>
      </c>
      <c r="I1253" s="6" t="str">
        <f>VLOOKUP(F1253,Customer,5,0)</f>
        <v>Melton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69</v>
      </c>
      <c r="O1253" s="2">
        <v>10</v>
      </c>
      <c r="P1253" s="8">
        <f t="shared" si="97"/>
        <v>79</v>
      </c>
      <c r="Q1253" s="8">
        <f t="shared" si="98"/>
        <v>5</v>
      </c>
      <c r="R1253" s="2" t="s">
        <v>28</v>
      </c>
      <c r="S1253" s="24">
        <f t="shared" si="99"/>
        <v>0.02</v>
      </c>
    </row>
    <row r="1254" spans="1:19" x14ac:dyDescent="0.25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>VLOOKUP(F1254,'Customer Info'!$A:$B,2,0)</f>
        <v>Barry</v>
      </c>
      <c r="H1254" s="6" t="str">
        <f>VLOOKUP(F1254,'Customer Info'!$A$1:$C$501,3,0)</f>
        <v>Blumstein</v>
      </c>
      <c r="I1254" s="6" t="str">
        <f>VLOOKUP(F1254,Customer,5,0)</f>
        <v>Gold Coast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69</v>
      </c>
      <c r="O1254" s="2">
        <v>10</v>
      </c>
      <c r="P1254" s="8">
        <f t="shared" si="97"/>
        <v>79</v>
      </c>
      <c r="Q1254" s="8">
        <f t="shared" si="98"/>
        <v>5</v>
      </c>
      <c r="R1254" s="2" t="s">
        <v>28</v>
      </c>
      <c r="S1254" s="24">
        <f t="shared" si="99"/>
        <v>0.02</v>
      </c>
    </row>
    <row r="1255" spans="1:19" x14ac:dyDescent="0.25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>VLOOKUP(F1255,'Customer Info'!$A:$B,2,0)</f>
        <v>Anna</v>
      </c>
      <c r="H1255" s="6" t="str">
        <f>VLOOKUP(F1255,'Customer Info'!$A$1:$C$501,3,0)</f>
        <v>Gayman</v>
      </c>
      <c r="I1255" s="6" t="str">
        <f>VLOOKUP(F1255,Customer,5,0)</f>
        <v>Jakarta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3170</v>
      </c>
      <c r="O1255" s="2">
        <v>92</v>
      </c>
      <c r="P1255" s="8">
        <f t="shared" si="97"/>
        <v>3262</v>
      </c>
      <c r="Q1255" s="8">
        <f t="shared" si="98"/>
        <v>180</v>
      </c>
      <c r="R1255" s="2" t="s">
        <v>28</v>
      </c>
      <c r="S1255" s="24">
        <f t="shared" si="99"/>
        <v>0.02</v>
      </c>
    </row>
    <row r="1256" spans="1:19" x14ac:dyDescent="0.25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>VLOOKUP(F1256,'Customer Info'!$A:$B,2,0)</f>
        <v>Brooke</v>
      </c>
      <c r="H1256" s="6" t="str">
        <f>VLOOKUP(F1256,'Customer Info'!$A$1:$C$501,3,0)</f>
        <v>Gillingham</v>
      </c>
      <c r="I1256" s="6" t="str">
        <f>VLOOKUP(F1256,Customer,5,0)</f>
        <v>Geraldton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28260</v>
      </c>
      <c r="O1256" s="2">
        <v>39</v>
      </c>
      <c r="P1256" s="8">
        <f t="shared" si="97"/>
        <v>28299</v>
      </c>
      <c r="Q1256" s="8">
        <f t="shared" si="98"/>
        <v>2080</v>
      </c>
      <c r="R1256" s="2" t="s">
        <v>28</v>
      </c>
      <c r="S1256" s="24">
        <f t="shared" si="99"/>
        <v>7.0000000000000007E-2</v>
      </c>
    </row>
    <row r="1257" spans="1:19" x14ac:dyDescent="0.25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>VLOOKUP(F1257,'Customer Info'!$A:$B,2,0)</f>
        <v>Natalie</v>
      </c>
      <c r="H1257" s="6" t="str">
        <f>VLOOKUP(F1257,'Customer Info'!$A$1:$C$501,3,0)</f>
        <v>Webber</v>
      </c>
      <c r="I1257" s="6" t="str">
        <f>VLOOKUP(F1257,Customer,5,0)</f>
        <v>Ningbo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1790</v>
      </c>
      <c r="O1257" s="2">
        <v>100</v>
      </c>
      <c r="P1257" s="8">
        <f t="shared" si="97"/>
        <v>1890</v>
      </c>
      <c r="Q1257" s="8">
        <f t="shared" si="98"/>
        <v>84</v>
      </c>
      <c r="R1257" s="2" t="s">
        <v>50</v>
      </c>
      <c r="S1257" s="24">
        <f t="shared" si="99"/>
        <v>0.02</v>
      </c>
    </row>
    <row r="1258" spans="1:19" x14ac:dyDescent="0.25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>VLOOKUP(F1258,'Customer Info'!$A:$B,2,0)</f>
        <v>Shui</v>
      </c>
      <c r="H1258" s="6" t="str">
        <f>VLOOKUP(F1258,'Customer Info'!$A$1:$C$501,3,0)</f>
        <v>Tom</v>
      </c>
      <c r="I1258" s="6" t="str">
        <f>VLOOKUP(F1258,Customer,5,0)</f>
        <v>Jakarta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3408</v>
      </c>
      <c r="O1258" s="2">
        <v>27</v>
      </c>
      <c r="P1258" s="8">
        <f t="shared" si="97"/>
        <v>3435</v>
      </c>
      <c r="Q1258" s="8">
        <f t="shared" si="98"/>
        <v>160</v>
      </c>
      <c r="R1258" s="2" t="s">
        <v>50</v>
      </c>
      <c r="S1258" s="24">
        <f t="shared" si="99"/>
        <v>0.02</v>
      </c>
    </row>
    <row r="1259" spans="1:19" x14ac:dyDescent="0.25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>VLOOKUP(F1259,'Customer Info'!$A:$B,2,0)</f>
        <v>Ralph</v>
      </c>
      <c r="H1259" s="6" t="str">
        <f>VLOOKUP(F1259,'Customer Info'!$A$1:$C$501,3,0)</f>
        <v>Arnett</v>
      </c>
      <c r="I1259" s="6" t="str">
        <f>VLOOKUP(F1259,Customer,5,0)</f>
        <v>Shenyang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2964</v>
      </c>
      <c r="O1259" s="2">
        <v>44</v>
      </c>
      <c r="P1259" s="8">
        <f t="shared" si="97"/>
        <v>3008</v>
      </c>
      <c r="Q1259" s="8">
        <f t="shared" si="98"/>
        <v>58</v>
      </c>
      <c r="R1259" s="2" t="s">
        <v>28</v>
      </c>
      <c r="S1259" s="24">
        <f t="shared" si="99"/>
        <v>0.02</v>
      </c>
    </row>
    <row r="1260" spans="1:19" x14ac:dyDescent="0.25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>VLOOKUP(F1260,'Customer Info'!$A:$B,2,0)</f>
        <v>Justin</v>
      </c>
      <c r="H1260" s="6" t="str">
        <f>VLOOKUP(F1260,'Customer Info'!$A$1:$C$501,3,0)</f>
        <v>Deggeller</v>
      </c>
      <c r="I1260" s="6" t="str">
        <f>VLOOKUP(F1260,Customer,5,0)</f>
        <v>Gawler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1336</v>
      </c>
      <c r="O1260" s="2">
        <v>30</v>
      </c>
      <c r="P1260" s="8">
        <f t="shared" si="97"/>
        <v>1366</v>
      </c>
      <c r="Q1260" s="8">
        <f t="shared" si="98"/>
        <v>120</v>
      </c>
      <c r="R1260" s="2" t="s">
        <v>50</v>
      </c>
      <c r="S1260" s="24">
        <f t="shared" si="99"/>
        <v>0.02</v>
      </c>
    </row>
    <row r="1261" spans="1:19" x14ac:dyDescent="0.25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>VLOOKUP(F1261,'Customer Info'!$A:$B,2,0)</f>
        <v>Logan</v>
      </c>
      <c r="H1261" s="6" t="str">
        <f>VLOOKUP(F1261,'Customer Info'!$A$1:$C$501,3,0)</f>
        <v>Currie</v>
      </c>
      <c r="I1261" s="6" t="str">
        <f>VLOOKUP(F1261,Customer,5,0)</f>
        <v>Anshan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3395</v>
      </c>
      <c r="O1261" s="2">
        <v>100</v>
      </c>
      <c r="P1261" s="8">
        <f t="shared" si="97"/>
        <v>3495</v>
      </c>
      <c r="Q1261" s="8">
        <f t="shared" si="98"/>
        <v>125</v>
      </c>
      <c r="R1261" s="2" t="s">
        <v>28</v>
      </c>
      <c r="S1261" s="24">
        <f t="shared" si="99"/>
        <v>0.02</v>
      </c>
    </row>
    <row r="1262" spans="1:19" x14ac:dyDescent="0.25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>VLOOKUP(F1262,'Customer Info'!$A:$B,2,0)</f>
        <v>Victoria</v>
      </c>
      <c r="H1262" s="6" t="str">
        <f>VLOOKUP(F1262,'Customer Info'!$A$1:$C$501,3,0)</f>
        <v>Brennan</v>
      </c>
      <c r="I1262" s="6" t="str">
        <f>VLOOKUP(F1262,Customer,5,0)</f>
        <v>Mangalore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7932</v>
      </c>
      <c r="O1262" s="2">
        <v>59</v>
      </c>
      <c r="P1262" s="8">
        <f t="shared" si="97"/>
        <v>7991</v>
      </c>
      <c r="Q1262" s="8">
        <f t="shared" si="98"/>
        <v>300</v>
      </c>
      <c r="R1262" s="2" t="s">
        <v>28</v>
      </c>
      <c r="S1262" s="24">
        <f t="shared" si="99"/>
        <v>0.05</v>
      </c>
    </row>
    <row r="1263" spans="1:19" x14ac:dyDescent="0.25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>VLOOKUP(F1263,'Customer Info'!$A:$B,2,0)</f>
        <v>Victoria</v>
      </c>
      <c r="H1263" s="6" t="str">
        <f>VLOOKUP(F1263,'Customer Info'!$A$1:$C$501,3,0)</f>
        <v>Wilson</v>
      </c>
      <c r="I1263" s="6" t="str">
        <f>VLOOKUP(F1263,Customer,5,0)</f>
        <v>Berlin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14630</v>
      </c>
      <c r="O1263" s="2">
        <v>82</v>
      </c>
      <c r="P1263" s="8">
        <f t="shared" si="97"/>
        <v>14712</v>
      </c>
      <c r="Q1263" s="8">
        <f t="shared" si="98"/>
        <v>696</v>
      </c>
      <c r="R1263" s="2" t="s">
        <v>26</v>
      </c>
      <c r="S1263" s="24">
        <f t="shared" si="99"/>
        <v>0.05</v>
      </c>
    </row>
    <row r="1264" spans="1:19" x14ac:dyDescent="0.25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>VLOOKUP(F1264,'Customer Info'!$A:$B,2,0)</f>
        <v>Toby</v>
      </c>
      <c r="H1264" s="6" t="str">
        <f>VLOOKUP(F1264,'Customer Info'!$A$1:$C$501,3,0)</f>
        <v>Gnade</v>
      </c>
      <c r="I1264" s="6" t="str">
        <f>VLOOKUP(F1264,Customer,5,0)</f>
        <v>Wagga Wagga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1654</v>
      </c>
      <c r="O1264" s="2">
        <v>81</v>
      </c>
      <c r="P1264" s="8">
        <f t="shared" si="97"/>
        <v>1735</v>
      </c>
      <c r="Q1264" s="8">
        <f t="shared" si="98"/>
        <v>77</v>
      </c>
      <c r="R1264" s="2" t="s">
        <v>26</v>
      </c>
      <c r="S1264" s="24">
        <f t="shared" si="99"/>
        <v>0.02</v>
      </c>
    </row>
    <row r="1265" spans="1:19" x14ac:dyDescent="0.25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>VLOOKUP(F1265,'Customer Info'!$A:$B,2,0)</f>
        <v>Jim</v>
      </c>
      <c r="H1265" s="6" t="str">
        <f>VLOOKUP(F1265,'Customer Info'!$A$1:$C$501,3,0)</f>
        <v>Karlsson</v>
      </c>
      <c r="I1265" s="6" t="str">
        <f>VLOOKUP(F1265,Customer,5,0)</f>
        <v>Geelong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3960</v>
      </c>
      <c r="O1265" s="2">
        <v>56</v>
      </c>
      <c r="P1265" s="8">
        <f t="shared" si="97"/>
        <v>4016</v>
      </c>
      <c r="Q1265" s="8">
        <f t="shared" si="98"/>
        <v>296</v>
      </c>
      <c r="R1265" s="2" t="s">
        <v>26</v>
      </c>
      <c r="S1265" s="24">
        <f t="shared" si="99"/>
        <v>0.02</v>
      </c>
    </row>
    <row r="1266" spans="1:19" x14ac:dyDescent="0.25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>VLOOKUP(F1266,'Customer Info'!$A:$B,2,0)</f>
        <v>Mick</v>
      </c>
      <c r="H1266" s="6" t="str">
        <f>VLOOKUP(F1266,'Customer Info'!$A$1:$C$501,3,0)</f>
        <v>Brown</v>
      </c>
      <c r="I1266" s="6" t="str">
        <f>VLOOKUP(F1266,Customer,5,0)</f>
        <v>Shenzhen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2661</v>
      </c>
      <c r="O1266" s="2">
        <v>93</v>
      </c>
      <c r="P1266" s="8">
        <f t="shared" si="97"/>
        <v>2754</v>
      </c>
      <c r="Q1266" s="8">
        <f t="shared" si="98"/>
        <v>219</v>
      </c>
      <c r="R1266" s="2" t="s">
        <v>50</v>
      </c>
      <c r="S1266" s="24">
        <f t="shared" si="99"/>
        <v>0.02</v>
      </c>
    </row>
    <row r="1267" spans="1:19" x14ac:dyDescent="0.25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>VLOOKUP(F1267,'Customer Info'!$A:$B,2,0)</f>
        <v>Barry</v>
      </c>
      <c r="H1267" s="6" t="str">
        <f>VLOOKUP(F1267,'Customer Info'!$A$1:$C$501,3,0)</f>
        <v>Blumstein</v>
      </c>
      <c r="I1267" s="6" t="str">
        <f>VLOOKUP(F1267,Customer,5,0)</f>
        <v>Gold Coast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5714</v>
      </c>
      <c r="O1267" s="2">
        <v>90</v>
      </c>
      <c r="P1267" s="8">
        <f t="shared" si="97"/>
        <v>5804</v>
      </c>
      <c r="Q1267" s="8">
        <f t="shared" si="98"/>
        <v>470</v>
      </c>
      <c r="R1267" s="2" t="s">
        <v>28</v>
      </c>
      <c r="S1267" s="24">
        <f t="shared" si="99"/>
        <v>0.05</v>
      </c>
    </row>
    <row r="1268" spans="1:19" x14ac:dyDescent="0.25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>VLOOKUP(F1268,'Customer Info'!$A:$B,2,0)</f>
        <v>Hunter</v>
      </c>
      <c r="H1268" s="6" t="str">
        <f>VLOOKUP(F1268,'Customer Info'!$A$1:$C$501,3,0)</f>
        <v>Lopez</v>
      </c>
      <c r="I1268" s="6" t="str">
        <f>VLOOKUP(F1268,Customer,5,0)</f>
        <v>Cuttack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120666</v>
      </c>
      <c r="O1268" s="2">
        <v>24</v>
      </c>
      <c r="P1268" s="8">
        <f t="shared" si="97"/>
        <v>120690</v>
      </c>
      <c r="Q1268" s="8">
        <f t="shared" si="98"/>
        <v>12040</v>
      </c>
      <c r="R1268" s="2" t="s">
        <v>28</v>
      </c>
      <c r="S1268" s="24">
        <f t="shared" si="99"/>
        <v>0.12</v>
      </c>
    </row>
    <row r="1269" spans="1:19" x14ac:dyDescent="0.25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>VLOOKUP(F1269,'Customer Info'!$A:$B,2,0)</f>
        <v>Pamela</v>
      </c>
      <c r="H1269" s="6" t="str">
        <f>VLOOKUP(F1269,'Customer Info'!$A$1:$C$501,3,0)</f>
        <v>Coakley</v>
      </c>
      <c r="I1269" s="6" t="str">
        <f>VLOOKUP(F1269,Customer,5,0)</f>
        <v>Jakarta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1179</v>
      </c>
      <c r="O1269" s="2">
        <v>32</v>
      </c>
      <c r="P1269" s="8">
        <f t="shared" si="97"/>
        <v>1211</v>
      </c>
      <c r="Q1269" s="8">
        <f t="shared" si="98"/>
        <v>57</v>
      </c>
      <c r="R1269" s="2" t="s">
        <v>28</v>
      </c>
      <c r="S1269" s="24">
        <f t="shared" si="99"/>
        <v>0.02</v>
      </c>
    </row>
    <row r="1270" spans="1:19" x14ac:dyDescent="0.25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>VLOOKUP(F1270,'Customer Info'!$A:$B,2,0)</f>
        <v>Brian</v>
      </c>
      <c r="H1270" s="6" t="str">
        <f>VLOOKUP(F1270,'Customer Info'!$A$1:$C$501,3,0)</f>
        <v>Dahlen</v>
      </c>
      <c r="I1270" s="6" t="str">
        <f>VLOOKUP(F1270,Customer,5,0)</f>
        <v>Shantou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2681</v>
      </c>
      <c r="O1270" s="2">
        <v>41</v>
      </c>
      <c r="P1270" s="8">
        <f t="shared" si="97"/>
        <v>2722</v>
      </c>
      <c r="Q1270" s="8">
        <f t="shared" si="98"/>
        <v>223</v>
      </c>
      <c r="R1270" s="2" t="s">
        <v>28</v>
      </c>
      <c r="S1270" s="24">
        <f t="shared" si="99"/>
        <v>0.02</v>
      </c>
    </row>
    <row r="1271" spans="1:19" x14ac:dyDescent="0.25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>VLOOKUP(F1271,'Customer Info'!$A:$B,2,0)</f>
        <v>Ralph</v>
      </c>
      <c r="H1271" s="6" t="str">
        <f>VLOOKUP(F1271,'Customer Info'!$A$1:$C$501,3,0)</f>
        <v>Arnett</v>
      </c>
      <c r="I1271" s="6" t="str">
        <f>VLOOKUP(F1271,Customer,5,0)</f>
        <v>Suzhou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2610</v>
      </c>
      <c r="O1271" s="2">
        <v>94</v>
      </c>
      <c r="P1271" s="8">
        <f t="shared" si="97"/>
        <v>2704</v>
      </c>
      <c r="Q1271" s="8">
        <f t="shared" si="98"/>
        <v>216</v>
      </c>
      <c r="R1271" s="2" t="s">
        <v>28</v>
      </c>
      <c r="S1271" s="24">
        <f t="shared" si="99"/>
        <v>0.02</v>
      </c>
    </row>
    <row r="1272" spans="1:19" x14ac:dyDescent="0.25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>VLOOKUP(F1272,'Customer Info'!$A:$B,2,0)</f>
        <v>Greg</v>
      </c>
      <c r="H1272" s="6" t="str">
        <f>VLOOKUP(F1272,'Customer Info'!$A$1:$C$501,3,0)</f>
        <v>Hansen</v>
      </c>
      <c r="I1272" s="6" t="str">
        <f>VLOOKUP(F1272,Customer,5,0)</f>
        <v>Canberra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25953</v>
      </c>
      <c r="O1272" s="2">
        <v>28</v>
      </c>
      <c r="P1272" s="8">
        <f t="shared" si="97"/>
        <v>25981</v>
      </c>
      <c r="Q1272" s="8">
        <f t="shared" si="98"/>
        <v>1710</v>
      </c>
      <c r="R1272" s="2" t="s">
        <v>50</v>
      </c>
      <c r="S1272" s="24">
        <f t="shared" si="99"/>
        <v>7.0000000000000007E-2</v>
      </c>
    </row>
    <row r="1273" spans="1:19" x14ac:dyDescent="0.25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>VLOOKUP(F1273,'Customer Info'!$A:$B,2,0)</f>
        <v>Dennis</v>
      </c>
      <c r="H1273" s="6" t="str">
        <f>VLOOKUP(F1273,'Customer Info'!$A$1:$C$501,3,0)</f>
        <v>Pardue</v>
      </c>
      <c r="I1273" s="6" t="str">
        <f>VLOOKUP(F1273,Customer,5,0)</f>
        <v>Pekalongan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3849</v>
      </c>
      <c r="O1273" s="2">
        <v>80</v>
      </c>
      <c r="P1273" s="8">
        <f t="shared" si="97"/>
        <v>3929</v>
      </c>
      <c r="Q1273" s="8">
        <f t="shared" si="98"/>
        <v>288</v>
      </c>
      <c r="R1273" s="2" t="s">
        <v>28</v>
      </c>
      <c r="S1273" s="24">
        <f t="shared" si="99"/>
        <v>0.02</v>
      </c>
    </row>
    <row r="1274" spans="1:19" x14ac:dyDescent="0.25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>VLOOKUP(F1274,'Customer Info'!$A:$B,2,0)</f>
        <v>Troy</v>
      </c>
      <c r="H1274" s="6" t="str">
        <f>VLOOKUP(F1274,'Customer Info'!$A$1:$C$501,3,0)</f>
        <v>Staebel</v>
      </c>
      <c r="I1274" s="6" t="str">
        <f>VLOOKUP(F1274,Customer,5,0)</f>
        <v>Depok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4656</v>
      </c>
      <c r="O1274" s="2">
        <v>57</v>
      </c>
      <c r="P1274" s="8">
        <f t="shared" si="97"/>
        <v>4713</v>
      </c>
      <c r="Q1274" s="8">
        <f t="shared" si="98"/>
        <v>258</v>
      </c>
      <c r="R1274" s="2" t="s">
        <v>50</v>
      </c>
      <c r="S1274" s="24">
        <f t="shared" si="99"/>
        <v>0.02</v>
      </c>
    </row>
    <row r="1275" spans="1:19" x14ac:dyDescent="0.25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>VLOOKUP(F1275,'Customer Info'!$A:$B,2,0)</f>
        <v>Victoria</v>
      </c>
      <c r="H1275" s="6" t="str">
        <f>VLOOKUP(F1275,'Customer Info'!$A$1:$C$501,3,0)</f>
        <v>Brennan</v>
      </c>
      <c r="I1275" s="6" t="str">
        <f>VLOOKUP(F1275,Customer,5,0)</f>
        <v>Mangalore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5992</v>
      </c>
      <c r="O1275" s="2">
        <v>85</v>
      </c>
      <c r="P1275" s="8">
        <f t="shared" si="97"/>
        <v>6077</v>
      </c>
      <c r="Q1275" s="8">
        <f t="shared" si="98"/>
        <v>652</v>
      </c>
      <c r="R1275" s="2" t="s">
        <v>28</v>
      </c>
      <c r="S1275" s="24">
        <f t="shared" si="99"/>
        <v>0.05</v>
      </c>
    </row>
    <row r="1276" spans="1:19" x14ac:dyDescent="0.25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>VLOOKUP(F1276,'Customer Info'!$A:$B,2,0)</f>
        <v>Stuart</v>
      </c>
      <c r="H1276" s="6" t="str">
        <f>VLOOKUP(F1276,'Customer Info'!$A$1:$C$501,3,0)</f>
        <v>Calhoun</v>
      </c>
      <c r="I1276" s="6" t="str">
        <f>VLOOKUP(F1276,Customer,5,0)</f>
        <v>Bochum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5518</v>
      </c>
      <c r="O1276" s="2">
        <v>89</v>
      </c>
      <c r="P1276" s="8">
        <f t="shared" si="97"/>
        <v>5607</v>
      </c>
      <c r="Q1276" s="8">
        <f t="shared" si="98"/>
        <v>262</v>
      </c>
      <c r="R1276" s="2" t="s">
        <v>50</v>
      </c>
      <c r="S1276" s="24">
        <f t="shared" si="99"/>
        <v>0.05</v>
      </c>
    </row>
    <row r="1277" spans="1:19" x14ac:dyDescent="0.25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>VLOOKUP(F1277,'Customer Info'!$A:$B,2,0)</f>
        <v>Charles</v>
      </c>
      <c r="H1277" s="6" t="str">
        <f>VLOOKUP(F1277,'Customer Info'!$A$1:$C$501,3,0)</f>
        <v>Sheldon</v>
      </c>
      <c r="I1277" s="6" t="str">
        <f>VLOOKUP(F1277,Customer,5,0)</f>
        <v>Brisbane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141</v>
      </c>
      <c r="O1277" s="2">
        <v>30</v>
      </c>
      <c r="P1277" s="8">
        <f t="shared" si="97"/>
        <v>171</v>
      </c>
      <c r="Q1277" s="8">
        <f t="shared" si="98"/>
        <v>10</v>
      </c>
      <c r="R1277" s="2" t="s">
        <v>50</v>
      </c>
      <c r="S1277" s="24">
        <f t="shared" si="99"/>
        <v>0.02</v>
      </c>
    </row>
    <row r="1278" spans="1:19" x14ac:dyDescent="0.25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>VLOOKUP(F1278,'Customer Info'!$A:$B,2,0)</f>
        <v>David</v>
      </c>
      <c r="H1278" s="6" t="str">
        <f>VLOOKUP(F1278,'Customer Info'!$A$1:$C$501,3,0)</f>
        <v>Smith</v>
      </c>
      <c r="I1278" s="6" t="str">
        <f>VLOOKUP(F1278,Customer,5,0)</f>
        <v>Surat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1502</v>
      </c>
      <c r="O1278" s="2">
        <v>59</v>
      </c>
      <c r="P1278" s="8">
        <f t="shared" si="97"/>
        <v>1561</v>
      </c>
      <c r="Q1278" s="8">
        <f t="shared" si="98"/>
        <v>110</v>
      </c>
      <c r="R1278" s="2" t="s">
        <v>50</v>
      </c>
      <c r="S1278" s="24">
        <f t="shared" si="99"/>
        <v>0.02</v>
      </c>
    </row>
    <row r="1279" spans="1:19" x14ac:dyDescent="0.25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>VLOOKUP(F1279,'Customer Info'!$A:$B,2,0)</f>
        <v>Dave</v>
      </c>
      <c r="H1279" s="6" t="str">
        <f>VLOOKUP(F1279,'Customer Info'!$A$1:$C$501,3,0)</f>
        <v>Hallsten</v>
      </c>
      <c r="I1279" s="6" t="str">
        <f>VLOOKUP(F1279,Customer,5,0)</f>
        <v>Melbourne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41895</v>
      </c>
      <c r="O1279" s="2">
        <v>62</v>
      </c>
      <c r="P1279" s="8">
        <f t="shared" si="97"/>
        <v>41957</v>
      </c>
      <c r="Q1279" s="8">
        <f t="shared" si="98"/>
        <v>1590</v>
      </c>
      <c r="R1279" s="2" t="s">
        <v>28</v>
      </c>
      <c r="S1279" s="24">
        <f t="shared" si="99"/>
        <v>7.0000000000000007E-2</v>
      </c>
    </row>
    <row r="1280" spans="1:19" x14ac:dyDescent="0.25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>VLOOKUP(F1280,'Customer Info'!$A:$B,2,0)</f>
        <v>Shui</v>
      </c>
      <c r="H1280" s="6" t="str">
        <f>VLOOKUP(F1280,'Customer Info'!$A$1:$C$501,3,0)</f>
        <v>Tom</v>
      </c>
      <c r="I1280" s="6" t="str">
        <f>VLOOKUP(F1280,Customer,5,0)</f>
        <v>Jakarta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284</v>
      </c>
      <c r="O1280" s="2">
        <v>30</v>
      </c>
      <c r="P1280" s="8">
        <f t="shared" si="97"/>
        <v>314</v>
      </c>
      <c r="Q1280" s="8">
        <f t="shared" si="98"/>
        <v>16</v>
      </c>
      <c r="R1280" s="2" t="s">
        <v>56</v>
      </c>
      <c r="S1280" s="24">
        <f t="shared" si="99"/>
        <v>0.02</v>
      </c>
    </row>
    <row r="1281" spans="1:19" x14ac:dyDescent="0.25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>VLOOKUP(F1281,'Customer Info'!$A:$B,2,0)</f>
        <v>Charlotte</v>
      </c>
      <c r="H1281" s="6" t="str">
        <f>VLOOKUP(F1281,'Customer Info'!$A$1:$C$501,3,0)</f>
        <v>Melton</v>
      </c>
      <c r="I1281" s="6" t="str">
        <f>VLOOKUP(F1281,Customer,5,0)</f>
        <v>Canberra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1002</v>
      </c>
      <c r="O1281" s="2">
        <v>30</v>
      </c>
      <c r="P1281" s="8">
        <f t="shared" si="97"/>
        <v>1032</v>
      </c>
      <c r="Q1281" s="8">
        <f t="shared" si="98"/>
        <v>72</v>
      </c>
      <c r="R1281" s="2" t="s">
        <v>50</v>
      </c>
      <c r="S1281" s="24">
        <f t="shared" si="99"/>
        <v>0.02</v>
      </c>
    </row>
    <row r="1282" spans="1:19" x14ac:dyDescent="0.25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>VLOOKUP(F1282,'Customer Info'!$A:$B,2,0)</f>
        <v>Kean</v>
      </c>
      <c r="H1282" s="6" t="str">
        <f>VLOOKUP(F1282,'Customer Info'!$A$1:$C$501,3,0)</f>
        <v>Thornton</v>
      </c>
      <c r="I1282" s="6" t="str">
        <f>VLOOKUP(F1282,Customer,5,0)</f>
        <v>Brisbane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107604</v>
      </c>
      <c r="O1282" s="2">
        <v>90</v>
      </c>
      <c r="P1282" s="8">
        <f t="shared" si="97"/>
        <v>107694</v>
      </c>
      <c r="Q1282" s="8">
        <f t="shared" si="98"/>
        <v>9792</v>
      </c>
      <c r="R1282" s="2" t="s">
        <v>28</v>
      </c>
      <c r="S1282" s="24">
        <f t="shared" si="99"/>
        <v>0.12</v>
      </c>
    </row>
    <row r="1283" spans="1:19" x14ac:dyDescent="0.25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>VLOOKUP(F1283,'Customer Info'!$A:$B,2,0)</f>
        <v>Christy</v>
      </c>
      <c r="H1283" s="6" t="str">
        <f>VLOOKUP(F1283,'Customer Info'!$A$1:$C$501,3,0)</f>
        <v>Brittain</v>
      </c>
      <c r="I1283" s="6" t="str">
        <f>VLOOKUP(F1283,Customer,5,0)</f>
        <v>Ajmer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16445</v>
      </c>
      <c r="O1283" s="2">
        <v>46</v>
      </c>
      <c r="P1283" s="8">
        <f t="shared" si="97"/>
        <v>16491</v>
      </c>
      <c r="Q1283" s="8">
        <f t="shared" si="98"/>
        <v>920</v>
      </c>
      <c r="R1283" s="2" t="s">
        <v>28</v>
      </c>
      <c r="S1283" s="24">
        <f t="shared" si="99"/>
        <v>0.05</v>
      </c>
    </row>
    <row r="1284" spans="1:19" x14ac:dyDescent="0.25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>VLOOKUP(F1284,'Customer Info'!$A:$B,2,0)</f>
        <v>Karen</v>
      </c>
      <c r="H1284" s="6" t="str">
        <f>VLOOKUP(F1284,'Customer Info'!$A$1:$C$501,3,0)</f>
        <v>Daniels</v>
      </c>
      <c r="I1284" s="6" t="str">
        <f>VLOOKUP(F1284,Customer,5,0)</f>
        <v>Jiutai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6296</v>
      </c>
      <c r="O1284" s="2">
        <v>77</v>
      </c>
      <c r="P1284" s="8">
        <f t="shared" si="97"/>
        <v>6373</v>
      </c>
      <c r="Q1284" s="8">
        <f t="shared" si="98"/>
        <v>796</v>
      </c>
      <c r="R1284" s="2" t="s">
        <v>28</v>
      </c>
      <c r="S1284" s="24">
        <f t="shared" si="99"/>
        <v>0.05</v>
      </c>
    </row>
    <row r="1285" spans="1:19" x14ac:dyDescent="0.25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>VLOOKUP(F1285,'Customer Info'!$A:$B,2,0)</f>
        <v>Harry</v>
      </c>
      <c r="H1285" s="6" t="str">
        <f>VLOOKUP(F1285,'Customer Info'!$A$1:$C$501,3,0)</f>
        <v>Marie</v>
      </c>
      <c r="I1285" s="6" t="str">
        <f>VLOOKUP(F1285,Customer,5,0)</f>
        <v>Dortmund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2151</v>
      </c>
      <c r="O1285" s="2">
        <v>72</v>
      </c>
      <c r="P1285" s="8">
        <f t="shared" si="97"/>
        <v>2223</v>
      </c>
      <c r="Q1285" s="8">
        <f t="shared" si="98"/>
        <v>142</v>
      </c>
      <c r="R1285" s="2" t="s">
        <v>50</v>
      </c>
      <c r="S1285" s="24">
        <f t="shared" si="99"/>
        <v>0.02</v>
      </c>
    </row>
    <row r="1286" spans="1:19" x14ac:dyDescent="0.25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>VLOOKUP(F1286,'Customer Info'!$A:$B,2,0)</f>
        <v>Mark</v>
      </c>
      <c r="H1286" s="6" t="str">
        <f>VLOOKUP(F1286,'Customer Info'!$A$1:$C$501,3,0)</f>
        <v>Packer</v>
      </c>
      <c r="I1286" s="6" t="str">
        <f>VLOOKUP(F1286,Customer,5,0)</f>
        <v>Perth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3156</v>
      </c>
      <c r="O1286" s="2">
        <v>98</v>
      </c>
      <c r="P1286" s="8">
        <f t="shared" si="97"/>
        <v>3254</v>
      </c>
      <c r="Q1286" s="8">
        <f t="shared" si="98"/>
        <v>234</v>
      </c>
      <c r="R1286" s="2" t="s">
        <v>28</v>
      </c>
      <c r="S1286" s="24">
        <f t="shared" si="99"/>
        <v>0.02</v>
      </c>
    </row>
    <row r="1287" spans="1:19" x14ac:dyDescent="0.25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>VLOOKUP(F1287,'Customer Info'!$A:$B,2,0)</f>
        <v>Corey</v>
      </c>
      <c r="H1287" s="6" t="str">
        <f>VLOOKUP(F1287,'Customer Info'!$A$1:$C$501,3,0)</f>
        <v>Lock</v>
      </c>
      <c r="I1287" s="6" t="str">
        <f>VLOOKUP(F1287,Customer,5,0)</f>
        <v>Geelong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13284</v>
      </c>
      <c r="O1287" s="2">
        <v>69</v>
      </c>
      <c r="P1287" s="8">
        <f t="shared" si="97"/>
        <v>13353</v>
      </c>
      <c r="Q1287" s="8">
        <f t="shared" si="98"/>
        <v>1328</v>
      </c>
      <c r="R1287" s="2" t="s">
        <v>56</v>
      </c>
      <c r="S1287" s="24">
        <f t="shared" si="99"/>
        <v>0.05</v>
      </c>
    </row>
    <row r="1288" spans="1:19" x14ac:dyDescent="0.25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>VLOOKUP(F1288,'Customer Info'!$A:$B,2,0)</f>
        <v>Victoria</v>
      </c>
      <c r="H1288" s="6" t="str">
        <f>VLOOKUP(F1288,'Customer Info'!$A$1:$C$501,3,0)</f>
        <v>Brennan</v>
      </c>
      <c r="I1288" s="6" t="str">
        <f>VLOOKUP(F1288,Customer,5,0)</f>
        <v>Canberra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6860</v>
      </c>
      <c r="O1288" s="2">
        <v>63</v>
      </c>
      <c r="P1288" s="8">
        <f t="shared" si="97"/>
        <v>6923</v>
      </c>
      <c r="Q1288" s="8">
        <f t="shared" si="98"/>
        <v>320</v>
      </c>
      <c r="R1288" s="2" t="s">
        <v>28</v>
      </c>
      <c r="S1288" s="24">
        <f t="shared" si="99"/>
        <v>0.05</v>
      </c>
    </row>
    <row r="1289" spans="1:19" x14ac:dyDescent="0.25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>VLOOKUP(F1289,'Customer Info'!$A:$B,2,0)</f>
        <v>Michelle</v>
      </c>
      <c r="H1289" s="6" t="str">
        <f>VLOOKUP(F1289,'Customer Info'!$A$1:$C$501,3,0)</f>
        <v>Arnett</v>
      </c>
      <c r="I1289" s="6" t="str">
        <f>VLOOKUP(F1289,Customer,5,0)</f>
        <v>Palembang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3548</v>
      </c>
      <c r="O1289" s="2">
        <v>68</v>
      </c>
      <c r="P1289" s="8">
        <f t="shared" si="97"/>
        <v>3616</v>
      </c>
      <c r="Q1289" s="8">
        <f t="shared" si="98"/>
        <v>292</v>
      </c>
      <c r="R1289" s="2" t="s">
        <v>28</v>
      </c>
      <c r="S1289" s="24">
        <f t="shared" si="99"/>
        <v>0.02</v>
      </c>
    </row>
    <row r="1290" spans="1:19" x14ac:dyDescent="0.25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>VLOOKUP(F1290,'Customer Info'!$A:$B,2,0)</f>
        <v>Duane</v>
      </c>
      <c r="H1290" s="6" t="str">
        <f>VLOOKUP(F1290,'Customer Info'!$A$1:$C$501,3,0)</f>
        <v>Huffman</v>
      </c>
      <c r="I1290" s="6" t="str">
        <f>VLOOKUP(F1290,Customer,5,0)</f>
        <v>Jakarta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3096</v>
      </c>
      <c r="O1290" s="2">
        <v>71</v>
      </c>
      <c r="P1290" s="8">
        <f t="shared" si="97"/>
        <v>3167</v>
      </c>
      <c r="Q1290" s="8">
        <f t="shared" si="98"/>
        <v>258</v>
      </c>
      <c r="R1290" s="2" t="s">
        <v>28</v>
      </c>
      <c r="S1290" s="24">
        <f t="shared" si="99"/>
        <v>0.02</v>
      </c>
    </row>
    <row r="1291" spans="1:19" x14ac:dyDescent="0.25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>VLOOKUP(F1291,'Customer Info'!$A:$B,2,0)</f>
        <v>Susan</v>
      </c>
      <c r="H1291" s="6" t="str">
        <f>VLOOKUP(F1291,'Customer Info'!$A$1:$C$501,3,0)</f>
        <v>MacKendrick</v>
      </c>
      <c r="I1291" s="6" t="str">
        <f>VLOOKUP(F1291,Customer,5,0)</f>
        <v>Brisbane</v>
      </c>
      <c r="J1291" s="2">
        <v>2540</v>
      </c>
      <c r="K1291" s="2">
        <v>2397</v>
      </c>
      <c r="L1291" s="2">
        <v>2</v>
      </c>
      <c r="M1291" s="7">
        <f t="shared" ref="M1291:M1354" si="100">K1291*L1291</f>
        <v>4794</v>
      </c>
      <c r="N1291" s="7">
        <f t="shared" ref="N1291:N1354" si="101">J1291*L1291</f>
        <v>5080</v>
      </c>
      <c r="O1291" s="2">
        <v>38</v>
      </c>
      <c r="P1291" s="8">
        <f t="shared" ref="P1291:P1354" si="102">N1291+O1291</f>
        <v>5118</v>
      </c>
      <c r="Q1291" s="8">
        <f t="shared" ref="Q1291:Q1354" si="103">N1291-M1291</f>
        <v>286</v>
      </c>
      <c r="R1291" s="2" t="s">
        <v>28</v>
      </c>
      <c r="S1291" s="24">
        <f t="shared" ref="S1291:S1354" si="104">VLOOKUP(N1291,$T$1:$U$7,2,TRUE)</f>
        <v>0.05</v>
      </c>
    </row>
    <row r="1292" spans="1:19" x14ac:dyDescent="0.25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>VLOOKUP(F1292,'Customer Info'!$A:$B,2,0)</f>
        <v>Victoria</v>
      </c>
      <c r="H1292" s="6" t="str">
        <f>VLOOKUP(F1292,'Customer Info'!$A$1:$C$501,3,0)</f>
        <v>Brennan</v>
      </c>
      <c r="I1292" s="6" t="str">
        <f>VLOOKUP(F1292,Customer,5,0)</f>
        <v>Adelaide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8">
        <f t="shared" si="102"/>
        <v>7400</v>
      </c>
      <c r="Q1292" s="8">
        <f t="shared" si="103"/>
        <v>210</v>
      </c>
      <c r="R1292" s="2" t="s">
        <v>28</v>
      </c>
      <c r="S1292" s="24">
        <f t="shared" si="104"/>
        <v>0.05</v>
      </c>
    </row>
    <row r="1293" spans="1:19" x14ac:dyDescent="0.25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>VLOOKUP(F1293,'Customer Info'!$A:$B,2,0)</f>
        <v>Jason</v>
      </c>
      <c r="H1293" s="6" t="str">
        <f>VLOOKUP(F1293,'Customer Info'!$A$1:$C$501,3,0)</f>
        <v>Gross</v>
      </c>
      <c r="I1293" s="6" t="str">
        <f>VLOOKUP(F1293,Customer,5,0)</f>
        <v>Sydney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8">
        <f t="shared" si="102"/>
        <v>49296</v>
      </c>
      <c r="Q1293" s="8">
        <f t="shared" si="103"/>
        <v>3648</v>
      </c>
      <c r="R1293" s="2" t="s">
        <v>26</v>
      </c>
      <c r="S1293" s="24">
        <f t="shared" si="104"/>
        <v>7.0000000000000007E-2</v>
      </c>
    </row>
    <row r="1294" spans="1:19" x14ac:dyDescent="0.25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>VLOOKUP(F1294,'Customer Info'!$A:$B,2,0)</f>
        <v>Darren</v>
      </c>
      <c r="H1294" s="6" t="str">
        <f>VLOOKUP(F1294,'Customer Info'!$A$1:$C$501,3,0)</f>
        <v>Koutras</v>
      </c>
      <c r="I1294" s="6" t="str">
        <f>VLOOKUP(F1294,Customer,5,0)</f>
        <v>Pune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8">
        <f t="shared" si="102"/>
        <v>5981</v>
      </c>
      <c r="Q1294" s="8">
        <f t="shared" si="103"/>
        <v>114</v>
      </c>
      <c r="R1294" s="2" t="s">
        <v>28</v>
      </c>
      <c r="S1294" s="24">
        <f t="shared" si="104"/>
        <v>0.05</v>
      </c>
    </row>
    <row r="1295" spans="1:19" x14ac:dyDescent="0.25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>VLOOKUP(F1295,'Customer Info'!$A:$B,2,0)</f>
        <v>Darren</v>
      </c>
      <c r="H1295" s="6" t="str">
        <f>VLOOKUP(F1295,'Customer Info'!$A$1:$C$501,3,0)</f>
        <v>Koutras</v>
      </c>
      <c r="I1295" s="6" t="str">
        <f>VLOOKUP(F1295,Customer,5,0)</f>
        <v>Pune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8">
        <f t="shared" si="102"/>
        <v>473</v>
      </c>
      <c r="Q1295" s="8">
        <f t="shared" si="103"/>
        <v>30</v>
      </c>
      <c r="R1295" s="2" t="s">
        <v>28</v>
      </c>
      <c r="S1295" s="24">
        <f t="shared" si="104"/>
        <v>0.02</v>
      </c>
    </row>
    <row r="1296" spans="1:19" x14ac:dyDescent="0.25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>VLOOKUP(F1296,'Customer Info'!$A:$B,2,0)</f>
        <v>Rick</v>
      </c>
      <c r="H1296" s="6" t="str">
        <f>VLOOKUP(F1296,'Customer Info'!$A$1:$C$501,3,0)</f>
        <v>Reed</v>
      </c>
      <c r="I1296" s="6" t="str">
        <f>VLOOKUP(F1296,Customer,5,0)</f>
        <v>Lucknow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25137</v>
      </c>
      <c r="O1296" s="2">
        <v>88</v>
      </c>
      <c r="P1296" s="8">
        <f t="shared" si="102"/>
        <v>25225</v>
      </c>
      <c r="Q1296" s="8">
        <f t="shared" si="103"/>
        <v>954</v>
      </c>
      <c r="R1296" s="2" t="s">
        <v>26</v>
      </c>
      <c r="S1296" s="24">
        <f t="shared" si="104"/>
        <v>7.0000000000000007E-2</v>
      </c>
    </row>
    <row r="1297" spans="1:19" x14ac:dyDescent="0.25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>VLOOKUP(F1297,'Customer Info'!$A:$B,2,0)</f>
        <v>Brad</v>
      </c>
      <c r="H1297" s="6" t="str">
        <f>VLOOKUP(F1297,'Customer Info'!$A$1:$C$501,3,0)</f>
        <v>Thomas</v>
      </c>
      <c r="I1297" s="6" t="str">
        <f>VLOOKUP(F1297,Customer,5,0)</f>
        <v>Udaipur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26319</v>
      </c>
      <c r="O1297" s="2">
        <v>64</v>
      </c>
      <c r="P1297" s="8">
        <f t="shared" si="102"/>
        <v>26383</v>
      </c>
      <c r="Q1297" s="8">
        <f t="shared" si="103"/>
        <v>1974</v>
      </c>
      <c r="R1297" s="2" t="s">
        <v>50</v>
      </c>
      <c r="S1297" s="24">
        <f t="shared" si="104"/>
        <v>7.0000000000000007E-2</v>
      </c>
    </row>
    <row r="1298" spans="1:19" x14ac:dyDescent="0.25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>VLOOKUP(F1298,'Customer Info'!$A:$B,2,0)</f>
        <v>Carol</v>
      </c>
      <c r="H1298" s="6" t="str">
        <f>VLOOKUP(F1298,'Customer Info'!$A$1:$C$501,3,0)</f>
        <v>Adams</v>
      </c>
      <c r="I1298" s="6" t="str">
        <f>VLOOKUP(F1298,Customer,5,0)</f>
        <v>Cairns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4846</v>
      </c>
      <c r="O1298" s="2">
        <v>30</v>
      </c>
      <c r="P1298" s="8">
        <f t="shared" si="102"/>
        <v>4876</v>
      </c>
      <c r="Q1298" s="8">
        <f t="shared" si="103"/>
        <v>354</v>
      </c>
      <c r="R1298" s="2" t="s">
        <v>28</v>
      </c>
      <c r="S1298" s="24">
        <f t="shared" si="104"/>
        <v>0.02</v>
      </c>
    </row>
    <row r="1299" spans="1:19" x14ac:dyDescent="0.25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>VLOOKUP(F1299,'Customer Info'!$A:$B,2,0)</f>
        <v>Troy</v>
      </c>
      <c r="H1299" s="6" t="str">
        <f>VLOOKUP(F1299,'Customer Info'!$A$1:$C$501,3,0)</f>
        <v>Blackwell</v>
      </c>
      <c r="I1299" s="6" t="str">
        <f>VLOOKUP(F1299,Customer,5,0)</f>
        <v>Krefeld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1486</v>
      </c>
      <c r="O1299" s="2">
        <v>95</v>
      </c>
      <c r="P1299" s="8">
        <f t="shared" si="102"/>
        <v>1581</v>
      </c>
      <c r="Q1299" s="8">
        <f t="shared" si="103"/>
        <v>98</v>
      </c>
      <c r="R1299" s="2" t="s">
        <v>28</v>
      </c>
      <c r="S1299" s="24">
        <f t="shared" si="104"/>
        <v>0.02</v>
      </c>
    </row>
    <row r="1300" spans="1:19" x14ac:dyDescent="0.25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>VLOOKUP(F1300,'Customer Info'!$A:$B,2,0)</f>
        <v>Thais</v>
      </c>
      <c r="H1300" s="6" t="str">
        <f>VLOOKUP(F1300,'Customer Info'!$A$1:$C$501,3,0)</f>
        <v>Sissman</v>
      </c>
      <c r="I1300" s="6" t="str">
        <f>VLOOKUP(F1300,Customer,5,0)</f>
        <v>Essen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7026</v>
      </c>
      <c r="O1300" s="2">
        <v>62</v>
      </c>
      <c r="P1300" s="8">
        <f t="shared" si="102"/>
        <v>7088</v>
      </c>
      <c r="Q1300" s="8">
        <f t="shared" si="103"/>
        <v>396</v>
      </c>
      <c r="R1300" s="2" t="s">
        <v>50</v>
      </c>
      <c r="S1300" s="24">
        <f t="shared" si="104"/>
        <v>0.05</v>
      </c>
    </row>
    <row r="1301" spans="1:19" x14ac:dyDescent="0.25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>VLOOKUP(F1301,'Customer Info'!$A:$B,2,0)</f>
        <v>Alyssa</v>
      </c>
      <c r="H1301" s="6" t="str">
        <f>VLOOKUP(F1301,'Customer Info'!$A$1:$C$501,3,0)</f>
        <v>Tate</v>
      </c>
      <c r="I1301" s="6" t="str">
        <f>VLOOKUP(F1301,Customer,5,0)</f>
        <v>Wafangdian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1328</v>
      </c>
      <c r="O1301" s="2">
        <v>92</v>
      </c>
      <c r="P1301" s="8">
        <f t="shared" si="102"/>
        <v>1420</v>
      </c>
      <c r="Q1301" s="8">
        <f t="shared" si="103"/>
        <v>176</v>
      </c>
      <c r="R1301" s="2" t="s">
        <v>50</v>
      </c>
      <c r="S1301" s="24">
        <f t="shared" si="104"/>
        <v>0.02</v>
      </c>
    </row>
    <row r="1302" spans="1:19" x14ac:dyDescent="0.25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>VLOOKUP(F1302,'Customer Info'!$A:$B,2,0)</f>
        <v>Rick</v>
      </c>
      <c r="H1302" s="6" t="str">
        <f>VLOOKUP(F1302,'Customer Info'!$A$1:$C$501,3,0)</f>
        <v>Reed</v>
      </c>
      <c r="I1302" s="6" t="str">
        <f>VLOOKUP(F1302,Customer,5,0)</f>
        <v>Lucknow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915</v>
      </c>
      <c r="O1302" s="2">
        <v>30</v>
      </c>
      <c r="P1302" s="8">
        <f t="shared" si="102"/>
        <v>945</v>
      </c>
      <c r="Q1302" s="8">
        <f t="shared" si="103"/>
        <v>75</v>
      </c>
      <c r="R1302" s="2" t="s">
        <v>28</v>
      </c>
      <c r="S1302" s="24">
        <f t="shared" si="104"/>
        <v>0.02</v>
      </c>
    </row>
    <row r="1303" spans="1:19" x14ac:dyDescent="0.25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>VLOOKUP(F1303,'Customer Info'!$A:$B,2,0)</f>
        <v>Alejandro</v>
      </c>
      <c r="H1303" s="6" t="str">
        <f>VLOOKUP(F1303,'Customer Info'!$A$1:$C$501,3,0)</f>
        <v>Ballentine</v>
      </c>
      <c r="I1303" s="6" t="str">
        <f>VLOOKUP(F1303,Customer,5,0)</f>
        <v>Mannheim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11070</v>
      </c>
      <c r="O1303" s="2">
        <v>52</v>
      </c>
      <c r="P1303" s="8">
        <f t="shared" si="102"/>
        <v>11122</v>
      </c>
      <c r="Q1303" s="8">
        <f t="shared" si="103"/>
        <v>618</v>
      </c>
      <c r="R1303" s="2" t="s">
        <v>50</v>
      </c>
      <c r="S1303" s="24">
        <f t="shared" si="104"/>
        <v>0.05</v>
      </c>
    </row>
    <row r="1304" spans="1:19" x14ac:dyDescent="0.25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>VLOOKUP(F1304,'Customer Info'!$A:$B,2,0)</f>
        <v>Craig</v>
      </c>
      <c r="H1304" s="6" t="str">
        <f>VLOOKUP(F1304,'Customer Info'!$A$1:$C$501,3,0)</f>
        <v>Carreira</v>
      </c>
      <c r="I1304" s="6" t="str">
        <f>VLOOKUP(F1304,Customer,5,0)</f>
        <v>Worms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2013</v>
      </c>
      <c r="O1304" s="2">
        <v>56</v>
      </c>
      <c r="P1304" s="8">
        <f t="shared" si="102"/>
        <v>2069</v>
      </c>
      <c r="Q1304" s="8">
        <f t="shared" si="103"/>
        <v>132</v>
      </c>
      <c r="R1304" s="2" t="s">
        <v>28</v>
      </c>
      <c r="S1304" s="24">
        <f t="shared" si="104"/>
        <v>0.02</v>
      </c>
    </row>
    <row r="1305" spans="1:19" x14ac:dyDescent="0.25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>VLOOKUP(F1305,'Customer Info'!$A:$B,2,0)</f>
        <v>Eileen</v>
      </c>
      <c r="H1305" s="6" t="str">
        <f>VLOOKUP(F1305,'Customer Info'!$A$1:$C$501,3,0)</f>
        <v>Kiefer</v>
      </c>
      <c r="I1305" s="6" t="str">
        <f>VLOOKUP(F1305,Customer,5,0)</f>
        <v>Hamm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73556</v>
      </c>
      <c r="O1305" s="2">
        <v>54</v>
      </c>
      <c r="P1305" s="8">
        <f t="shared" si="102"/>
        <v>73610</v>
      </c>
      <c r="Q1305" s="8">
        <f t="shared" si="103"/>
        <v>4138</v>
      </c>
      <c r="R1305" s="2" t="s">
        <v>28</v>
      </c>
      <c r="S1305" s="24">
        <f t="shared" si="104"/>
        <v>0.09</v>
      </c>
    </row>
    <row r="1306" spans="1:19" x14ac:dyDescent="0.25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>VLOOKUP(F1306,'Customer Info'!$A:$B,2,0)</f>
        <v>Cindy</v>
      </c>
      <c r="H1306" s="6" t="str">
        <f>VLOOKUP(F1306,'Customer Info'!$A$1:$C$501,3,0)</f>
        <v>Schnelling</v>
      </c>
      <c r="I1306" s="6" t="str">
        <f>VLOOKUP(F1306,Customer,5,0)</f>
        <v>Balikpapan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144228</v>
      </c>
      <c r="O1306" s="2">
        <v>62</v>
      </c>
      <c r="P1306" s="8">
        <f t="shared" si="102"/>
        <v>144290</v>
      </c>
      <c r="Q1306" s="8">
        <f t="shared" si="103"/>
        <v>8116</v>
      </c>
      <c r="R1306" s="2" t="s">
        <v>26</v>
      </c>
      <c r="S1306" s="24">
        <f t="shared" si="104"/>
        <v>0.12</v>
      </c>
    </row>
    <row r="1307" spans="1:19" x14ac:dyDescent="0.25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>VLOOKUP(F1307,'Customer Info'!$A:$B,2,0)</f>
        <v>Alex</v>
      </c>
      <c r="H1307" s="6" t="str">
        <f>VLOOKUP(F1307,'Customer Info'!$A$1:$C$501,3,0)</f>
        <v>Grayson</v>
      </c>
      <c r="I1307" s="6" t="str">
        <f>VLOOKUP(F1307,Customer,5,0)</f>
        <v>Anyang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15864</v>
      </c>
      <c r="O1307" s="2">
        <v>100</v>
      </c>
      <c r="P1307" s="8">
        <f t="shared" si="102"/>
        <v>15964</v>
      </c>
      <c r="Q1307" s="8">
        <f t="shared" si="103"/>
        <v>600</v>
      </c>
      <c r="R1307" s="2" t="s">
        <v>28</v>
      </c>
      <c r="S1307" s="24">
        <f t="shared" si="104"/>
        <v>0.05</v>
      </c>
    </row>
    <row r="1308" spans="1:19" x14ac:dyDescent="0.25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>VLOOKUP(F1308,'Customer Info'!$A:$B,2,0)</f>
        <v>Darren</v>
      </c>
      <c r="H1308" s="6" t="str">
        <f>VLOOKUP(F1308,'Customer Info'!$A$1:$C$501,3,0)</f>
        <v>Budd</v>
      </c>
      <c r="I1308" s="6" t="str">
        <f>VLOOKUP(F1308,Customer,5,0)</f>
        <v>Regensburg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183</v>
      </c>
      <c r="O1308" s="2">
        <v>10</v>
      </c>
      <c r="P1308" s="8">
        <f t="shared" si="102"/>
        <v>193</v>
      </c>
      <c r="Q1308" s="8">
        <f t="shared" si="103"/>
        <v>12</v>
      </c>
      <c r="R1308" s="2" t="s">
        <v>56</v>
      </c>
      <c r="S1308" s="24">
        <f t="shared" si="104"/>
        <v>0.02</v>
      </c>
    </row>
    <row r="1309" spans="1:19" x14ac:dyDescent="0.25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>VLOOKUP(F1309,'Customer Info'!$A:$B,2,0)</f>
        <v>Mick</v>
      </c>
      <c r="H1309" s="6" t="str">
        <f>VLOOKUP(F1309,'Customer Info'!$A$1:$C$501,3,0)</f>
        <v>Brown</v>
      </c>
      <c r="I1309" s="6" t="str">
        <f>VLOOKUP(F1309,Customer,5,0)</f>
        <v>Shenzhen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852</v>
      </c>
      <c r="O1309" s="2">
        <v>30</v>
      </c>
      <c r="P1309" s="8">
        <f t="shared" si="102"/>
        <v>882</v>
      </c>
      <c r="Q1309" s="8">
        <f t="shared" si="103"/>
        <v>48</v>
      </c>
      <c r="R1309" s="2" t="s">
        <v>26</v>
      </c>
      <c r="S1309" s="24">
        <f t="shared" si="104"/>
        <v>0.02</v>
      </c>
    </row>
    <row r="1310" spans="1:19" x14ac:dyDescent="0.25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>VLOOKUP(F1310,'Customer Info'!$A:$B,2,0)</f>
        <v>Charlotte</v>
      </c>
      <c r="H1310" s="6" t="str">
        <f>VLOOKUP(F1310,'Customer Info'!$A$1:$C$501,3,0)</f>
        <v>Melton</v>
      </c>
      <c r="I1310" s="6" t="str">
        <f>VLOOKUP(F1310,Customer,5,0)</f>
        <v>Canberra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1605</v>
      </c>
      <c r="O1310" s="2">
        <v>36</v>
      </c>
      <c r="P1310" s="8">
        <f t="shared" si="102"/>
        <v>1641</v>
      </c>
      <c r="Q1310" s="8">
        <f t="shared" si="103"/>
        <v>75</v>
      </c>
      <c r="R1310" s="2" t="s">
        <v>50</v>
      </c>
      <c r="S1310" s="24">
        <f t="shared" si="104"/>
        <v>0.02</v>
      </c>
    </row>
    <row r="1311" spans="1:19" x14ac:dyDescent="0.25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>VLOOKUP(F1311,'Customer Info'!$A:$B,2,0)</f>
        <v>David</v>
      </c>
      <c r="H1311" s="6" t="str">
        <f>VLOOKUP(F1311,'Customer Info'!$A$1:$C$501,3,0)</f>
        <v>Kendrick</v>
      </c>
      <c r="I1311" s="6" t="str">
        <f>VLOOKUP(F1311,Customer,5,0)</f>
        <v>Kunming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5658</v>
      </c>
      <c r="O1311" s="2">
        <v>47</v>
      </c>
      <c r="P1311" s="8">
        <f t="shared" si="102"/>
        <v>5705</v>
      </c>
      <c r="Q1311" s="8">
        <f t="shared" si="103"/>
        <v>466</v>
      </c>
      <c r="R1311" s="2" t="s">
        <v>26</v>
      </c>
      <c r="S1311" s="24">
        <f t="shared" si="104"/>
        <v>0.05</v>
      </c>
    </row>
    <row r="1312" spans="1:19" x14ac:dyDescent="0.25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>VLOOKUP(F1312,'Customer Info'!$A:$B,2,0)</f>
        <v>Nancy</v>
      </c>
      <c r="H1312" s="6" t="str">
        <f>VLOOKUP(F1312,'Customer Info'!$A$1:$C$501,3,0)</f>
        <v>Lomonaco</v>
      </c>
      <c r="I1312" s="6" t="str">
        <f>VLOOKUP(F1312,Customer,5,0)</f>
        <v>Tengzhou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864</v>
      </c>
      <c r="O1312" s="2">
        <v>56</v>
      </c>
      <c r="P1312" s="8">
        <f t="shared" si="102"/>
        <v>920</v>
      </c>
      <c r="Q1312" s="8">
        <f t="shared" si="103"/>
        <v>72</v>
      </c>
      <c r="R1312" s="2" t="s">
        <v>28</v>
      </c>
      <c r="S1312" s="24">
        <f t="shared" si="104"/>
        <v>0.02</v>
      </c>
    </row>
    <row r="1313" spans="1:19" x14ac:dyDescent="0.25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>VLOOKUP(F1313,'Customer Info'!$A:$B,2,0)</f>
        <v>Julie</v>
      </c>
      <c r="H1313" s="6" t="str">
        <f>VLOOKUP(F1313,'Customer Info'!$A$1:$C$501,3,0)</f>
        <v>Creighton</v>
      </c>
      <c r="I1313" s="6" t="str">
        <f>VLOOKUP(F1313,Customer,5,0)</f>
        <v>Bandung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19010</v>
      </c>
      <c r="O1313" s="2">
        <v>35</v>
      </c>
      <c r="P1313" s="8">
        <f t="shared" si="102"/>
        <v>19045</v>
      </c>
      <c r="Q1313" s="8">
        <f t="shared" si="103"/>
        <v>910</v>
      </c>
      <c r="R1313" s="2" t="s">
        <v>28</v>
      </c>
      <c r="S1313" s="24">
        <f t="shared" si="104"/>
        <v>0.05</v>
      </c>
    </row>
    <row r="1314" spans="1:19" x14ac:dyDescent="0.25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>VLOOKUP(F1314,'Customer Info'!$A:$B,2,0)</f>
        <v>Dianna</v>
      </c>
      <c r="H1314" s="6" t="str">
        <f>VLOOKUP(F1314,'Customer Info'!$A$1:$C$501,3,0)</f>
        <v>Vittorini</v>
      </c>
      <c r="I1314" s="6" t="str">
        <f>VLOOKUP(F1314,Customer,5,0)</f>
        <v>Gold Coast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1305</v>
      </c>
      <c r="O1314" s="2">
        <v>66</v>
      </c>
      <c r="P1314" s="8">
        <f t="shared" si="102"/>
        <v>1371</v>
      </c>
      <c r="Q1314" s="8">
        <f t="shared" si="103"/>
        <v>108</v>
      </c>
      <c r="R1314" s="2" t="s">
        <v>50</v>
      </c>
      <c r="S1314" s="24">
        <f t="shared" si="104"/>
        <v>0.02</v>
      </c>
    </row>
    <row r="1315" spans="1:19" x14ac:dyDescent="0.25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>VLOOKUP(F1315,'Customer Info'!$A:$B,2,0)</f>
        <v>Christy</v>
      </c>
      <c r="H1315" s="6" t="str">
        <f>VLOOKUP(F1315,'Customer Info'!$A$1:$C$501,3,0)</f>
        <v>Brittain</v>
      </c>
      <c r="I1315" s="6" t="str">
        <f>VLOOKUP(F1315,Customer,5,0)</f>
        <v>Depok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67032</v>
      </c>
      <c r="O1315" s="2">
        <v>67</v>
      </c>
      <c r="P1315" s="8">
        <f t="shared" si="102"/>
        <v>67099</v>
      </c>
      <c r="Q1315" s="8">
        <f t="shared" si="103"/>
        <v>2544</v>
      </c>
      <c r="R1315" s="2" t="s">
        <v>50</v>
      </c>
      <c r="S1315" s="24">
        <f t="shared" si="104"/>
        <v>0.09</v>
      </c>
    </row>
    <row r="1316" spans="1:19" x14ac:dyDescent="0.25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>VLOOKUP(F1316,'Customer Info'!$A:$B,2,0)</f>
        <v>Emily</v>
      </c>
      <c r="H1316" s="6" t="str">
        <f>VLOOKUP(F1316,'Customer Info'!$A$1:$C$501,3,0)</f>
        <v>Burns</v>
      </c>
      <c r="I1316" s="6" t="str">
        <f>VLOOKUP(F1316,Customer,5,0)</f>
        <v>Chennai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6274</v>
      </c>
      <c r="O1316" s="2">
        <v>53</v>
      </c>
      <c r="P1316" s="8">
        <f t="shared" si="102"/>
        <v>6327</v>
      </c>
      <c r="Q1316" s="8">
        <f t="shared" si="103"/>
        <v>181</v>
      </c>
      <c r="R1316" s="2" t="s">
        <v>50</v>
      </c>
      <c r="S1316" s="24">
        <f t="shared" si="104"/>
        <v>0.05</v>
      </c>
    </row>
    <row r="1317" spans="1:19" x14ac:dyDescent="0.25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>VLOOKUP(F1317,'Customer Info'!$A:$B,2,0)</f>
        <v>Stuart</v>
      </c>
      <c r="H1317" s="6" t="str">
        <f>VLOOKUP(F1317,'Customer Info'!$A$1:$C$501,3,0)</f>
        <v>Calhoun</v>
      </c>
      <c r="I1317" s="6" t="str">
        <f>VLOOKUP(F1317,Customer,5,0)</f>
        <v>Nowra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3584</v>
      </c>
      <c r="O1317" s="2">
        <v>39</v>
      </c>
      <c r="P1317" s="8">
        <f t="shared" si="102"/>
        <v>3623</v>
      </c>
      <c r="Q1317" s="8">
        <f t="shared" si="103"/>
        <v>104</v>
      </c>
      <c r="R1317" s="2" t="s">
        <v>50</v>
      </c>
      <c r="S1317" s="24">
        <f t="shared" si="104"/>
        <v>0.02</v>
      </c>
    </row>
    <row r="1318" spans="1:19" x14ac:dyDescent="0.25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>VLOOKUP(F1318,'Customer Info'!$A:$B,2,0)</f>
        <v>Larry</v>
      </c>
      <c r="H1318" s="6" t="str">
        <f>VLOOKUP(F1318,'Customer Info'!$A$1:$C$501,3,0)</f>
        <v>Blacks</v>
      </c>
      <c r="I1318" s="6" t="str">
        <f>VLOOKUP(F1318,Customer,5,0)</f>
        <v>Shangyu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315</v>
      </c>
      <c r="O1318" s="2">
        <v>10</v>
      </c>
      <c r="P1318" s="8">
        <f t="shared" si="102"/>
        <v>325</v>
      </c>
      <c r="Q1318" s="8">
        <f t="shared" si="103"/>
        <v>25</v>
      </c>
      <c r="R1318" s="2" t="s">
        <v>28</v>
      </c>
      <c r="S1318" s="24">
        <f t="shared" si="104"/>
        <v>0.02</v>
      </c>
    </row>
    <row r="1319" spans="1:19" x14ac:dyDescent="0.25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>VLOOKUP(F1319,'Customer Info'!$A:$B,2,0)</f>
        <v>Hilary</v>
      </c>
      <c r="H1319" s="6" t="str">
        <f>VLOOKUP(F1319,'Customer Info'!$A$1:$C$501,3,0)</f>
        <v>Holden</v>
      </c>
      <c r="I1319" s="6" t="str">
        <f>VLOOKUP(F1319,Customer,5,0)</f>
        <v>Mysore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784</v>
      </c>
      <c r="O1319" s="2">
        <v>78</v>
      </c>
      <c r="P1319" s="8">
        <f t="shared" si="102"/>
        <v>862</v>
      </c>
      <c r="Q1319" s="8">
        <f t="shared" si="103"/>
        <v>72</v>
      </c>
      <c r="R1319" s="2" t="s">
        <v>28</v>
      </c>
      <c r="S1319" s="24">
        <f t="shared" si="104"/>
        <v>0.02</v>
      </c>
    </row>
    <row r="1320" spans="1:19" x14ac:dyDescent="0.25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>VLOOKUP(F1320,'Customer Info'!$A:$B,2,0)</f>
        <v>Dave</v>
      </c>
      <c r="H1320" s="6" t="str">
        <f>VLOOKUP(F1320,'Customer Info'!$A$1:$C$501,3,0)</f>
        <v>Poirier</v>
      </c>
      <c r="I1320" s="6" t="str">
        <f>VLOOKUP(F1320,Customer,5,0)</f>
        <v>Suizhou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12800</v>
      </c>
      <c r="O1320" s="2">
        <v>38</v>
      </c>
      <c r="P1320" s="8">
        <f t="shared" si="102"/>
        <v>12838</v>
      </c>
      <c r="Q1320" s="8">
        <f t="shared" si="103"/>
        <v>-2</v>
      </c>
      <c r="R1320" s="2" t="s">
        <v>50</v>
      </c>
      <c r="S1320" s="24">
        <f t="shared" si="104"/>
        <v>0.05</v>
      </c>
    </row>
    <row r="1321" spans="1:19" x14ac:dyDescent="0.25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>VLOOKUP(F1321,'Customer Info'!$A:$B,2,0)</f>
        <v>Hallie</v>
      </c>
      <c r="H1321" s="6" t="str">
        <f>VLOOKUP(F1321,'Customer Info'!$A$1:$C$501,3,0)</f>
        <v>Redmond</v>
      </c>
      <c r="I1321" s="6" t="str">
        <f>VLOOKUP(F1321,Customer,5,0)</f>
        <v>Caloundra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505</v>
      </c>
      <c r="O1321" s="2">
        <v>10</v>
      </c>
      <c r="P1321" s="8">
        <f t="shared" si="102"/>
        <v>515</v>
      </c>
      <c r="Q1321" s="8">
        <f t="shared" si="103"/>
        <v>15</v>
      </c>
      <c r="R1321" s="2" t="s">
        <v>50</v>
      </c>
      <c r="S1321" s="24">
        <f t="shared" si="104"/>
        <v>0.02</v>
      </c>
    </row>
    <row r="1322" spans="1:19" x14ac:dyDescent="0.25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>VLOOKUP(F1322,'Customer Info'!$A:$B,2,0)</f>
        <v>Georgia</v>
      </c>
      <c r="H1322" s="6" t="str">
        <f>VLOOKUP(F1322,'Customer Info'!$A$1:$C$501,3,0)</f>
        <v>Rosenberg</v>
      </c>
      <c r="I1322" s="6" t="str">
        <f>VLOOKUP(F1322,Customer,5,0)</f>
        <v>Srinagar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413</v>
      </c>
      <c r="O1322" s="2">
        <v>10</v>
      </c>
      <c r="P1322" s="8">
        <f t="shared" si="102"/>
        <v>423</v>
      </c>
      <c r="Q1322" s="8">
        <f t="shared" si="103"/>
        <v>28</v>
      </c>
      <c r="R1322" s="2" t="s">
        <v>50</v>
      </c>
      <c r="S1322" s="24">
        <f t="shared" si="104"/>
        <v>0.02</v>
      </c>
    </row>
    <row r="1323" spans="1:19" x14ac:dyDescent="0.25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>VLOOKUP(F1323,'Customer Info'!$A:$B,2,0)</f>
        <v>Jack</v>
      </c>
      <c r="H1323" s="6" t="str">
        <f>VLOOKUP(F1323,'Customer Info'!$A$1:$C$501,3,0)</f>
        <v>O'Briant</v>
      </c>
      <c r="I1323" s="6" t="str">
        <f>VLOOKUP(F1323,Customer,5,0)</f>
        <v>Jammu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1290</v>
      </c>
      <c r="O1323" s="2">
        <v>24</v>
      </c>
      <c r="P1323" s="8">
        <f t="shared" si="102"/>
        <v>1314</v>
      </c>
      <c r="Q1323" s="8">
        <f t="shared" si="103"/>
        <v>160</v>
      </c>
      <c r="R1323" s="2" t="s">
        <v>28</v>
      </c>
      <c r="S1323" s="24">
        <f t="shared" si="104"/>
        <v>0.02</v>
      </c>
    </row>
    <row r="1324" spans="1:19" x14ac:dyDescent="0.25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>VLOOKUP(F1324,'Customer Info'!$A:$B,2,0)</f>
        <v>Dennis</v>
      </c>
      <c r="H1324" s="6" t="str">
        <f>VLOOKUP(F1324,'Customer Info'!$A$1:$C$501,3,0)</f>
        <v>Pardue</v>
      </c>
      <c r="I1324" s="6" t="str">
        <f>VLOOKUP(F1324,Customer,5,0)</f>
        <v>Townsville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9690</v>
      </c>
      <c r="O1324" s="2">
        <v>36</v>
      </c>
      <c r="P1324" s="8">
        <f t="shared" si="102"/>
        <v>9726</v>
      </c>
      <c r="Q1324" s="8">
        <f t="shared" si="103"/>
        <v>540</v>
      </c>
      <c r="R1324" s="2" t="s">
        <v>26</v>
      </c>
      <c r="S1324" s="24">
        <f t="shared" si="104"/>
        <v>0.05</v>
      </c>
    </row>
    <row r="1325" spans="1:19" x14ac:dyDescent="0.25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>VLOOKUP(F1325,'Customer Info'!$A:$B,2,0)</f>
        <v>Ivan</v>
      </c>
      <c r="H1325" s="6" t="str">
        <f>VLOOKUP(F1325,'Customer Info'!$A$1:$C$501,3,0)</f>
        <v>Gibson</v>
      </c>
      <c r="I1325" s="6" t="str">
        <f>VLOOKUP(F1325,Customer,5,0)</f>
        <v>Shanghai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3170</v>
      </c>
      <c r="O1325" s="2">
        <v>25</v>
      </c>
      <c r="P1325" s="8">
        <f t="shared" si="102"/>
        <v>3195</v>
      </c>
      <c r="Q1325" s="8">
        <f t="shared" si="103"/>
        <v>180</v>
      </c>
      <c r="R1325" s="2" t="s">
        <v>50</v>
      </c>
      <c r="S1325" s="24">
        <f t="shared" si="104"/>
        <v>0.02</v>
      </c>
    </row>
    <row r="1326" spans="1:19" x14ac:dyDescent="0.25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>VLOOKUP(F1326,'Customer Info'!$A:$B,2,0)</f>
        <v>Craig</v>
      </c>
      <c r="H1326" s="6" t="str">
        <f>VLOOKUP(F1326,'Customer Info'!$A$1:$C$501,3,0)</f>
        <v>Leslie</v>
      </c>
      <c r="I1326" s="6" t="str">
        <f>VLOOKUP(F1326,Customer,5,0)</f>
        <v>Wetzlar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3738</v>
      </c>
      <c r="O1326" s="2">
        <v>45</v>
      </c>
      <c r="P1326" s="8">
        <f t="shared" si="102"/>
        <v>3783</v>
      </c>
      <c r="Q1326" s="8">
        <f t="shared" si="103"/>
        <v>246</v>
      </c>
      <c r="R1326" s="2" t="s">
        <v>50</v>
      </c>
      <c r="S1326" s="24">
        <f t="shared" si="104"/>
        <v>0.02</v>
      </c>
    </row>
    <row r="1327" spans="1:19" x14ac:dyDescent="0.25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>VLOOKUP(F1327,'Customer Info'!$A:$B,2,0)</f>
        <v>Aaron</v>
      </c>
      <c r="H1327" s="6" t="str">
        <f>VLOOKUP(F1327,'Customer Info'!$A$1:$C$501,3,0)</f>
        <v>Smayling</v>
      </c>
      <c r="I1327" s="6" t="str">
        <f>VLOOKUP(F1327,Customer,5,0)</f>
        <v>Port Macquarie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3054</v>
      </c>
      <c r="O1327" s="2">
        <v>90</v>
      </c>
      <c r="P1327" s="8">
        <f t="shared" si="102"/>
        <v>3144</v>
      </c>
      <c r="Q1327" s="8">
        <f t="shared" si="103"/>
        <v>333</v>
      </c>
      <c r="R1327" s="2" t="s">
        <v>28</v>
      </c>
      <c r="S1327" s="24">
        <f t="shared" si="104"/>
        <v>0.02</v>
      </c>
    </row>
    <row r="1328" spans="1:19" x14ac:dyDescent="0.25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>VLOOKUP(F1328,'Customer Info'!$A:$B,2,0)</f>
        <v>Benjamin</v>
      </c>
      <c r="H1328" s="6" t="str">
        <f>VLOOKUP(F1328,'Customer Info'!$A$1:$C$501,3,0)</f>
        <v>Patterson</v>
      </c>
      <c r="I1328" s="6" t="str">
        <f>VLOOKUP(F1328,Customer,5,0)</f>
        <v>Tamworth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4714</v>
      </c>
      <c r="O1328" s="2">
        <v>50</v>
      </c>
      <c r="P1328" s="8">
        <f t="shared" si="102"/>
        <v>4764</v>
      </c>
      <c r="Q1328" s="8">
        <f t="shared" si="103"/>
        <v>391</v>
      </c>
      <c r="R1328" s="2" t="s">
        <v>26</v>
      </c>
      <c r="S1328" s="24">
        <f t="shared" si="104"/>
        <v>0.02</v>
      </c>
    </row>
    <row r="1329" spans="1:19" x14ac:dyDescent="0.25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>VLOOKUP(F1329,'Customer Info'!$A:$B,2,0)</f>
        <v>Caroline</v>
      </c>
      <c r="H1329" s="6" t="str">
        <f>VLOOKUP(F1329,'Customer Info'!$A$1:$C$501,3,0)</f>
        <v>Jumper</v>
      </c>
      <c r="I1329" s="6" t="str">
        <f>VLOOKUP(F1329,Customer,5,0)</f>
        <v>Xuzhou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9513</v>
      </c>
      <c r="O1329" s="2">
        <v>87</v>
      </c>
      <c r="P1329" s="8">
        <f t="shared" si="102"/>
        <v>9600</v>
      </c>
      <c r="Q1329" s="8">
        <f t="shared" si="103"/>
        <v>966</v>
      </c>
      <c r="R1329" s="2" t="s">
        <v>50</v>
      </c>
      <c r="S1329" s="24">
        <f t="shared" si="104"/>
        <v>0.05</v>
      </c>
    </row>
    <row r="1330" spans="1:19" x14ac:dyDescent="0.25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>VLOOKUP(F1330,'Customer Info'!$A:$B,2,0)</f>
        <v>Benjamin</v>
      </c>
      <c r="H1330" s="6" t="str">
        <f>VLOOKUP(F1330,'Customer Info'!$A$1:$C$501,3,0)</f>
        <v>Patterson</v>
      </c>
      <c r="I1330" s="6" t="str">
        <f>VLOOKUP(F1330,Customer,5,0)</f>
        <v>Tamworth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15218</v>
      </c>
      <c r="O1330" s="2">
        <v>89</v>
      </c>
      <c r="P1330" s="8">
        <f t="shared" si="102"/>
        <v>15307</v>
      </c>
      <c r="Q1330" s="8">
        <f t="shared" si="103"/>
        <v>722</v>
      </c>
      <c r="R1330" s="2" t="s">
        <v>28</v>
      </c>
      <c r="S1330" s="24">
        <f t="shared" si="104"/>
        <v>0.05</v>
      </c>
    </row>
    <row r="1331" spans="1:19" x14ac:dyDescent="0.25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>VLOOKUP(F1331,'Customer Info'!$A:$B,2,0)</f>
        <v>Ruben</v>
      </c>
      <c r="H1331" s="6" t="str">
        <f>VLOOKUP(F1331,'Customer Info'!$A$1:$C$501,3,0)</f>
        <v>Ausman</v>
      </c>
      <c r="I1331" s="6" t="str">
        <f>VLOOKUP(F1331,Customer,5,0)</f>
        <v>Sonneberg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5748</v>
      </c>
      <c r="O1331" s="2">
        <v>58</v>
      </c>
      <c r="P1331" s="8">
        <f t="shared" si="102"/>
        <v>5806</v>
      </c>
      <c r="Q1331" s="8">
        <f t="shared" si="103"/>
        <v>582</v>
      </c>
      <c r="R1331" s="2" t="s">
        <v>26</v>
      </c>
      <c r="S1331" s="24">
        <f t="shared" si="104"/>
        <v>0.05</v>
      </c>
    </row>
    <row r="1332" spans="1:19" x14ac:dyDescent="0.25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>VLOOKUP(F1332,'Customer Info'!$A:$B,2,0)</f>
        <v>Anna</v>
      </c>
      <c r="H1332" s="6" t="str">
        <f>VLOOKUP(F1332,'Customer Info'!$A$1:$C$501,3,0)</f>
        <v>Gayman</v>
      </c>
      <c r="I1332" s="6" t="str">
        <f>VLOOKUP(F1332,Customer,5,0)</f>
        <v>Surat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3256</v>
      </c>
      <c r="O1332" s="2">
        <v>49</v>
      </c>
      <c r="P1332" s="8">
        <f t="shared" si="102"/>
        <v>3305</v>
      </c>
      <c r="Q1332" s="8">
        <f t="shared" si="103"/>
        <v>297</v>
      </c>
      <c r="R1332" s="2" t="s">
        <v>28</v>
      </c>
      <c r="S1332" s="24">
        <f t="shared" si="104"/>
        <v>0.02</v>
      </c>
    </row>
    <row r="1333" spans="1:19" x14ac:dyDescent="0.25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>VLOOKUP(F1333,'Customer Info'!$A:$B,2,0)</f>
        <v>Peter</v>
      </c>
      <c r="H1333" s="6" t="str">
        <f>VLOOKUP(F1333,'Customer Info'!$A$1:$C$501,3,0)</f>
        <v>BŸhler</v>
      </c>
      <c r="I1333" s="6" t="str">
        <f>VLOOKUP(F1333,Customer,5,0)</f>
        <v>Dresden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4638</v>
      </c>
      <c r="O1333" s="2">
        <v>85</v>
      </c>
      <c r="P1333" s="8">
        <f t="shared" si="102"/>
        <v>4723</v>
      </c>
      <c r="Q1333" s="8">
        <f t="shared" si="103"/>
        <v>390</v>
      </c>
      <c r="R1333" s="2" t="s">
        <v>28</v>
      </c>
      <c r="S1333" s="24">
        <f t="shared" si="104"/>
        <v>0.02</v>
      </c>
    </row>
    <row r="1334" spans="1:19" x14ac:dyDescent="0.25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>VLOOKUP(F1334,'Customer Info'!$A:$B,2,0)</f>
        <v>Karen</v>
      </c>
      <c r="H1334" s="6" t="str">
        <f>VLOOKUP(F1334,'Customer Info'!$A$1:$C$501,3,0)</f>
        <v>Daniels</v>
      </c>
      <c r="I1334" s="6" t="str">
        <f>VLOOKUP(F1334,Customer,5,0)</f>
        <v>Jiutai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6864</v>
      </c>
      <c r="O1334" s="2">
        <v>86</v>
      </c>
      <c r="P1334" s="8">
        <f t="shared" si="102"/>
        <v>6950</v>
      </c>
      <c r="Q1334" s="8">
        <f t="shared" si="103"/>
        <v>197</v>
      </c>
      <c r="R1334" s="2" t="s">
        <v>50</v>
      </c>
      <c r="S1334" s="24">
        <f t="shared" si="104"/>
        <v>0.05</v>
      </c>
    </row>
    <row r="1335" spans="1:19" x14ac:dyDescent="0.25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>VLOOKUP(F1335,'Customer Info'!$A:$B,2,0)</f>
        <v>Brad</v>
      </c>
      <c r="H1335" s="6" t="str">
        <f>VLOOKUP(F1335,'Customer Info'!$A$1:$C$501,3,0)</f>
        <v>Thomas</v>
      </c>
      <c r="I1335" s="6" t="str">
        <f>VLOOKUP(F1335,Customer,5,0)</f>
        <v>Udaipur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12210</v>
      </c>
      <c r="O1335" s="2">
        <v>72</v>
      </c>
      <c r="P1335" s="8">
        <f t="shared" si="102"/>
        <v>12282</v>
      </c>
      <c r="Q1335" s="8">
        <f t="shared" si="103"/>
        <v>690</v>
      </c>
      <c r="R1335" s="2" t="s">
        <v>28</v>
      </c>
      <c r="S1335" s="24">
        <f t="shared" si="104"/>
        <v>0.05</v>
      </c>
    </row>
    <row r="1336" spans="1:19" x14ac:dyDescent="0.25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>VLOOKUP(F1336,'Customer Info'!$A:$B,2,0)</f>
        <v>Mick</v>
      </c>
      <c r="H1336" s="6" t="str">
        <f>VLOOKUP(F1336,'Customer Info'!$A$1:$C$501,3,0)</f>
        <v>Brown</v>
      </c>
      <c r="I1336" s="6" t="str">
        <f>VLOOKUP(F1336,Customer,5,0)</f>
        <v>Frankfurt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4430</v>
      </c>
      <c r="O1336" s="2">
        <v>46</v>
      </c>
      <c r="P1336" s="8">
        <f t="shared" si="102"/>
        <v>4476</v>
      </c>
      <c r="Q1336" s="8">
        <f t="shared" si="103"/>
        <v>450</v>
      </c>
      <c r="R1336" s="2" t="s">
        <v>56</v>
      </c>
      <c r="S1336" s="24">
        <f t="shared" si="104"/>
        <v>0.02</v>
      </c>
    </row>
    <row r="1337" spans="1:19" x14ac:dyDescent="0.25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>VLOOKUP(F1337,'Customer Info'!$A:$B,2,0)</f>
        <v>Heather</v>
      </c>
      <c r="H1337" s="6" t="str">
        <f>VLOOKUP(F1337,'Customer Info'!$A$1:$C$501,3,0)</f>
        <v>Kirkland</v>
      </c>
      <c r="I1337" s="6" t="str">
        <f>VLOOKUP(F1337,Customer,5,0)</f>
        <v>Luoyang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4435</v>
      </c>
      <c r="O1337" s="2">
        <v>71</v>
      </c>
      <c r="P1337" s="8">
        <f t="shared" si="102"/>
        <v>4506</v>
      </c>
      <c r="Q1337" s="8">
        <f t="shared" si="103"/>
        <v>365</v>
      </c>
      <c r="R1337" s="2" t="s">
        <v>28</v>
      </c>
      <c r="S1337" s="24">
        <f t="shared" si="104"/>
        <v>0.02</v>
      </c>
    </row>
    <row r="1338" spans="1:19" x14ac:dyDescent="0.25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>VLOOKUP(F1338,'Customer Info'!$A:$B,2,0)</f>
        <v>Helen</v>
      </c>
      <c r="H1338" s="6" t="str">
        <f>VLOOKUP(F1338,'Customer Info'!$A$1:$C$501,3,0)</f>
        <v>Abelman</v>
      </c>
      <c r="I1338" s="6" t="str">
        <f>VLOOKUP(F1338,Customer,5,0)</f>
        <v>Berlin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69</v>
      </c>
      <c r="O1338" s="2">
        <v>10</v>
      </c>
      <c r="P1338" s="8">
        <f t="shared" si="102"/>
        <v>79</v>
      </c>
      <c r="Q1338" s="8">
        <f t="shared" si="103"/>
        <v>5</v>
      </c>
      <c r="R1338" s="2" t="s">
        <v>28</v>
      </c>
      <c r="S1338" s="24">
        <f t="shared" si="104"/>
        <v>0.02</v>
      </c>
    </row>
    <row r="1339" spans="1:19" x14ac:dyDescent="0.25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>VLOOKUP(F1339,'Customer Info'!$A:$B,2,0)</f>
        <v>Carl</v>
      </c>
      <c r="H1339" s="6" t="str">
        <f>VLOOKUP(F1339,'Customer Info'!$A$1:$C$501,3,0)</f>
        <v>Weiss</v>
      </c>
      <c r="I1339" s="6" t="str">
        <f>VLOOKUP(F1339,Customer,5,0)</f>
        <v>Delhi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9968</v>
      </c>
      <c r="O1339" s="2">
        <v>59</v>
      </c>
      <c r="P1339" s="8">
        <f t="shared" si="102"/>
        <v>10027</v>
      </c>
      <c r="Q1339" s="8">
        <f t="shared" si="103"/>
        <v>656</v>
      </c>
      <c r="R1339" s="2" t="s">
        <v>26</v>
      </c>
      <c r="S1339" s="24">
        <f t="shared" si="104"/>
        <v>0.05</v>
      </c>
    </row>
    <row r="1340" spans="1:19" x14ac:dyDescent="0.25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>VLOOKUP(F1340,'Customer Info'!$A:$B,2,0)</f>
        <v>Heather</v>
      </c>
      <c r="H1340" s="6" t="str">
        <f>VLOOKUP(F1340,'Customer Info'!$A$1:$C$501,3,0)</f>
        <v>Kirkland</v>
      </c>
      <c r="I1340" s="6" t="str">
        <f>VLOOKUP(F1340,Customer,5,0)</f>
        <v>Townsville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7509</v>
      </c>
      <c r="O1340" s="2">
        <v>78</v>
      </c>
      <c r="P1340" s="8">
        <f t="shared" si="102"/>
        <v>7587</v>
      </c>
      <c r="Q1340" s="8">
        <f t="shared" si="103"/>
        <v>147</v>
      </c>
      <c r="R1340" s="2" t="s">
        <v>50</v>
      </c>
      <c r="S1340" s="24">
        <f t="shared" si="104"/>
        <v>0.05</v>
      </c>
    </row>
    <row r="1341" spans="1:19" x14ac:dyDescent="0.25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>VLOOKUP(F1341,'Customer Info'!$A:$B,2,0)</f>
        <v>Brad</v>
      </c>
      <c r="H1341" s="6" t="str">
        <f>VLOOKUP(F1341,'Customer Info'!$A$1:$C$501,3,0)</f>
        <v>Thomas</v>
      </c>
      <c r="I1341" s="6" t="str">
        <f>VLOOKUP(F1341,Customer,5,0)</f>
        <v>Udaipur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138</v>
      </c>
      <c r="O1341" s="2">
        <v>30</v>
      </c>
      <c r="P1341" s="8">
        <f t="shared" si="102"/>
        <v>168</v>
      </c>
      <c r="Q1341" s="8">
        <f t="shared" si="103"/>
        <v>10</v>
      </c>
      <c r="R1341" s="2" t="s">
        <v>28</v>
      </c>
      <c r="S1341" s="24">
        <f t="shared" si="104"/>
        <v>0.02</v>
      </c>
    </row>
    <row r="1342" spans="1:19" x14ac:dyDescent="0.25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>VLOOKUP(F1342,'Customer Info'!$A:$B,2,0)</f>
        <v>Ralph</v>
      </c>
      <c r="H1342" s="6" t="str">
        <f>VLOOKUP(F1342,'Customer Info'!$A$1:$C$501,3,0)</f>
        <v>Arnett</v>
      </c>
      <c r="I1342" s="6" t="str">
        <f>VLOOKUP(F1342,Customer,5,0)</f>
        <v>Shenyang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13156</v>
      </c>
      <c r="O1342" s="2">
        <v>31</v>
      </c>
      <c r="P1342" s="8">
        <f t="shared" si="102"/>
        <v>13187</v>
      </c>
      <c r="Q1342" s="8">
        <f t="shared" si="103"/>
        <v>736</v>
      </c>
      <c r="R1342" s="2" t="s">
        <v>50</v>
      </c>
      <c r="S1342" s="24">
        <f t="shared" si="104"/>
        <v>0.05</v>
      </c>
    </row>
    <row r="1343" spans="1:19" x14ac:dyDescent="0.25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>VLOOKUP(F1343,'Customer Info'!$A:$B,2,0)</f>
        <v>Charles</v>
      </c>
      <c r="H1343" s="6" t="str">
        <f>VLOOKUP(F1343,'Customer Info'!$A$1:$C$501,3,0)</f>
        <v>Sheldon</v>
      </c>
      <c r="I1343" s="6" t="str">
        <f>VLOOKUP(F1343,Customer,5,0)</f>
        <v>Brisbane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8185</v>
      </c>
      <c r="O1343" s="2">
        <v>41</v>
      </c>
      <c r="P1343" s="8">
        <f t="shared" si="102"/>
        <v>8226</v>
      </c>
      <c r="Q1343" s="8">
        <f t="shared" si="103"/>
        <v>525</v>
      </c>
      <c r="R1343" s="2" t="s">
        <v>28</v>
      </c>
      <c r="S1343" s="24">
        <f t="shared" si="104"/>
        <v>0.05</v>
      </c>
    </row>
    <row r="1344" spans="1:19" x14ac:dyDescent="0.25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>VLOOKUP(F1344,'Customer Info'!$A:$B,2,0)</f>
        <v>Sylvia</v>
      </c>
      <c r="H1344" s="6" t="str">
        <f>VLOOKUP(F1344,'Customer Info'!$A$1:$C$501,3,0)</f>
        <v>Foulston</v>
      </c>
      <c r="I1344" s="6" t="str">
        <f>VLOOKUP(F1344,Customer,5,0)</f>
        <v>Ludwigsburg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2492</v>
      </c>
      <c r="O1344" s="2">
        <v>73</v>
      </c>
      <c r="P1344" s="8">
        <f t="shared" si="102"/>
        <v>2565</v>
      </c>
      <c r="Q1344" s="8">
        <f t="shared" si="103"/>
        <v>164</v>
      </c>
      <c r="R1344" s="2" t="s">
        <v>50</v>
      </c>
      <c r="S1344" s="24">
        <f t="shared" si="104"/>
        <v>0.02</v>
      </c>
    </row>
    <row r="1345" spans="1:19" x14ac:dyDescent="0.25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>VLOOKUP(F1345,'Customer Info'!$A:$B,2,0)</f>
        <v>Dennis</v>
      </c>
      <c r="H1345" s="6" t="str">
        <f>VLOOKUP(F1345,'Customer Info'!$A$1:$C$501,3,0)</f>
        <v>Pardue</v>
      </c>
      <c r="I1345" s="6" t="str">
        <f>VLOOKUP(F1345,Customer,5,0)</f>
        <v>Townsville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25995</v>
      </c>
      <c r="O1345" s="2">
        <v>68</v>
      </c>
      <c r="P1345" s="8">
        <f t="shared" si="102"/>
        <v>26063</v>
      </c>
      <c r="Q1345" s="8">
        <f t="shared" si="103"/>
        <v>2826</v>
      </c>
      <c r="R1345" s="2" t="s">
        <v>50</v>
      </c>
      <c r="S1345" s="24">
        <f t="shared" si="104"/>
        <v>7.0000000000000007E-2</v>
      </c>
    </row>
    <row r="1346" spans="1:19" x14ac:dyDescent="0.25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>VLOOKUP(F1346,'Customer Info'!$A:$B,2,0)</f>
        <v>George</v>
      </c>
      <c r="H1346" s="6" t="str">
        <f>VLOOKUP(F1346,'Customer Info'!$A$1:$C$501,3,0)</f>
        <v>Ashbrook</v>
      </c>
      <c r="I1346" s="6" t="str">
        <f>VLOOKUP(F1346,Customer,5,0)</f>
        <v>Jakarta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1593</v>
      </c>
      <c r="O1346" s="2">
        <v>96</v>
      </c>
      <c r="P1346" s="8">
        <f t="shared" si="102"/>
        <v>1689</v>
      </c>
      <c r="Q1346" s="8">
        <f t="shared" si="103"/>
        <v>132</v>
      </c>
      <c r="R1346" s="2" t="s">
        <v>50</v>
      </c>
      <c r="S1346" s="24">
        <f t="shared" si="104"/>
        <v>0.02</v>
      </c>
    </row>
    <row r="1347" spans="1:19" x14ac:dyDescent="0.25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>VLOOKUP(F1347,'Customer Info'!$A:$B,2,0)</f>
        <v>Alice</v>
      </c>
      <c r="H1347" s="6" t="str">
        <f>VLOOKUP(F1347,'Customer Info'!$A$1:$C$501,3,0)</f>
        <v>McCarthy</v>
      </c>
      <c r="I1347" s="6" t="str">
        <f>VLOOKUP(F1347,Customer,5,0)</f>
        <v>Berlin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170</v>
      </c>
      <c r="O1347" s="2">
        <v>30</v>
      </c>
      <c r="P1347" s="8">
        <f t="shared" si="102"/>
        <v>200</v>
      </c>
      <c r="Q1347" s="8">
        <f t="shared" si="103"/>
        <v>17</v>
      </c>
      <c r="R1347" s="2" t="s">
        <v>28</v>
      </c>
      <c r="S1347" s="24">
        <f t="shared" si="104"/>
        <v>0.02</v>
      </c>
    </row>
    <row r="1348" spans="1:19" x14ac:dyDescent="0.25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>VLOOKUP(F1348,'Customer Info'!$A:$B,2,0)</f>
        <v>Monica</v>
      </c>
      <c r="H1348" s="6" t="str">
        <f>VLOOKUP(F1348,'Customer Info'!$A$1:$C$501,3,0)</f>
        <v>Federle</v>
      </c>
      <c r="I1348" s="6" t="str">
        <f>VLOOKUP(F1348,Customer,5,0)</f>
        <v>Lismore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13196</v>
      </c>
      <c r="O1348" s="2">
        <v>57</v>
      </c>
      <c r="P1348" s="8">
        <f t="shared" si="102"/>
        <v>13253</v>
      </c>
      <c r="Q1348" s="8">
        <f t="shared" si="103"/>
        <v>504</v>
      </c>
      <c r="R1348" s="2" t="s">
        <v>50</v>
      </c>
      <c r="S1348" s="24">
        <f t="shared" si="104"/>
        <v>0.05</v>
      </c>
    </row>
    <row r="1349" spans="1:19" x14ac:dyDescent="0.25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>VLOOKUP(F1349,'Customer Info'!$A:$B,2,0)</f>
        <v>Debra</v>
      </c>
      <c r="H1349" s="6" t="str">
        <f>VLOOKUP(F1349,'Customer Info'!$A$1:$C$501,3,0)</f>
        <v>Catini</v>
      </c>
      <c r="I1349" s="6" t="str">
        <f>VLOOKUP(F1349,Customer,5,0)</f>
        <v>Brisbane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1585</v>
      </c>
      <c r="O1349" s="2">
        <v>61</v>
      </c>
      <c r="P1349" s="8">
        <f t="shared" si="102"/>
        <v>1646</v>
      </c>
      <c r="Q1349" s="8">
        <f t="shared" si="103"/>
        <v>90</v>
      </c>
      <c r="R1349" s="2" t="s">
        <v>28</v>
      </c>
      <c r="S1349" s="24">
        <f t="shared" si="104"/>
        <v>0.02</v>
      </c>
    </row>
    <row r="1350" spans="1:19" x14ac:dyDescent="0.25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>VLOOKUP(F1350,'Customer Info'!$A:$B,2,0)</f>
        <v>Roy</v>
      </c>
      <c r="H1350" s="6" t="str">
        <f>VLOOKUP(F1350,'Customer Info'!$A$1:$C$501,3,0)</f>
        <v>Skaria</v>
      </c>
      <c r="I1350" s="6" t="str">
        <f>VLOOKUP(F1350,Customer,5,0)</f>
        <v>Bogor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1816</v>
      </c>
      <c r="O1350" s="2">
        <v>95</v>
      </c>
      <c r="P1350" s="8">
        <f t="shared" si="102"/>
        <v>1911</v>
      </c>
      <c r="Q1350" s="8">
        <f t="shared" si="103"/>
        <v>116</v>
      </c>
      <c r="R1350" s="2" t="s">
        <v>28</v>
      </c>
      <c r="S1350" s="24">
        <f t="shared" si="104"/>
        <v>0.02</v>
      </c>
    </row>
    <row r="1351" spans="1:19" x14ac:dyDescent="0.25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>VLOOKUP(F1351,'Customer Info'!$A:$B,2,0)</f>
        <v>Brooke</v>
      </c>
      <c r="H1351" s="6" t="str">
        <f>VLOOKUP(F1351,'Customer Info'!$A$1:$C$501,3,0)</f>
        <v>Gillingham</v>
      </c>
      <c r="I1351" s="6" t="str">
        <f>VLOOKUP(F1351,Customer,5,0)</f>
        <v>Mysore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14320</v>
      </c>
      <c r="O1351" s="2">
        <v>54</v>
      </c>
      <c r="P1351" s="8">
        <f t="shared" si="102"/>
        <v>14374</v>
      </c>
      <c r="Q1351" s="8">
        <f t="shared" si="103"/>
        <v>550</v>
      </c>
      <c r="R1351" s="2" t="s">
        <v>28</v>
      </c>
      <c r="S1351" s="24">
        <f t="shared" si="104"/>
        <v>0.05</v>
      </c>
    </row>
    <row r="1352" spans="1:19" x14ac:dyDescent="0.25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>VLOOKUP(F1352,'Customer Info'!$A:$B,2,0)</f>
        <v>Duane</v>
      </c>
      <c r="H1352" s="6" t="str">
        <f>VLOOKUP(F1352,'Customer Info'!$A$1:$C$501,3,0)</f>
        <v>Benoit</v>
      </c>
      <c r="I1352" s="6" t="str">
        <f>VLOOKUP(F1352,Customer,5,0)</f>
        <v>Tamworth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11812</v>
      </c>
      <c r="O1352" s="2">
        <v>34</v>
      </c>
      <c r="P1352" s="8">
        <f t="shared" si="102"/>
        <v>11846</v>
      </c>
      <c r="Q1352" s="8">
        <f t="shared" si="103"/>
        <v>1280</v>
      </c>
      <c r="R1352" s="2" t="s">
        <v>28</v>
      </c>
      <c r="S1352" s="24">
        <f t="shared" si="104"/>
        <v>0.05</v>
      </c>
    </row>
    <row r="1353" spans="1:19" x14ac:dyDescent="0.25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>VLOOKUP(F1353,'Customer Info'!$A:$B,2,0)</f>
        <v>Philip</v>
      </c>
      <c r="H1353" s="6" t="str">
        <f>VLOOKUP(F1353,'Customer Info'!$A$1:$C$501,3,0)</f>
        <v>Brown</v>
      </c>
      <c r="I1353" s="6" t="str">
        <f>VLOOKUP(F1353,Customer,5,0)</f>
        <v>Binjai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24012</v>
      </c>
      <c r="O1353" s="2">
        <v>59</v>
      </c>
      <c r="P1353" s="8">
        <f t="shared" si="102"/>
        <v>24071</v>
      </c>
      <c r="Q1353" s="8">
        <f t="shared" si="103"/>
        <v>1548</v>
      </c>
      <c r="R1353" s="2" t="s">
        <v>50</v>
      </c>
      <c r="S1353" s="24">
        <f t="shared" si="104"/>
        <v>0.05</v>
      </c>
    </row>
    <row r="1354" spans="1:19" x14ac:dyDescent="0.25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>VLOOKUP(F1354,'Customer Info'!$A:$B,2,0)</f>
        <v>Steven</v>
      </c>
      <c r="H1354" s="6" t="str">
        <f>VLOOKUP(F1354,'Customer Info'!$A$1:$C$501,3,0)</f>
        <v>Cartwright</v>
      </c>
      <c r="I1354" s="6" t="str">
        <f>VLOOKUP(F1354,Customer,5,0)</f>
        <v>Newcastle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1332</v>
      </c>
      <c r="O1354" s="2">
        <v>43</v>
      </c>
      <c r="P1354" s="8">
        <f t="shared" si="102"/>
        <v>1375</v>
      </c>
      <c r="Q1354" s="8">
        <f t="shared" si="103"/>
        <v>108</v>
      </c>
      <c r="R1354" s="2" t="s">
        <v>28</v>
      </c>
      <c r="S1354" s="24">
        <f t="shared" si="104"/>
        <v>0.02</v>
      </c>
    </row>
    <row r="1355" spans="1:19" x14ac:dyDescent="0.25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>VLOOKUP(F1355,'Customer Info'!$A:$B,2,0)</f>
        <v>Adam</v>
      </c>
      <c r="H1355" s="6" t="str">
        <f>VLOOKUP(F1355,'Customer Info'!$A$1:$C$501,3,0)</f>
        <v>Bellavance</v>
      </c>
      <c r="I1355" s="6" t="str">
        <f>VLOOKUP(F1355,Customer,5,0)</f>
        <v>Medan</v>
      </c>
      <c r="J1355" s="2">
        <v>1358</v>
      </c>
      <c r="K1355" s="2">
        <v>1257</v>
      </c>
      <c r="L1355" s="2">
        <v>2</v>
      </c>
      <c r="M1355" s="7">
        <f t="shared" ref="M1355:M1418" si="105">K1355*L1355</f>
        <v>2514</v>
      </c>
      <c r="N1355" s="7">
        <f t="shared" ref="N1355:N1418" si="106">J1355*L1355</f>
        <v>2716</v>
      </c>
      <c r="O1355" s="2">
        <v>33</v>
      </c>
      <c r="P1355" s="8">
        <f t="shared" ref="P1355:P1418" si="107">N1355+O1355</f>
        <v>2749</v>
      </c>
      <c r="Q1355" s="8">
        <f t="shared" ref="Q1355:Q1418" si="108">N1355-M1355</f>
        <v>202</v>
      </c>
      <c r="R1355" s="2" t="s">
        <v>28</v>
      </c>
      <c r="S1355" s="24">
        <f t="shared" ref="S1355:S1418" si="109">VLOOKUP(N1355,$T$1:$U$7,2,TRUE)</f>
        <v>0.02</v>
      </c>
    </row>
    <row r="1356" spans="1:19" x14ac:dyDescent="0.25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>VLOOKUP(F1356,'Customer Info'!$A:$B,2,0)</f>
        <v>Stuart</v>
      </c>
      <c r="H1356" s="6" t="str">
        <f>VLOOKUP(F1356,'Customer Info'!$A$1:$C$501,3,0)</f>
        <v>Calhoun</v>
      </c>
      <c r="I1356" s="6" t="str">
        <f>VLOOKUP(F1356,Customer,5,0)</f>
        <v>Nowra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8">
        <f t="shared" si="107"/>
        <v>6464</v>
      </c>
      <c r="Q1356" s="8">
        <f t="shared" si="108"/>
        <v>588</v>
      </c>
      <c r="R1356" s="2" t="s">
        <v>50</v>
      </c>
      <c r="S1356" s="24">
        <f t="shared" si="109"/>
        <v>0.05</v>
      </c>
    </row>
    <row r="1357" spans="1:19" x14ac:dyDescent="0.25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>VLOOKUP(F1357,'Customer Info'!$A:$B,2,0)</f>
        <v>Vivek</v>
      </c>
      <c r="H1357" s="6" t="str">
        <f>VLOOKUP(F1357,'Customer Info'!$A$1:$C$501,3,0)</f>
        <v>Grady</v>
      </c>
      <c r="I1357" s="6" t="str">
        <f>VLOOKUP(F1357,Customer,5,0)</f>
        <v>Shantou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8">
        <f t="shared" si="107"/>
        <v>714</v>
      </c>
      <c r="Q1357" s="8">
        <f t="shared" si="108"/>
        <v>72</v>
      </c>
      <c r="R1357" s="2" t="s">
        <v>28</v>
      </c>
      <c r="S1357" s="24">
        <f t="shared" si="109"/>
        <v>0.02</v>
      </c>
    </row>
    <row r="1358" spans="1:19" x14ac:dyDescent="0.25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>VLOOKUP(F1358,'Customer Info'!$A:$B,2,0)</f>
        <v>Tom</v>
      </c>
      <c r="H1358" s="6" t="str">
        <f>VLOOKUP(F1358,'Customer Info'!$A$1:$C$501,3,0)</f>
        <v>Prescott</v>
      </c>
      <c r="I1358" s="6" t="str">
        <f>VLOOKUP(F1358,Customer,5,0)</f>
        <v>Bokaro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8">
        <f t="shared" si="107"/>
        <v>6358</v>
      </c>
      <c r="Q1358" s="8">
        <f t="shared" si="108"/>
        <v>354</v>
      </c>
      <c r="R1358" s="2" t="s">
        <v>50</v>
      </c>
      <c r="S1358" s="24">
        <f t="shared" si="109"/>
        <v>0.05</v>
      </c>
    </row>
    <row r="1359" spans="1:19" x14ac:dyDescent="0.25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>VLOOKUP(F1359,'Customer Info'!$A:$B,2,0)</f>
        <v>John</v>
      </c>
      <c r="H1359" s="6" t="str">
        <f>VLOOKUP(F1359,'Customer Info'!$A$1:$C$501,3,0)</f>
        <v>Castell</v>
      </c>
      <c r="I1359" s="6" t="str">
        <f>VLOOKUP(F1359,Customer,5,0)</f>
        <v>Jakarta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8">
        <f t="shared" si="107"/>
        <v>148</v>
      </c>
      <c r="Q1359" s="8">
        <f t="shared" si="108"/>
        <v>10</v>
      </c>
      <c r="R1359" s="2" t="s">
        <v>28</v>
      </c>
      <c r="S1359" s="24">
        <f t="shared" si="109"/>
        <v>0.02</v>
      </c>
    </row>
    <row r="1360" spans="1:19" x14ac:dyDescent="0.25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>VLOOKUP(F1360,'Customer Info'!$A:$B,2,0)</f>
        <v>Keith</v>
      </c>
      <c r="H1360" s="6" t="str">
        <f>VLOOKUP(F1360,'Customer Info'!$A$1:$C$501,3,0)</f>
        <v>Herrera</v>
      </c>
      <c r="I1360" s="6" t="str">
        <f>VLOOKUP(F1360,Customer,5,0)</f>
        <v>Jakarta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3849</v>
      </c>
      <c r="O1360" s="2">
        <v>69</v>
      </c>
      <c r="P1360" s="8">
        <f t="shared" si="107"/>
        <v>3918</v>
      </c>
      <c r="Q1360" s="8">
        <f t="shared" si="108"/>
        <v>288</v>
      </c>
      <c r="R1360" s="2" t="s">
        <v>50</v>
      </c>
      <c r="S1360" s="24">
        <f t="shared" si="109"/>
        <v>0.02</v>
      </c>
    </row>
    <row r="1361" spans="1:19" x14ac:dyDescent="0.25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>VLOOKUP(F1361,'Customer Info'!$A:$B,2,0)</f>
        <v>Dianna</v>
      </c>
      <c r="H1361" s="6" t="str">
        <f>VLOOKUP(F1361,'Customer Info'!$A$1:$C$501,3,0)</f>
        <v>Vittorini</v>
      </c>
      <c r="I1361" s="6" t="str">
        <f>VLOOKUP(F1361,Customer,5,0)</f>
        <v>Gold Coast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682</v>
      </c>
      <c r="O1361" s="2">
        <v>10</v>
      </c>
      <c r="P1361" s="8">
        <f t="shared" si="107"/>
        <v>692</v>
      </c>
      <c r="Q1361" s="8">
        <f t="shared" si="108"/>
        <v>44</v>
      </c>
      <c r="R1361" s="2" t="s">
        <v>50</v>
      </c>
      <c r="S1361" s="24">
        <f t="shared" si="109"/>
        <v>0.02</v>
      </c>
    </row>
    <row r="1362" spans="1:19" x14ac:dyDescent="0.25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>VLOOKUP(F1362,'Customer Info'!$A:$B,2,0)</f>
        <v>Ritsa</v>
      </c>
      <c r="H1362" s="6" t="str">
        <f>VLOOKUP(F1362,'Customer Info'!$A$1:$C$501,3,0)</f>
        <v>Hightower</v>
      </c>
      <c r="I1362" s="6" t="str">
        <f>VLOOKUP(F1362,Customer,5,0)</f>
        <v>Hamburg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10775</v>
      </c>
      <c r="O1362" s="2">
        <v>56</v>
      </c>
      <c r="P1362" s="8">
        <f t="shared" si="107"/>
        <v>10831</v>
      </c>
      <c r="Q1362" s="8">
        <f t="shared" si="108"/>
        <v>705</v>
      </c>
      <c r="R1362" s="2" t="s">
        <v>28</v>
      </c>
      <c r="S1362" s="24">
        <f t="shared" si="109"/>
        <v>0.05</v>
      </c>
    </row>
    <row r="1363" spans="1:19" x14ac:dyDescent="0.25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>VLOOKUP(F1363,'Customer Info'!$A:$B,2,0)</f>
        <v>Susan</v>
      </c>
      <c r="H1363" s="6" t="str">
        <f>VLOOKUP(F1363,'Customer Info'!$A$1:$C$501,3,0)</f>
        <v>Pistek</v>
      </c>
      <c r="I1363" s="6" t="str">
        <f>VLOOKUP(F1363,Customer,5,0)</f>
        <v>Padang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3112</v>
      </c>
      <c r="O1363" s="2">
        <v>93</v>
      </c>
      <c r="P1363" s="8">
        <f t="shared" si="107"/>
        <v>3205</v>
      </c>
      <c r="Q1363" s="8">
        <f t="shared" si="108"/>
        <v>284</v>
      </c>
      <c r="R1363" s="2" t="s">
        <v>28</v>
      </c>
      <c r="S1363" s="24">
        <f t="shared" si="109"/>
        <v>0.02</v>
      </c>
    </row>
    <row r="1364" spans="1:19" x14ac:dyDescent="0.25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>VLOOKUP(F1364,'Customer Info'!$A:$B,2,0)</f>
        <v>Paul</v>
      </c>
      <c r="H1364" s="6" t="str">
        <f>VLOOKUP(F1364,'Customer Info'!$A$1:$C$501,3,0)</f>
        <v>Knutson</v>
      </c>
      <c r="I1364" s="6" t="str">
        <f>VLOOKUP(F1364,Customer,5,0)</f>
        <v>Gold Coast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2906</v>
      </c>
      <c r="O1364" s="2">
        <v>32</v>
      </c>
      <c r="P1364" s="8">
        <f t="shared" si="107"/>
        <v>2938</v>
      </c>
      <c r="Q1364" s="8">
        <f t="shared" si="108"/>
        <v>84</v>
      </c>
      <c r="R1364" s="2" t="s">
        <v>28</v>
      </c>
      <c r="S1364" s="24">
        <f t="shared" si="109"/>
        <v>0.02</v>
      </c>
    </row>
    <row r="1365" spans="1:19" x14ac:dyDescent="0.25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>VLOOKUP(F1365,'Customer Info'!$A:$B,2,0)</f>
        <v>Emily</v>
      </c>
      <c r="H1365" s="6" t="str">
        <f>VLOOKUP(F1365,'Customer Info'!$A$1:$C$501,3,0)</f>
        <v>Burns</v>
      </c>
      <c r="I1365" s="6" t="str">
        <f>VLOOKUP(F1365,Customer,5,0)</f>
        <v>Chennai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864</v>
      </c>
      <c r="O1365" s="2">
        <v>30</v>
      </c>
      <c r="P1365" s="8">
        <f t="shared" si="107"/>
        <v>894</v>
      </c>
      <c r="Q1365" s="8">
        <f t="shared" si="108"/>
        <v>72</v>
      </c>
      <c r="R1365" s="2" t="s">
        <v>50</v>
      </c>
      <c r="S1365" s="24">
        <f t="shared" si="109"/>
        <v>0.02</v>
      </c>
    </row>
    <row r="1366" spans="1:19" x14ac:dyDescent="0.25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>VLOOKUP(F1366,'Customer Info'!$A:$B,2,0)</f>
        <v>Bryan</v>
      </c>
      <c r="H1366" s="6" t="str">
        <f>VLOOKUP(F1366,'Customer Info'!$A$1:$C$501,3,0)</f>
        <v>Spruell</v>
      </c>
      <c r="I1366" s="6" t="str">
        <f>VLOOKUP(F1366,Customer,5,0)</f>
        <v>Bekasi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572</v>
      </c>
      <c r="O1366" s="2">
        <v>30</v>
      </c>
      <c r="P1366" s="8">
        <f t="shared" si="107"/>
        <v>602</v>
      </c>
      <c r="Q1366" s="8">
        <f t="shared" si="108"/>
        <v>24</v>
      </c>
      <c r="R1366" s="2" t="s">
        <v>26</v>
      </c>
      <c r="S1366" s="24">
        <f t="shared" si="109"/>
        <v>0.02</v>
      </c>
    </row>
    <row r="1367" spans="1:19" x14ac:dyDescent="0.25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>VLOOKUP(F1367,'Customer Info'!$A:$B,2,0)</f>
        <v>Caroline</v>
      </c>
      <c r="H1367" s="6" t="str">
        <f>VLOOKUP(F1367,'Customer Info'!$A$1:$C$501,3,0)</f>
        <v>Jumper</v>
      </c>
      <c r="I1367" s="6" t="str">
        <f>VLOOKUP(F1367,Customer,5,0)</f>
        <v>Xuzhou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103980</v>
      </c>
      <c r="O1367" s="2">
        <v>49</v>
      </c>
      <c r="P1367" s="8">
        <f t="shared" si="107"/>
        <v>104029</v>
      </c>
      <c r="Q1367" s="8">
        <f t="shared" si="108"/>
        <v>11304</v>
      </c>
      <c r="R1367" s="2" t="s">
        <v>28</v>
      </c>
      <c r="S1367" s="24">
        <f t="shared" si="109"/>
        <v>0.12</v>
      </c>
    </row>
    <row r="1368" spans="1:19" x14ac:dyDescent="0.25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>VLOOKUP(F1368,'Customer Info'!$A:$B,2,0)</f>
        <v>Sung</v>
      </c>
      <c r="H1368" s="6" t="str">
        <f>VLOOKUP(F1368,'Customer Info'!$A$1:$C$501,3,0)</f>
        <v>Pak</v>
      </c>
      <c r="I1368" s="6" t="str">
        <f>VLOOKUP(F1368,Customer,5,0)</f>
        <v>Chaozhou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10448</v>
      </c>
      <c r="O1368" s="2">
        <v>35</v>
      </c>
      <c r="P1368" s="8">
        <f t="shared" si="107"/>
        <v>10483</v>
      </c>
      <c r="Q1368" s="8">
        <f t="shared" si="108"/>
        <v>872</v>
      </c>
      <c r="R1368" s="2" t="s">
        <v>28</v>
      </c>
      <c r="S1368" s="24">
        <f t="shared" si="109"/>
        <v>0.05</v>
      </c>
    </row>
    <row r="1369" spans="1:19" x14ac:dyDescent="0.25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>VLOOKUP(F1369,'Customer Info'!$A:$B,2,0)</f>
        <v>Steven</v>
      </c>
      <c r="H1369" s="6" t="str">
        <f>VLOOKUP(F1369,'Customer Info'!$A$1:$C$501,3,0)</f>
        <v>Cartwright</v>
      </c>
      <c r="I1369" s="6" t="str">
        <f>VLOOKUP(F1369,Customer,5,0)</f>
        <v>Newcastle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811</v>
      </c>
      <c r="O1369" s="2">
        <v>63</v>
      </c>
      <c r="P1369" s="8">
        <f t="shared" si="107"/>
        <v>874</v>
      </c>
      <c r="Q1369" s="8">
        <f t="shared" si="108"/>
        <v>31</v>
      </c>
      <c r="R1369" s="2" t="s">
        <v>50</v>
      </c>
      <c r="S1369" s="24">
        <f t="shared" si="109"/>
        <v>0.02</v>
      </c>
    </row>
    <row r="1370" spans="1:19" x14ac:dyDescent="0.25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>VLOOKUP(F1370,'Customer Info'!$A:$B,2,0)</f>
        <v>Philip</v>
      </c>
      <c r="H1370" s="6" t="str">
        <f>VLOOKUP(F1370,'Customer Info'!$A$1:$C$501,3,0)</f>
        <v>Fox</v>
      </c>
      <c r="I1370" s="6" t="str">
        <f>VLOOKUP(F1370,Customer,5,0)</f>
        <v>Mount Isa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864</v>
      </c>
      <c r="O1370" s="2">
        <v>61</v>
      </c>
      <c r="P1370" s="8">
        <f t="shared" si="107"/>
        <v>925</v>
      </c>
      <c r="Q1370" s="8">
        <f t="shared" si="108"/>
        <v>72</v>
      </c>
      <c r="R1370" s="2" t="s">
        <v>28</v>
      </c>
      <c r="S1370" s="24">
        <f t="shared" si="109"/>
        <v>0.02</v>
      </c>
    </row>
    <row r="1371" spans="1:19" x14ac:dyDescent="0.25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>VLOOKUP(F1371,'Customer Info'!$A:$B,2,0)</f>
        <v>Joy</v>
      </c>
      <c r="H1371" s="6" t="str">
        <f>VLOOKUP(F1371,'Customer Info'!$A$1:$C$501,3,0)</f>
        <v>Bell</v>
      </c>
      <c r="I1371" s="6" t="str">
        <f>VLOOKUP(F1371,Customer,5,0)</f>
        <v>Tongchuan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596</v>
      </c>
      <c r="O1371" s="2">
        <v>30</v>
      </c>
      <c r="P1371" s="8">
        <f t="shared" si="107"/>
        <v>626</v>
      </c>
      <c r="Q1371" s="8">
        <f t="shared" si="108"/>
        <v>72</v>
      </c>
      <c r="R1371" s="2" t="s">
        <v>28</v>
      </c>
      <c r="S1371" s="24">
        <f t="shared" si="109"/>
        <v>0.02</v>
      </c>
    </row>
    <row r="1372" spans="1:19" x14ac:dyDescent="0.25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>VLOOKUP(F1372,'Customer Info'!$A:$B,2,0)</f>
        <v>Liz</v>
      </c>
      <c r="H1372" s="6" t="str">
        <f>VLOOKUP(F1372,'Customer Info'!$A$1:$C$501,3,0)</f>
        <v>Pelletier</v>
      </c>
      <c r="I1372" s="6" t="str">
        <f>VLOOKUP(F1372,Customer,5,0)</f>
        <v>Zigong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10626</v>
      </c>
      <c r="O1372" s="2">
        <v>70</v>
      </c>
      <c r="P1372" s="8">
        <f t="shared" si="107"/>
        <v>10696</v>
      </c>
      <c r="Q1372" s="8">
        <f t="shared" si="108"/>
        <v>882</v>
      </c>
      <c r="R1372" s="2" t="s">
        <v>28</v>
      </c>
      <c r="S1372" s="24">
        <f t="shared" si="109"/>
        <v>0.05</v>
      </c>
    </row>
    <row r="1373" spans="1:19" x14ac:dyDescent="0.25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>VLOOKUP(F1373,'Customer Info'!$A:$B,2,0)</f>
        <v>Rob</v>
      </c>
      <c r="H1373" s="6" t="str">
        <f>VLOOKUP(F1373,'Customer Info'!$A$1:$C$501,3,0)</f>
        <v>Williams</v>
      </c>
      <c r="I1373" s="6" t="str">
        <f>VLOOKUP(F1373,Customer,5,0)</f>
        <v>Wodonga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576</v>
      </c>
      <c r="O1373" s="2">
        <v>10</v>
      </c>
      <c r="P1373" s="8">
        <f t="shared" si="107"/>
        <v>586</v>
      </c>
      <c r="Q1373" s="8">
        <f t="shared" si="108"/>
        <v>54</v>
      </c>
      <c r="R1373" s="2" t="s">
        <v>50</v>
      </c>
      <c r="S1373" s="24">
        <f t="shared" si="109"/>
        <v>0.02</v>
      </c>
    </row>
    <row r="1374" spans="1:19" x14ac:dyDescent="0.25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>VLOOKUP(F1374,'Customer Info'!$A:$B,2,0)</f>
        <v>Tamara</v>
      </c>
      <c r="H1374" s="6" t="str">
        <f>VLOOKUP(F1374,'Customer Info'!$A$1:$C$501,3,0)</f>
        <v>Willingham</v>
      </c>
      <c r="I1374" s="6" t="str">
        <f>VLOOKUP(F1374,Customer,5,0)</f>
        <v>Sindelfingen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9812</v>
      </c>
      <c r="O1374" s="2">
        <v>55</v>
      </c>
      <c r="P1374" s="8">
        <f t="shared" si="107"/>
        <v>9867</v>
      </c>
      <c r="Q1374" s="8">
        <f t="shared" si="108"/>
        <v>468</v>
      </c>
      <c r="R1374" s="2" t="s">
        <v>28</v>
      </c>
      <c r="S1374" s="24">
        <f t="shared" si="109"/>
        <v>0.05</v>
      </c>
    </row>
    <row r="1375" spans="1:19" x14ac:dyDescent="0.25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>VLOOKUP(F1375,'Customer Info'!$A:$B,2,0)</f>
        <v>Thomas</v>
      </c>
      <c r="H1375" s="6" t="str">
        <f>VLOOKUP(F1375,'Customer Info'!$A$1:$C$501,3,0)</f>
        <v>Seio</v>
      </c>
      <c r="I1375" s="6" t="str">
        <f>VLOOKUP(F1375,Customer,5,0)</f>
        <v>Melbourne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13270</v>
      </c>
      <c r="O1375" s="2">
        <v>60</v>
      </c>
      <c r="P1375" s="8">
        <f t="shared" si="107"/>
        <v>13330</v>
      </c>
      <c r="Q1375" s="8">
        <f t="shared" si="108"/>
        <v>628</v>
      </c>
      <c r="R1375" s="2" t="s">
        <v>28</v>
      </c>
      <c r="S1375" s="24">
        <f t="shared" si="109"/>
        <v>0.05</v>
      </c>
    </row>
    <row r="1376" spans="1:19" x14ac:dyDescent="0.25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>VLOOKUP(F1376,'Customer Info'!$A:$B,2,0)</f>
        <v>Max</v>
      </c>
      <c r="H1376" s="6" t="str">
        <f>VLOOKUP(F1376,'Customer Info'!$A$1:$C$501,3,0)</f>
        <v>Ludwig</v>
      </c>
      <c r="I1376" s="6" t="str">
        <f>VLOOKUP(F1376,Customer,5,0)</f>
        <v>Cirebon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16281</v>
      </c>
      <c r="O1376" s="2">
        <v>60</v>
      </c>
      <c r="P1376" s="8">
        <f t="shared" si="107"/>
        <v>16341</v>
      </c>
      <c r="Q1376" s="8">
        <f t="shared" si="108"/>
        <v>1062</v>
      </c>
      <c r="R1376" s="2" t="s">
        <v>28</v>
      </c>
      <c r="S1376" s="24">
        <f t="shared" si="109"/>
        <v>0.05</v>
      </c>
    </row>
    <row r="1377" spans="1:19" x14ac:dyDescent="0.25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>VLOOKUP(F1377,'Customer Info'!$A:$B,2,0)</f>
        <v>Tamara</v>
      </c>
      <c r="H1377" s="6" t="str">
        <f>VLOOKUP(F1377,'Customer Info'!$A$1:$C$501,3,0)</f>
        <v>Willingham</v>
      </c>
      <c r="I1377" s="6" t="str">
        <f>VLOOKUP(F1377,Customer,5,0)</f>
        <v>Perth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1010</v>
      </c>
      <c r="O1377" s="2">
        <v>61</v>
      </c>
      <c r="P1377" s="8">
        <f t="shared" si="107"/>
        <v>1071</v>
      </c>
      <c r="Q1377" s="8">
        <f t="shared" si="108"/>
        <v>84</v>
      </c>
      <c r="R1377" s="2" t="s">
        <v>50</v>
      </c>
      <c r="S1377" s="24">
        <f t="shared" si="109"/>
        <v>0.02</v>
      </c>
    </row>
    <row r="1378" spans="1:19" x14ac:dyDescent="0.25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>VLOOKUP(F1378,'Customer Info'!$A:$B,2,0)</f>
        <v>Michael</v>
      </c>
      <c r="H1378" s="6" t="str">
        <f>VLOOKUP(F1378,'Customer Info'!$A$1:$C$501,3,0)</f>
        <v>Nguyen</v>
      </c>
      <c r="I1378" s="6" t="str">
        <f>VLOOKUP(F1378,Customer,5,0)</f>
        <v>Berlin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1658</v>
      </c>
      <c r="O1378" s="2">
        <v>81</v>
      </c>
      <c r="P1378" s="8">
        <f t="shared" si="107"/>
        <v>1739</v>
      </c>
      <c r="Q1378" s="8">
        <f t="shared" si="108"/>
        <v>136</v>
      </c>
      <c r="R1378" s="2" t="s">
        <v>28</v>
      </c>
      <c r="S1378" s="24">
        <f t="shared" si="109"/>
        <v>0.02</v>
      </c>
    </row>
    <row r="1379" spans="1:19" x14ac:dyDescent="0.25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>VLOOKUP(F1379,'Customer Info'!$A:$B,2,0)</f>
        <v>Ivan</v>
      </c>
      <c r="H1379" s="6" t="str">
        <f>VLOOKUP(F1379,'Customer Info'!$A$1:$C$501,3,0)</f>
        <v>Gibson</v>
      </c>
      <c r="I1379" s="6" t="str">
        <f>VLOOKUP(F1379,Customer,5,0)</f>
        <v>Shanghai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15844</v>
      </c>
      <c r="O1379" s="2">
        <v>91</v>
      </c>
      <c r="P1379" s="8">
        <f t="shared" si="107"/>
        <v>15935</v>
      </c>
      <c r="Q1379" s="8">
        <f t="shared" si="108"/>
        <v>1188</v>
      </c>
      <c r="R1379" s="2" t="s">
        <v>56</v>
      </c>
      <c r="S1379" s="24">
        <f t="shared" si="109"/>
        <v>0.05</v>
      </c>
    </row>
    <row r="1380" spans="1:19" x14ac:dyDescent="0.25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>VLOOKUP(F1380,'Customer Info'!$A:$B,2,0)</f>
        <v>Harold</v>
      </c>
      <c r="H1380" s="6" t="str">
        <f>VLOOKUP(F1380,'Customer Info'!$A$1:$C$501,3,0)</f>
        <v>Dahlen</v>
      </c>
      <c r="I1380" s="6" t="str">
        <f>VLOOKUP(F1380,Customer,5,0)</f>
        <v>Melbourne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10864</v>
      </c>
      <c r="O1380" s="2">
        <v>28</v>
      </c>
      <c r="P1380" s="8">
        <f t="shared" si="107"/>
        <v>10892</v>
      </c>
      <c r="Q1380" s="8">
        <f t="shared" si="108"/>
        <v>602</v>
      </c>
      <c r="R1380" s="2" t="s">
        <v>50</v>
      </c>
      <c r="S1380" s="24">
        <f t="shared" si="109"/>
        <v>0.05</v>
      </c>
    </row>
    <row r="1381" spans="1:19" x14ac:dyDescent="0.25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>VLOOKUP(F1381,'Customer Info'!$A:$B,2,0)</f>
        <v>Magdelene</v>
      </c>
      <c r="H1381" s="6" t="str">
        <f>VLOOKUP(F1381,'Customer Info'!$A$1:$C$501,3,0)</f>
        <v>Morse</v>
      </c>
      <c r="I1381" s="6" t="str">
        <f>VLOOKUP(F1381,Customer,5,0)</f>
        <v>Berlin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354</v>
      </c>
      <c r="O1381" s="2">
        <v>30</v>
      </c>
      <c r="P1381" s="8">
        <f t="shared" si="107"/>
        <v>384</v>
      </c>
      <c r="Q1381" s="8">
        <f t="shared" si="108"/>
        <v>16</v>
      </c>
      <c r="R1381" s="2" t="s">
        <v>28</v>
      </c>
      <c r="S1381" s="24">
        <f t="shared" si="109"/>
        <v>0.02</v>
      </c>
    </row>
    <row r="1382" spans="1:19" x14ac:dyDescent="0.25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>VLOOKUP(F1382,'Customer Info'!$A:$B,2,0)</f>
        <v>Ralph</v>
      </c>
      <c r="H1382" s="6" t="str">
        <f>VLOOKUP(F1382,'Customer Info'!$A$1:$C$501,3,0)</f>
        <v>Kennedy</v>
      </c>
      <c r="I1382" s="6" t="str">
        <f>VLOOKUP(F1382,Customer,5,0)</f>
        <v>Perth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5132</v>
      </c>
      <c r="O1382" s="2">
        <v>28</v>
      </c>
      <c r="P1382" s="8">
        <f t="shared" si="107"/>
        <v>5160</v>
      </c>
      <c r="Q1382" s="8">
        <f t="shared" si="108"/>
        <v>384</v>
      </c>
      <c r="R1382" s="2" t="s">
        <v>50</v>
      </c>
      <c r="S1382" s="24">
        <f t="shared" si="109"/>
        <v>0.05</v>
      </c>
    </row>
    <row r="1383" spans="1:19" x14ac:dyDescent="0.25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>VLOOKUP(F1383,'Customer Info'!$A:$B,2,0)</f>
        <v>Shui</v>
      </c>
      <c r="H1383" s="6" t="str">
        <f>VLOOKUP(F1383,'Customer Info'!$A$1:$C$501,3,0)</f>
        <v>Tom</v>
      </c>
      <c r="I1383" s="6" t="str">
        <f>VLOOKUP(F1383,Customer,5,0)</f>
        <v>Jakarta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5006</v>
      </c>
      <c r="O1383" s="2">
        <v>60</v>
      </c>
      <c r="P1383" s="8">
        <f t="shared" si="107"/>
        <v>5066</v>
      </c>
      <c r="Q1383" s="8">
        <f t="shared" si="108"/>
        <v>98</v>
      </c>
      <c r="R1383" s="2" t="s">
        <v>28</v>
      </c>
      <c r="S1383" s="24">
        <f t="shared" si="109"/>
        <v>0.05</v>
      </c>
    </row>
    <row r="1384" spans="1:19" x14ac:dyDescent="0.25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>VLOOKUP(F1384,'Customer Info'!$A:$B,2,0)</f>
        <v>Aaron</v>
      </c>
      <c r="H1384" s="6" t="str">
        <f>VLOOKUP(F1384,'Customer Info'!$A$1:$C$501,3,0)</f>
        <v>Hawkins</v>
      </c>
      <c r="I1384" s="6" t="str">
        <f>VLOOKUP(F1384,Customer,5,0)</f>
        <v>Minden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2365</v>
      </c>
      <c r="O1384" s="2">
        <v>85</v>
      </c>
      <c r="P1384" s="8">
        <f t="shared" si="107"/>
        <v>2450</v>
      </c>
      <c r="Q1384" s="8">
        <f t="shared" si="108"/>
        <v>133</v>
      </c>
      <c r="R1384" s="2" t="s">
        <v>28</v>
      </c>
      <c r="S1384" s="24">
        <f t="shared" si="109"/>
        <v>0.02</v>
      </c>
    </row>
    <row r="1385" spans="1:19" x14ac:dyDescent="0.25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>VLOOKUP(F1385,'Customer Info'!$A:$B,2,0)</f>
        <v>Laurel</v>
      </c>
      <c r="H1385" s="6" t="str">
        <f>VLOOKUP(F1385,'Customer Info'!$A$1:$C$501,3,0)</f>
        <v>Beltran</v>
      </c>
      <c r="I1385" s="6" t="str">
        <f>VLOOKUP(F1385,Customer,5,0)</f>
        <v>Melbourne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1654</v>
      </c>
      <c r="O1385" s="2">
        <v>41</v>
      </c>
      <c r="P1385" s="8">
        <f t="shared" si="107"/>
        <v>1695</v>
      </c>
      <c r="Q1385" s="8">
        <f t="shared" si="108"/>
        <v>77</v>
      </c>
      <c r="R1385" s="2" t="s">
        <v>28</v>
      </c>
      <c r="S1385" s="24">
        <f t="shared" si="109"/>
        <v>0.02</v>
      </c>
    </row>
    <row r="1386" spans="1:19" x14ac:dyDescent="0.25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>VLOOKUP(F1386,'Customer Info'!$A:$B,2,0)</f>
        <v>Monica</v>
      </c>
      <c r="H1386" s="6" t="str">
        <f>VLOOKUP(F1386,'Customer Info'!$A$1:$C$501,3,0)</f>
        <v>Federle</v>
      </c>
      <c r="I1386" s="6" t="str">
        <f>VLOOKUP(F1386,Customer,5,0)</f>
        <v>Lismore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9768</v>
      </c>
      <c r="O1386" s="2">
        <v>95</v>
      </c>
      <c r="P1386" s="8">
        <f t="shared" si="107"/>
        <v>9863</v>
      </c>
      <c r="Q1386" s="8">
        <f t="shared" si="108"/>
        <v>552</v>
      </c>
      <c r="R1386" s="2" t="s">
        <v>28</v>
      </c>
      <c r="S1386" s="24">
        <f t="shared" si="109"/>
        <v>0.05</v>
      </c>
    </row>
    <row r="1387" spans="1:19" x14ac:dyDescent="0.25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>VLOOKUP(F1387,'Customer Info'!$A:$B,2,0)</f>
        <v>Sanjit</v>
      </c>
      <c r="H1387" s="6" t="str">
        <f>VLOOKUP(F1387,'Customer Info'!$A$1:$C$501,3,0)</f>
        <v>Chand</v>
      </c>
      <c r="I1387" s="6" t="str">
        <f>VLOOKUP(F1387,Customer,5,0)</f>
        <v>Thiruvananthapuram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14189</v>
      </c>
      <c r="O1387" s="2">
        <v>39</v>
      </c>
      <c r="P1387" s="8">
        <f t="shared" si="107"/>
        <v>14228</v>
      </c>
      <c r="Q1387" s="8">
        <f t="shared" si="108"/>
        <v>798</v>
      </c>
      <c r="R1387" s="2" t="s">
        <v>28</v>
      </c>
      <c r="S1387" s="24">
        <f t="shared" si="109"/>
        <v>0.05</v>
      </c>
    </row>
    <row r="1388" spans="1:19" x14ac:dyDescent="0.25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>VLOOKUP(F1388,'Customer Info'!$A:$B,2,0)</f>
        <v>Anemone</v>
      </c>
      <c r="H1388" s="6" t="str">
        <f>VLOOKUP(F1388,'Customer Info'!$A$1:$C$501,3,0)</f>
        <v>Ratner</v>
      </c>
      <c r="I1388" s="6" t="str">
        <f>VLOOKUP(F1388,Customer,5,0)</f>
        <v>Pune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135</v>
      </c>
      <c r="O1388" s="2">
        <v>30</v>
      </c>
      <c r="P1388" s="8">
        <f t="shared" si="107"/>
        <v>165</v>
      </c>
      <c r="Q1388" s="8">
        <f t="shared" si="108"/>
        <v>6</v>
      </c>
      <c r="R1388" s="2" t="s">
        <v>26</v>
      </c>
      <c r="S1388" s="24">
        <f t="shared" si="109"/>
        <v>0.02</v>
      </c>
    </row>
    <row r="1389" spans="1:19" x14ac:dyDescent="0.25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>VLOOKUP(F1389,'Customer Info'!$A:$B,2,0)</f>
        <v>Alex</v>
      </c>
      <c r="H1389" s="6" t="str">
        <f>VLOOKUP(F1389,'Customer Info'!$A$1:$C$501,3,0)</f>
        <v>Avila</v>
      </c>
      <c r="I1389" s="6" t="str">
        <f>VLOOKUP(F1389,Customer,5,0)</f>
        <v>Berlin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3645</v>
      </c>
      <c r="O1389" s="2">
        <v>54</v>
      </c>
      <c r="P1389" s="8">
        <f t="shared" si="107"/>
        <v>3699</v>
      </c>
      <c r="Q1389" s="8">
        <f t="shared" si="108"/>
        <v>200</v>
      </c>
      <c r="R1389" s="2" t="s">
        <v>28</v>
      </c>
      <c r="S1389" s="24">
        <f t="shared" si="109"/>
        <v>0.02</v>
      </c>
    </row>
    <row r="1390" spans="1:19" x14ac:dyDescent="0.25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>VLOOKUP(F1390,'Customer Info'!$A:$B,2,0)</f>
        <v>Kunst</v>
      </c>
      <c r="H1390" s="6" t="str">
        <f>VLOOKUP(F1390,'Customer Info'!$A$1:$C$501,3,0)</f>
        <v>Miller</v>
      </c>
      <c r="I1390" s="6" t="str">
        <f>VLOOKUP(F1390,Customer,5,0)</f>
        <v>Jakarta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3091</v>
      </c>
      <c r="O1390" s="2">
        <v>94</v>
      </c>
      <c r="P1390" s="8">
        <f t="shared" si="107"/>
        <v>3185</v>
      </c>
      <c r="Q1390" s="8">
        <f t="shared" si="108"/>
        <v>202</v>
      </c>
      <c r="R1390" s="2" t="s">
        <v>28</v>
      </c>
      <c r="S1390" s="24">
        <f t="shared" si="109"/>
        <v>0.02</v>
      </c>
    </row>
    <row r="1391" spans="1:19" x14ac:dyDescent="0.25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>VLOOKUP(F1391,'Customer Info'!$A:$B,2,0)</f>
        <v>Olvera</v>
      </c>
      <c r="H1391" s="6" t="str">
        <f>VLOOKUP(F1391,'Customer Info'!$A$1:$C$501,3,0)</f>
        <v>Toch</v>
      </c>
      <c r="I1391" s="6" t="str">
        <f>VLOOKUP(F1391,Customer,5,0)</f>
        <v>Neubrandenburg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2835</v>
      </c>
      <c r="O1391" s="2">
        <v>93</v>
      </c>
      <c r="P1391" s="8">
        <f t="shared" si="107"/>
        <v>2928</v>
      </c>
      <c r="Q1391" s="8">
        <f t="shared" si="108"/>
        <v>168</v>
      </c>
      <c r="R1391" s="2" t="s">
        <v>28</v>
      </c>
      <c r="S1391" s="24">
        <f t="shared" si="109"/>
        <v>0.02</v>
      </c>
    </row>
    <row r="1392" spans="1:19" x14ac:dyDescent="0.25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>VLOOKUP(F1392,'Customer Info'!$A:$B,2,0)</f>
        <v>Rachel</v>
      </c>
      <c r="H1392" s="6" t="str">
        <f>VLOOKUP(F1392,'Customer Info'!$A$1:$C$501,3,0)</f>
        <v>Payne</v>
      </c>
      <c r="I1392" s="6" t="str">
        <f>VLOOKUP(F1392,Customer,5,0)</f>
        <v>Raipur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2580</v>
      </c>
      <c r="O1392" s="2">
        <v>36</v>
      </c>
      <c r="P1392" s="8">
        <f t="shared" si="107"/>
        <v>2616</v>
      </c>
      <c r="Q1392" s="8">
        <f t="shared" si="108"/>
        <v>320</v>
      </c>
      <c r="R1392" s="2" t="s">
        <v>50</v>
      </c>
      <c r="S1392" s="24">
        <f t="shared" si="109"/>
        <v>0.02</v>
      </c>
    </row>
    <row r="1393" spans="1:19" x14ac:dyDescent="0.25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>VLOOKUP(F1393,'Customer Info'!$A:$B,2,0)</f>
        <v>Anthony</v>
      </c>
      <c r="H1393" s="6" t="str">
        <f>VLOOKUP(F1393,'Customer Info'!$A$1:$C$501,3,0)</f>
        <v>Rawles</v>
      </c>
      <c r="I1393" s="6" t="str">
        <f>VLOOKUP(F1393,Customer,5,0)</f>
        <v>Samarinda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5556</v>
      </c>
      <c r="O1393" s="2">
        <v>68</v>
      </c>
      <c r="P1393" s="8">
        <f t="shared" si="107"/>
        <v>5624</v>
      </c>
      <c r="Q1393" s="8">
        <f t="shared" si="108"/>
        <v>410</v>
      </c>
      <c r="R1393" s="2" t="s">
        <v>28</v>
      </c>
      <c r="S1393" s="24">
        <f t="shared" si="109"/>
        <v>0.05</v>
      </c>
    </row>
    <row r="1394" spans="1:19" x14ac:dyDescent="0.25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>VLOOKUP(F1394,'Customer Info'!$A:$B,2,0)</f>
        <v>Mitch</v>
      </c>
      <c r="H1394" s="6" t="str">
        <f>VLOOKUP(F1394,'Customer Info'!$A$1:$C$501,3,0)</f>
        <v>Willingham</v>
      </c>
      <c r="I1394" s="6" t="str">
        <f>VLOOKUP(F1394,Customer,5,0)</f>
        <v>Surakarta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13461</v>
      </c>
      <c r="O1394" s="2">
        <v>84</v>
      </c>
      <c r="P1394" s="8">
        <f t="shared" si="107"/>
        <v>13545</v>
      </c>
      <c r="Q1394" s="8">
        <f t="shared" si="108"/>
        <v>858</v>
      </c>
      <c r="R1394" s="2" t="s">
        <v>50</v>
      </c>
      <c r="S1394" s="24">
        <f t="shared" si="109"/>
        <v>0.05</v>
      </c>
    </row>
    <row r="1395" spans="1:19" x14ac:dyDescent="0.25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>VLOOKUP(F1395,'Customer Info'!$A:$B,2,0)</f>
        <v>Darren</v>
      </c>
      <c r="H1395" s="6" t="str">
        <f>VLOOKUP(F1395,'Customer Info'!$A$1:$C$501,3,0)</f>
        <v>Budd</v>
      </c>
      <c r="I1395" s="6" t="str">
        <f>VLOOKUP(F1395,Customer,5,0)</f>
        <v>Jakarta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3090</v>
      </c>
      <c r="O1395" s="2">
        <v>76</v>
      </c>
      <c r="P1395" s="8">
        <f t="shared" si="107"/>
        <v>3166</v>
      </c>
      <c r="Q1395" s="8">
        <f t="shared" si="108"/>
        <v>118</v>
      </c>
      <c r="R1395" s="2" t="s">
        <v>50</v>
      </c>
      <c r="S1395" s="24">
        <f t="shared" si="109"/>
        <v>0.02</v>
      </c>
    </row>
    <row r="1396" spans="1:19" x14ac:dyDescent="0.25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>VLOOKUP(F1396,'Customer Info'!$A:$B,2,0)</f>
        <v>Brad</v>
      </c>
      <c r="H1396" s="6" t="str">
        <f>VLOOKUP(F1396,'Customer Info'!$A$1:$C$501,3,0)</f>
        <v>Eason</v>
      </c>
      <c r="I1396" s="6" t="str">
        <f>VLOOKUP(F1396,Customer,5,0)</f>
        <v>Oberhausen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1440</v>
      </c>
      <c r="O1396" s="2">
        <v>69</v>
      </c>
      <c r="P1396" s="8">
        <f t="shared" si="107"/>
        <v>1509</v>
      </c>
      <c r="Q1396" s="8">
        <f t="shared" si="108"/>
        <v>120</v>
      </c>
      <c r="R1396" s="2" t="s">
        <v>28</v>
      </c>
      <c r="S1396" s="24">
        <f t="shared" si="109"/>
        <v>0.02</v>
      </c>
    </row>
    <row r="1397" spans="1:19" x14ac:dyDescent="0.25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>VLOOKUP(F1397,'Customer Info'!$A:$B,2,0)</f>
        <v>Jenna</v>
      </c>
      <c r="H1397" s="6" t="str">
        <f>VLOOKUP(F1397,'Customer Info'!$A$1:$C$501,3,0)</f>
        <v>Caffey</v>
      </c>
      <c r="I1397" s="6" t="str">
        <f>VLOOKUP(F1397,Customer,5,0)</f>
        <v>Kanpur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7624</v>
      </c>
      <c r="O1397" s="2">
        <v>29</v>
      </c>
      <c r="P1397" s="8">
        <f t="shared" si="107"/>
        <v>7653</v>
      </c>
      <c r="Q1397" s="8">
        <f t="shared" si="108"/>
        <v>432</v>
      </c>
      <c r="R1397" s="2" t="s">
        <v>28</v>
      </c>
      <c r="S1397" s="24">
        <f t="shared" si="109"/>
        <v>0.05</v>
      </c>
    </row>
    <row r="1398" spans="1:19" x14ac:dyDescent="0.25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>VLOOKUP(F1398,'Customer Info'!$A:$B,2,0)</f>
        <v>Jack</v>
      </c>
      <c r="H1398" s="6" t="str">
        <f>VLOOKUP(F1398,'Customer Info'!$A$1:$C$501,3,0)</f>
        <v>Lebron</v>
      </c>
      <c r="I1398" s="6" t="str">
        <f>VLOOKUP(F1398,Customer,5,0)</f>
        <v>Bremen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14211</v>
      </c>
      <c r="O1398" s="2">
        <v>95</v>
      </c>
      <c r="P1398" s="8">
        <f t="shared" si="107"/>
        <v>14306</v>
      </c>
      <c r="Q1398" s="8">
        <f t="shared" si="108"/>
        <v>792</v>
      </c>
      <c r="R1398" s="2" t="s">
        <v>26</v>
      </c>
      <c r="S1398" s="24">
        <f t="shared" si="109"/>
        <v>0.05</v>
      </c>
    </row>
    <row r="1399" spans="1:19" x14ac:dyDescent="0.25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>VLOOKUP(F1399,'Customer Info'!$A:$B,2,0)</f>
        <v>Harold</v>
      </c>
      <c r="H1399" s="6" t="str">
        <f>VLOOKUP(F1399,'Customer Info'!$A$1:$C$501,3,0)</f>
        <v>Pawlan</v>
      </c>
      <c r="I1399" s="6" t="str">
        <f>VLOOKUP(F1399,Customer,5,0)</f>
        <v>Banda Aceh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6264</v>
      </c>
      <c r="O1399" s="2">
        <v>79</v>
      </c>
      <c r="P1399" s="8">
        <f t="shared" si="107"/>
        <v>6343</v>
      </c>
      <c r="Q1399" s="8">
        <f t="shared" si="108"/>
        <v>354</v>
      </c>
      <c r="R1399" s="2" t="s">
        <v>50</v>
      </c>
      <c r="S1399" s="24">
        <f t="shared" si="109"/>
        <v>0.05</v>
      </c>
    </row>
    <row r="1400" spans="1:19" x14ac:dyDescent="0.25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>VLOOKUP(F1400,'Customer Info'!$A:$B,2,0)</f>
        <v>Olvera</v>
      </c>
      <c r="H1400" s="6" t="str">
        <f>VLOOKUP(F1400,'Customer Info'!$A$1:$C$501,3,0)</f>
        <v>Toch</v>
      </c>
      <c r="I1400" s="6" t="str">
        <f>VLOOKUP(F1400,Customer,5,0)</f>
        <v>Wollongong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35350</v>
      </c>
      <c r="O1400" s="2">
        <v>72</v>
      </c>
      <c r="P1400" s="8">
        <f t="shared" si="107"/>
        <v>35422</v>
      </c>
      <c r="Q1400" s="8">
        <f t="shared" si="108"/>
        <v>2313</v>
      </c>
      <c r="R1400" s="2" t="s">
        <v>26</v>
      </c>
      <c r="S1400" s="24">
        <f t="shared" si="109"/>
        <v>7.0000000000000007E-2</v>
      </c>
    </row>
    <row r="1401" spans="1:19" x14ac:dyDescent="0.25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>VLOOKUP(F1401,'Customer Info'!$A:$B,2,0)</f>
        <v>Debra</v>
      </c>
      <c r="H1401" s="6" t="str">
        <f>VLOOKUP(F1401,'Customer Info'!$A$1:$C$501,3,0)</f>
        <v>Catini</v>
      </c>
      <c r="I1401" s="6" t="str">
        <f>VLOOKUP(F1401,Customer,5,0)</f>
        <v>Zhengzhou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11018</v>
      </c>
      <c r="O1401" s="2">
        <v>58</v>
      </c>
      <c r="P1401" s="8">
        <f t="shared" si="107"/>
        <v>11076</v>
      </c>
      <c r="Q1401" s="8">
        <f t="shared" si="108"/>
        <v>1393</v>
      </c>
      <c r="R1401" s="2" t="s">
        <v>28</v>
      </c>
      <c r="S1401" s="24">
        <f t="shared" si="109"/>
        <v>0.05</v>
      </c>
    </row>
    <row r="1402" spans="1:19" x14ac:dyDescent="0.25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>VLOOKUP(F1402,'Customer Info'!$A:$B,2,0)</f>
        <v>Art</v>
      </c>
      <c r="H1402" s="6" t="str">
        <f>VLOOKUP(F1402,'Customer Info'!$A$1:$C$501,3,0)</f>
        <v>Foster</v>
      </c>
      <c r="I1402" s="6" t="str">
        <f>VLOOKUP(F1402,Customer,5,0)</f>
        <v>Devonport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1605</v>
      </c>
      <c r="O1402" s="2">
        <v>74</v>
      </c>
      <c r="P1402" s="8">
        <f t="shared" si="107"/>
        <v>1679</v>
      </c>
      <c r="Q1402" s="8">
        <f t="shared" si="108"/>
        <v>118</v>
      </c>
      <c r="R1402" s="2" t="s">
        <v>28</v>
      </c>
      <c r="S1402" s="24">
        <f t="shared" si="109"/>
        <v>0.02</v>
      </c>
    </row>
    <row r="1403" spans="1:19" x14ac:dyDescent="0.25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>VLOOKUP(F1403,'Customer Info'!$A:$B,2,0)</f>
        <v>Laurel</v>
      </c>
      <c r="H1403" s="6" t="str">
        <f>VLOOKUP(F1403,'Customer Info'!$A$1:$C$501,3,0)</f>
        <v>Workman</v>
      </c>
      <c r="I1403" s="6" t="str">
        <f>VLOOKUP(F1403,Customer,5,0)</f>
        <v>Dongguan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189745</v>
      </c>
      <c r="O1403" s="2">
        <v>82</v>
      </c>
      <c r="P1403" s="8">
        <f t="shared" si="107"/>
        <v>189827</v>
      </c>
      <c r="Q1403" s="8">
        <f t="shared" si="108"/>
        <v>15665</v>
      </c>
      <c r="R1403" s="2" t="s">
        <v>28</v>
      </c>
      <c r="S1403" s="24">
        <f t="shared" si="109"/>
        <v>0.12</v>
      </c>
    </row>
    <row r="1404" spans="1:19" x14ac:dyDescent="0.25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>VLOOKUP(F1404,'Customer Info'!$A:$B,2,0)</f>
        <v>Jennifer</v>
      </c>
      <c r="H1404" s="6" t="str">
        <f>VLOOKUP(F1404,'Customer Info'!$A$1:$C$501,3,0)</f>
        <v>Jackson</v>
      </c>
      <c r="I1404" s="6" t="str">
        <f>VLOOKUP(F1404,Customer,5,0)</f>
        <v>Queanbeyan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1190</v>
      </c>
      <c r="O1404" s="2">
        <v>30</v>
      </c>
      <c r="P1404" s="8">
        <f t="shared" si="107"/>
        <v>1220</v>
      </c>
      <c r="Q1404" s="8">
        <f t="shared" si="108"/>
        <v>70</v>
      </c>
      <c r="R1404" s="2" t="s">
        <v>26</v>
      </c>
      <c r="S1404" s="24">
        <f t="shared" si="109"/>
        <v>0.02</v>
      </c>
    </row>
    <row r="1405" spans="1:19" x14ac:dyDescent="0.25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>VLOOKUP(F1405,'Customer Info'!$A:$B,2,0)</f>
        <v>Hallie</v>
      </c>
      <c r="H1405" s="6" t="str">
        <f>VLOOKUP(F1405,'Customer Info'!$A$1:$C$501,3,0)</f>
        <v>Redmond</v>
      </c>
      <c r="I1405" s="6" t="str">
        <f>VLOOKUP(F1405,Customer,5,0)</f>
        <v>Caloundra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28522</v>
      </c>
      <c r="O1405" s="2">
        <v>62</v>
      </c>
      <c r="P1405" s="8">
        <f t="shared" si="107"/>
        <v>28584</v>
      </c>
      <c r="Q1405" s="8">
        <f t="shared" si="108"/>
        <v>2138</v>
      </c>
      <c r="R1405" s="2" t="s">
        <v>50</v>
      </c>
      <c r="S1405" s="24">
        <f t="shared" si="109"/>
        <v>7.0000000000000007E-2</v>
      </c>
    </row>
    <row r="1406" spans="1:19" x14ac:dyDescent="0.25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>VLOOKUP(F1406,'Customer Info'!$A:$B,2,0)</f>
        <v>Carl</v>
      </c>
      <c r="H1406" s="6" t="str">
        <f>VLOOKUP(F1406,'Customer Info'!$A$1:$C$501,3,0)</f>
        <v>Weiss</v>
      </c>
      <c r="I1406" s="6" t="str">
        <f>VLOOKUP(F1406,Customer,5,0)</f>
        <v>Tianjin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10302</v>
      </c>
      <c r="O1406" s="2">
        <v>68</v>
      </c>
      <c r="P1406" s="8">
        <f t="shared" si="107"/>
        <v>10370</v>
      </c>
      <c r="Q1406" s="8">
        <f t="shared" si="108"/>
        <v>390</v>
      </c>
      <c r="R1406" s="2" t="s">
        <v>50</v>
      </c>
      <c r="S1406" s="24">
        <f t="shared" si="109"/>
        <v>0.05</v>
      </c>
    </row>
    <row r="1407" spans="1:19" x14ac:dyDescent="0.25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>VLOOKUP(F1407,'Customer Info'!$A:$B,2,0)</f>
        <v>Sam</v>
      </c>
      <c r="H1407" s="6" t="str">
        <f>VLOOKUP(F1407,'Customer Info'!$A$1:$C$501,3,0)</f>
        <v>Craven</v>
      </c>
      <c r="I1407" s="6" t="str">
        <f>VLOOKUP(F1407,Customer,5,0)</f>
        <v>Hyderabad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26319</v>
      </c>
      <c r="O1407" s="2">
        <v>45</v>
      </c>
      <c r="P1407" s="8">
        <f t="shared" si="107"/>
        <v>26364</v>
      </c>
      <c r="Q1407" s="8">
        <f t="shared" si="108"/>
        <v>1974</v>
      </c>
      <c r="R1407" s="2" t="s">
        <v>28</v>
      </c>
      <c r="S1407" s="24">
        <f t="shared" si="109"/>
        <v>7.0000000000000007E-2</v>
      </c>
    </row>
    <row r="1408" spans="1:19" x14ac:dyDescent="0.25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>VLOOKUP(F1408,'Customer Info'!$A:$B,2,0)</f>
        <v>Max</v>
      </c>
      <c r="H1408" s="6" t="str">
        <f>VLOOKUP(F1408,'Customer Info'!$A$1:$C$501,3,0)</f>
        <v>Jones</v>
      </c>
      <c r="I1408" s="6" t="str">
        <f>VLOOKUP(F1408,Customer,5,0)</f>
        <v>Yuncheng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428</v>
      </c>
      <c r="O1408" s="2">
        <v>62</v>
      </c>
      <c r="P1408" s="8">
        <f t="shared" si="107"/>
        <v>490</v>
      </c>
      <c r="Q1408" s="8">
        <f t="shared" si="108"/>
        <v>30</v>
      </c>
      <c r="R1408" s="2" t="s">
        <v>28</v>
      </c>
      <c r="S1408" s="24">
        <f t="shared" si="109"/>
        <v>0.02</v>
      </c>
    </row>
    <row r="1409" spans="1:19" x14ac:dyDescent="0.25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>VLOOKUP(F1409,'Customer Info'!$A:$B,2,0)</f>
        <v>Denise</v>
      </c>
      <c r="H1409" s="6" t="str">
        <f>VLOOKUP(F1409,'Customer Info'!$A$1:$C$501,3,0)</f>
        <v>Leinenbach</v>
      </c>
      <c r="I1409" s="6" t="str">
        <f>VLOOKUP(F1409,Customer,5,0)</f>
        <v>Bhiwandi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7925</v>
      </c>
      <c r="O1409" s="2">
        <v>82</v>
      </c>
      <c r="P1409" s="8">
        <f t="shared" si="107"/>
        <v>8007</v>
      </c>
      <c r="Q1409" s="8">
        <f t="shared" si="108"/>
        <v>450</v>
      </c>
      <c r="R1409" s="2" t="s">
        <v>28</v>
      </c>
      <c r="S1409" s="24">
        <f t="shared" si="109"/>
        <v>0.05</v>
      </c>
    </row>
    <row r="1410" spans="1:19" x14ac:dyDescent="0.25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>VLOOKUP(F1410,'Customer Info'!$A:$B,2,0)</f>
        <v>Alex</v>
      </c>
      <c r="H1410" s="6" t="str">
        <f>VLOOKUP(F1410,'Customer Info'!$A$1:$C$501,3,0)</f>
        <v>Avila</v>
      </c>
      <c r="I1410" s="6" t="str">
        <f>VLOOKUP(F1410,Customer,5,0)</f>
        <v>Agra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6819</v>
      </c>
      <c r="O1410" s="2">
        <v>61</v>
      </c>
      <c r="P1410" s="8">
        <f t="shared" si="107"/>
        <v>6880</v>
      </c>
      <c r="Q1410" s="8">
        <f t="shared" si="108"/>
        <v>132</v>
      </c>
      <c r="R1410" s="2" t="s">
        <v>28</v>
      </c>
      <c r="S1410" s="24">
        <f t="shared" si="109"/>
        <v>0.05</v>
      </c>
    </row>
    <row r="1411" spans="1:19" x14ac:dyDescent="0.25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>VLOOKUP(F1411,'Customer Info'!$A:$B,2,0)</f>
        <v>Brian</v>
      </c>
      <c r="H1411" s="6" t="str">
        <f>VLOOKUP(F1411,'Customer Info'!$A$1:$C$501,3,0)</f>
        <v>DeCherney</v>
      </c>
      <c r="I1411" s="6" t="str">
        <f>VLOOKUP(F1411,Customer,5,0)</f>
        <v>Kendari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3406</v>
      </c>
      <c r="O1411" s="2">
        <v>90</v>
      </c>
      <c r="P1411" s="8">
        <f t="shared" si="107"/>
        <v>3496</v>
      </c>
      <c r="Q1411" s="8">
        <f t="shared" si="108"/>
        <v>128</v>
      </c>
      <c r="R1411" s="2" t="s">
        <v>50</v>
      </c>
      <c r="S1411" s="24">
        <f t="shared" si="109"/>
        <v>0.02</v>
      </c>
    </row>
    <row r="1412" spans="1:19" x14ac:dyDescent="0.25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>VLOOKUP(F1412,'Customer Info'!$A:$B,2,0)</f>
        <v>Monica</v>
      </c>
      <c r="H1412" s="6" t="str">
        <f>VLOOKUP(F1412,'Customer Info'!$A$1:$C$501,3,0)</f>
        <v>Federle</v>
      </c>
      <c r="I1412" s="6" t="str">
        <f>VLOOKUP(F1412,Customer,5,0)</f>
        <v>Lismore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22827</v>
      </c>
      <c r="O1412" s="2">
        <v>70</v>
      </c>
      <c r="P1412" s="8">
        <f t="shared" si="107"/>
        <v>22897</v>
      </c>
      <c r="Q1412" s="8">
        <f t="shared" si="108"/>
        <v>1083</v>
      </c>
      <c r="R1412" s="2" t="s">
        <v>28</v>
      </c>
      <c r="S1412" s="24">
        <f t="shared" si="109"/>
        <v>0.05</v>
      </c>
    </row>
    <row r="1413" spans="1:19" x14ac:dyDescent="0.25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>VLOOKUP(F1413,'Customer Info'!$A:$B,2,0)</f>
        <v>Nick</v>
      </c>
      <c r="H1413" s="6" t="str">
        <f>VLOOKUP(F1413,'Customer Info'!$A$1:$C$501,3,0)</f>
        <v>Radford</v>
      </c>
      <c r="I1413" s="6" t="str">
        <f>VLOOKUP(F1413,Customer,5,0)</f>
        <v>Lucknow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16798</v>
      </c>
      <c r="O1413" s="2">
        <v>40</v>
      </c>
      <c r="P1413" s="8">
        <f t="shared" si="107"/>
        <v>16838</v>
      </c>
      <c r="Q1413" s="8">
        <f t="shared" si="108"/>
        <v>796</v>
      </c>
      <c r="R1413" s="2" t="s">
        <v>28</v>
      </c>
      <c r="S1413" s="24">
        <f t="shared" si="109"/>
        <v>0.05</v>
      </c>
    </row>
    <row r="1414" spans="1:19" x14ac:dyDescent="0.25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>VLOOKUP(F1414,'Customer Info'!$A:$B,2,0)</f>
        <v>Denise</v>
      </c>
      <c r="H1414" s="6" t="str">
        <f>VLOOKUP(F1414,'Customer Info'!$A$1:$C$501,3,0)</f>
        <v>Leinenbach</v>
      </c>
      <c r="I1414" s="6" t="str">
        <f>VLOOKUP(F1414,Customer,5,0)</f>
        <v>Bhiwandi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13220</v>
      </c>
      <c r="O1414" s="2">
        <v>32</v>
      </c>
      <c r="P1414" s="8">
        <f t="shared" si="107"/>
        <v>13252</v>
      </c>
      <c r="Q1414" s="8">
        <f t="shared" si="108"/>
        <v>1095</v>
      </c>
      <c r="R1414" s="2" t="s">
        <v>28</v>
      </c>
      <c r="S1414" s="24">
        <f t="shared" si="109"/>
        <v>0.05</v>
      </c>
    </row>
    <row r="1415" spans="1:19" x14ac:dyDescent="0.25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>VLOOKUP(F1415,'Customer Info'!$A:$B,2,0)</f>
        <v>Peter</v>
      </c>
      <c r="H1415" s="6" t="str">
        <f>VLOOKUP(F1415,'Customer Info'!$A$1:$C$501,3,0)</f>
        <v>BŸhler</v>
      </c>
      <c r="I1415" s="6" t="str">
        <f>VLOOKUP(F1415,Customer,5,0)</f>
        <v>Dresden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228176</v>
      </c>
      <c r="O1415" s="2">
        <v>43</v>
      </c>
      <c r="P1415" s="8">
        <f t="shared" si="107"/>
        <v>228219</v>
      </c>
      <c r="Q1415" s="8">
        <f t="shared" si="108"/>
        <v>17104</v>
      </c>
      <c r="R1415" s="2" t="s">
        <v>28</v>
      </c>
      <c r="S1415" s="24">
        <f t="shared" si="109"/>
        <v>0.12</v>
      </c>
    </row>
    <row r="1416" spans="1:19" x14ac:dyDescent="0.25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>VLOOKUP(F1416,'Customer Info'!$A:$B,2,0)</f>
        <v>Max</v>
      </c>
      <c r="H1416" s="6" t="str">
        <f>VLOOKUP(F1416,'Customer Info'!$A$1:$C$501,3,0)</f>
        <v>Ludwig</v>
      </c>
      <c r="I1416" s="6" t="str">
        <f>VLOOKUP(F1416,Customer,5,0)</f>
        <v>Newcastle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9912</v>
      </c>
      <c r="O1416" s="2">
        <v>27</v>
      </c>
      <c r="P1416" s="8">
        <f t="shared" si="107"/>
        <v>9939</v>
      </c>
      <c r="Q1416" s="8">
        <f t="shared" si="108"/>
        <v>288</v>
      </c>
      <c r="R1416" s="2" t="s">
        <v>26</v>
      </c>
      <c r="S1416" s="24">
        <f t="shared" si="109"/>
        <v>0.05</v>
      </c>
    </row>
    <row r="1417" spans="1:19" x14ac:dyDescent="0.25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>VLOOKUP(F1417,'Customer Info'!$A:$B,2,0)</f>
        <v>Steven</v>
      </c>
      <c r="H1417" s="6" t="str">
        <f>VLOOKUP(F1417,'Customer Info'!$A$1:$C$501,3,0)</f>
        <v>Roelle</v>
      </c>
      <c r="I1417" s="6" t="str">
        <f>VLOOKUP(F1417,Customer,5,0)</f>
        <v>Bonn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6800</v>
      </c>
      <c r="O1417" s="2">
        <v>62</v>
      </c>
      <c r="P1417" s="8">
        <f t="shared" si="107"/>
        <v>6862</v>
      </c>
      <c r="Q1417" s="8">
        <f t="shared" si="108"/>
        <v>320</v>
      </c>
      <c r="R1417" s="2" t="s">
        <v>56</v>
      </c>
      <c r="S1417" s="24">
        <f t="shared" si="109"/>
        <v>0.05</v>
      </c>
    </row>
    <row r="1418" spans="1:19" x14ac:dyDescent="0.25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>VLOOKUP(F1418,'Customer Info'!$A:$B,2,0)</f>
        <v>Meg</v>
      </c>
      <c r="H1418" s="6" t="str">
        <f>VLOOKUP(F1418,'Customer Info'!$A$1:$C$501,3,0)</f>
        <v>Tillman</v>
      </c>
      <c r="I1418" s="6" t="str">
        <f>VLOOKUP(F1418,Customer,5,0)</f>
        <v>Bangalore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2700</v>
      </c>
      <c r="O1418" s="2">
        <v>67</v>
      </c>
      <c r="P1418" s="8">
        <f t="shared" si="107"/>
        <v>2767</v>
      </c>
      <c r="Q1418" s="8">
        <f t="shared" si="108"/>
        <v>198</v>
      </c>
      <c r="R1418" s="2" t="s">
        <v>50</v>
      </c>
      <c r="S1418" s="24">
        <f t="shared" si="109"/>
        <v>0.02</v>
      </c>
    </row>
    <row r="1419" spans="1:19" x14ac:dyDescent="0.25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>VLOOKUP(F1419,'Customer Info'!$A:$B,2,0)</f>
        <v>Neil</v>
      </c>
      <c r="H1419" s="6" t="str">
        <f>VLOOKUP(F1419,'Customer Info'!$A$1:$C$501,3,0)</f>
        <v>Franzšsisch</v>
      </c>
      <c r="I1419" s="6" t="str">
        <f>VLOOKUP(F1419,Customer,5,0)</f>
        <v>Mount Isa</v>
      </c>
      <c r="J1419" s="2">
        <v>8889</v>
      </c>
      <c r="K1419" s="2">
        <v>8469</v>
      </c>
      <c r="L1419" s="2">
        <v>2</v>
      </c>
      <c r="M1419" s="7">
        <f t="shared" ref="M1419:M1482" si="110">K1419*L1419</f>
        <v>16938</v>
      </c>
      <c r="N1419" s="7">
        <f t="shared" ref="N1419:N1482" si="111">J1419*L1419</f>
        <v>17778</v>
      </c>
      <c r="O1419" s="2">
        <v>47</v>
      </c>
      <c r="P1419" s="8">
        <f t="shared" ref="P1419:P1482" si="112">N1419+O1419</f>
        <v>17825</v>
      </c>
      <c r="Q1419" s="8">
        <f t="shared" ref="Q1419:Q1482" si="113">N1419-M1419</f>
        <v>840</v>
      </c>
      <c r="R1419" s="2" t="s">
        <v>28</v>
      </c>
      <c r="S1419" s="24">
        <f t="shared" ref="S1419:S1482" si="114">VLOOKUP(N1419,$T$1:$U$7,2,TRUE)</f>
        <v>0.05</v>
      </c>
    </row>
    <row r="1420" spans="1:19" x14ac:dyDescent="0.25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>VLOOKUP(F1420,'Customer Info'!$A:$B,2,0)</f>
        <v>Laurel</v>
      </c>
      <c r="H1420" s="6" t="str">
        <f>VLOOKUP(F1420,'Customer Info'!$A$1:$C$501,3,0)</f>
        <v>Workman</v>
      </c>
      <c r="I1420" s="6" t="str">
        <f>VLOOKUP(F1420,Customer,5,0)</f>
        <v>Leipzig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8">
        <f t="shared" si="112"/>
        <v>2302</v>
      </c>
      <c r="Q1420" s="8">
        <f t="shared" si="113"/>
        <v>147</v>
      </c>
      <c r="R1420" s="2" t="s">
        <v>50</v>
      </c>
      <c r="S1420" s="24">
        <f t="shared" si="114"/>
        <v>0.02</v>
      </c>
    </row>
    <row r="1421" spans="1:19" x14ac:dyDescent="0.25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>VLOOKUP(F1421,'Customer Info'!$A:$B,2,0)</f>
        <v>Rachel</v>
      </c>
      <c r="H1421" s="6" t="str">
        <f>VLOOKUP(F1421,'Customer Info'!$A$1:$C$501,3,0)</f>
        <v>Payne</v>
      </c>
      <c r="I1421" s="6" t="str">
        <f>VLOOKUP(F1421,Customer,5,0)</f>
        <v>Caloundra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8">
        <f t="shared" si="112"/>
        <v>4031</v>
      </c>
      <c r="Q1421" s="8">
        <f t="shared" si="113"/>
        <v>250</v>
      </c>
      <c r="R1421" s="2" t="s">
        <v>50</v>
      </c>
      <c r="S1421" s="24">
        <f t="shared" si="114"/>
        <v>0.02</v>
      </c>
    </row>
    <row r="1422" spans="1:19" x14ac:dyDescent="0.25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>VLOOKUP(F1422,'Customer Info'!$A:$B,2,0)</f>
        <v>Elpida</v>
      </c>
      <c r="H1422" s="6" t="str">
        <f>VLOOKUP(F1422,'Customer Info'!$A$1:$C$501,3,0)</f>
        <v>Rittenbach</v>
      </c>
      <c r="I1422" s="6" t="str">
        <f>VLOOKUP(F1422,Customer,5,0)</f>
        <v>Melbourne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8">
        <f t="shared" si="112"/>
        <v>15031</v>
      </c>
      <c r="Q1422" s="8">
        <f t="shared" si="113"/>
        <v>1232</v>
      </c>
      <c r="R1422" s="2" t="s">
        <v>28</v>
      </c>
      <c r="S1422" s="24">
        <f t="shared" si="114"/>
        <v>0.05</v>
      </c>
    </row>
    <row r="1423" spans="1:19" x14ac:dyDescent="0.25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>VLOOKUP(F1423,'Customer Info'!$A:$B,2,0)</f>
        <v>Nicole</v>
      </c>
      <c r="H1423" s="6" t="str">
        <f>VLOOKUP(F1423,'Customer Info'!$A$1:$C$501,3,0)</f>
        <v>Fjeld</v>
      </c>
      <c r="I1423" s="6" t="str">
        <f>VLOOKUP(F1423,Customer,5,0)</f>
        <v>Berlin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8">
        <f t="shared" si="112"/>
        <v>2276</v>
      </c>
      <c r="Q1423" s="8">
        <f t="shared" si="113"/>
        <v>243</v>
      </c>
      <c r="R1423" s="2" t="s">
        <v>28</v>
      </c>
      <c r="S1423" s="24">
        <f t="shared" si="114"/>
        <v>0.02</v>
      </c>
    </row>
    <row r="1424" spans="1:19" x14ac:dyDescent="0.25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>VLOOKUP(F1424,'Customer Info'!$A:$B,2,0)</f>
        <v>Harold</v>
      </c>
      <c r="H1424" s="6" t="str">
        <f>VLOOKUP(F1424,'Customer Info'!$A$1:$C$501,3,0)</f>
        <v>Dahlen</v>
      </c>
      <c r="I1424" s="6" t="str">
        <f>VLOOKUP(F1424,Customer,5,0)</f>
        <v>Melbourne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3632</v>
      </c>
      <c r="O1424" s="2">
        <v>84</v>
      </c>
      <c r="P1424" s="8">
        <f t="shared" si="112"/>
        <v>3716</v>
      </c>
      <c r="Q1424" s="8">
        <f t="shared" si="113"/>
        <v>232</v>
      </c>
      <c r="R1424" s="2" t="s">
        <v>50</v>
      </c>
      <c r="S1424" s="24">
        <f t="shared" si="114"/>
        <v>0.02</v>
      </c>
    </row>
    <row r="1425" spans="1:19" x14ac:dyDescent="0.25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>VLOOKUP(F1425,'Customer Info'!$A:$B,2,0)</f>
        <v>Brooke</v>
      </c>
      <c r="H1425" s="6" t="str">
        <f>VLOOKUP(F1425,'Customer Info'!$A$1:$C$501,3,0)</f>
        <v>Gillingham</v>
      </c>
      <c r="I1425" s="6" t="str">
        <f>VLOOKUP(F1425,Customer,5,0)</f>
        <v>Sunbury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9072</v>
      </c>
      <c r="O1425" s="2">
        <v>87</v>
      </c>
      <c r="P1425" s="8">
        <f t="shared" si="112"/>
        <v>9159</v>
      </c>
      <c r="Q1425" s="8">
        <f t="shared" si="113"/>
        <v>90</v>
      </c>
      <c r="R1425" s="2" t="s">
        <v>50</v>
      </c>
      <c r="S1425" s="24">
        <f t="shared" si="114"/>
        <v>0.05</v>
      </c>
    </row>
    <row r="1426" spans="1:19" x14ac:dyDescent="0.25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>VLOOKUP(F1426,'Customer Info'!$A:$B,2,0)</f>
        <v>Tom</v>
      </c>
      <c r="H1426" s="6" t="str">
        <f>VLOOKUP(F1426,'Customer Info'!$A$1:$C$501,3,0)</f>
        <v>Prescott</v>
      </c>
      <c r="I1426" s="6" t="str">
        <f>VLOOKUP(F1426,Customer,5,0)</f>
        <v>Bokaro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1790</v>
      </c>
      <c r="O1426" s="2">
        <v>89</v>
      </c>
      <c r="P1426" s="8">
        <f t="shared" si="112"/>
        <v>1879</v>
      </c>
      <c r="Q1426" s="8">
        <f t="shared" si="113"/>
        <v>84</v>
      </c>
      <c r="R1426" s="2" t="s">
        <v>50</v>
      </c>
      <c r="S1426" s="24">
        <f t="shared" si="114"/>
        <v>0.02</v>
      </c>
    </row>
    <row r="1427" spans="1:19" x14ac:dyDescent="0.25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>VLOOKUP(F1427,'Customer Info'!$A:$B,2,0)</f>
        <v>Michael</v>
      </c>
      <c r="H1427" s="6" t="str">
        <f>VLOOKUP(F1427,'Customer Info'!$A$1:$C$501,3,0)</f>
        <v>Moore</v>
      </c>
      <c r="I1427" s="6" t="str">
        <f>VLOOKUP(F1427,Customer,5,0)</f>
        <v>Melbourne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35544</v>
      </c>
      <c r="O1427" s="2">
        <v>74</v>
      </c>
      <c r="P1427" s="8">
        <f t="shared" si="112"/>
        <v>35618</v>
      </c>
      <c r="Q1427" s="8">
        <f t="shared" si="113"/>
        <v>2912</v>
      </c>
      <c r="R1427" s="2" t="s">
        <v>28</v>
      </c>
      <c r="S1427" s="24">
        <f t="shared" si="114"/>
        <v>7.0000000000000007E-2</v>
      </c>
    </row>
    <row r="1428" spans="1:19" x14ac:dyDescent="0.25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>VLOOKUP(F1428,'Customer Info'!$A:$B,2,0)</f>
        <v>Jennifer</v>
      </c>
      <c r="H1428" s="6" t="str">
        <f>VLOOKUP(F1428,'Customer Info'!$A$1:$C$501,3,0)</f>
        <v>Halladay</v>
      </c>
      <c r="I1428" s="6" t="str">
        <f>VLOOKUP(F1428,Customer,5,0)</f>
        <v>Bielefeld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20349</v>
      </c>
      <c r="O1428" s="2">
        <v>49</v>
      </c>
      <c r="P1428" s="8">
        <f t="shared" si="112"/>
        <v>20398</v>
      </c>
      <c r="Q1428" s="8">
        <f t="shared" si="113"/>
        <v>1680</v>
      </c>
      <c r="R1428" s="2" t="s">
        <v>50</v>
      </c>
      <c r="S1428" s="24">
        <f t="shared" si="114"/>
        <v>0.05</v>
      </c>
    </row>
    <row r="1429" spans="1:19" x14ac:dyDescent="0.25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>VLOOKUP(F1429,'Customer Info'!$A:$B,2,0)</f>
        <v>Christy</v>
      </c>
      <c r="H1429" s="6" t="str">
        <f>VLOOKUP(F1429,'Customer Info'!$A$1:$C$501,3,0)</f>
        <v>Brittain</v>
      </c>
      <c r="I1429" s="6" t="str">
        <f>VLOOKUP(F1429,Customer,5,0)</f>
        <v>Depok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412</v>
      </c>
      <c r="O1429" s="2">
        <v>30</v>
      </c>
      <c r="P1429" s="8">
        <f t="shared" si="112"/>
        <v>442</v>
      </c>
      <c r="Q1429" s="8">
        <f t="shared" si="113"/>
        <v>34</v>
      </c>
      <c r="R1429" s="2" t="s">
        <v>50</v>
      </c>
      <c r="S1429" s="24">
        <f t="shared" si="114"/>
        <v>0.02</v>
      </c>
    </row>
    <row r="1430" spans="1:19" x14ac:dyDescent="0.25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>VLOOKUP(F1430,'Customer Info'!$A:$B,2,0)</f>
        <v>Sally</v>
      </c>
      <c r="H1430" s="6" t="str">
        <f>VLOOKUP(F1430,'Customer Info'!$A$1:$C$501,3,0)</f>
        <v>Knutson</v>
      </c>
      <c r="I1430" s="6" t="str">
        <f>VLOOKUP(F1430,Customer,5,0)</f>
        <v>CastropRauxel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1104</v>
      </c>
      <c r="O1430" s="2">
        <v>30</v>
      </c>
      <c r="P1430" s="8">
        <f t="shared" si="112"/>
        <v>1134</v>
      </c>
      <c r="Q1430" s="8">
        <f t="shared" si="113"/>
        <v>80</v>
      </c>
      <c r="R1430" s="2" t="s">
        <v>28</v>
      </c>
      <c r="S1430" s="24">
        <f t="shared" si="114"/>
        <v>0.02</v>
      </c>
    </row>
    <row r="1431" spans="1:19" x14ac:dyDescent="0.25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>VLOOKUP(F1431,'Customer Info'!$A:$B,2,0)</f>
        <v>Eugene</v>
      </c>
      <c r="H1431" s="6" t="str">
        <f>VLOOKUP(F1431,'Customer Info'!$A$1:$C$501,3,0)</f>
        <v>Moren</v>
      </c>
      <c r="I1431" s="6" t="str">
        <f>VLOOKUP(F1431,Customer,5,0)</f>
        <v>Patiala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4820</v>
      </c>
      <c r="O1431" s="2">
        <v>73</v>
      </c>
      <c r="P1431" s="8">
        <f t="shared" si="112"/>
        <v>4893</v>
      </c>
      <c r="Q1431" s="8">
        <f t="shared" si="113"/>
        <v>184</v>
      </c>
      <c r="R1431" s="2" t="s">
        <v>28</v>
      </c>
      <c r="S1431" s="24">
        <f t="shared" si="114"/>
        <v>0.02</v>
      </c>
    </row>
    <row r="1432" spans="1:19" x14ac:dyDescent="0.25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>VLOOKUP(F1432,'Customer Info'!$A:$B,2,0)</f>
        <v>Brian</v>
      </c>
      <c r="H1432" s="6" t="str">
        <f>VLOOKUP(F1432,'Customer Info'!$A$1:$C$501,3,0)</f>
        <v>Stugart</v>
      </c>
      <c r="I1432" s="6" t="str">
        <f>VLOOKUP(F1432,Customer,5,0)</f>
        <v>Jakarta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809</v>
      </c>
      <c r="O1432" s="2">
        <v>90</v>
      </c>
      <c r="P1432" s="8">
        <f t="shared" si="112"/>
        <v>899</v>
      </c>
      <c r="Q1432" s="8">
        <f t="shared" si="113"/>
        <v>39</v>
      </c>
      <c r="R1432" s="2" t="s">
        <v>28</v>
      </c>
      <c r="S1432" s="24">
        <f t="shared" si="114"/>
        <v>0.02</v>
      </c>
    </row>
    <row r="1433" spans="1:19" x14ac:dyDescent="0.25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>VLOOKUP(F1433,'Customer Info'!$A:$B,2,0)</f>
        <v>Dave</v>
      </c>
      <c r="H1433" s="6" t="str">
        <f>VLOOKUP(F1433,'Customer Info'!$A$1:$C$501,3,0)</f>
        <v>Hallsten</v>
      </c>
      <c r="I1433" s="6" t="str">
        <f>VLOOKUP(F1433,Customer,5,0)</f>
        <v>Melbourne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1313</v>
      </c>
      <c r="O1433" s="2">
        <v>10</v>
      </c>
      <c r="P1433" s="8">
        <f t="shared" si="112"/>
        <v>1323</v>
      </c>
      <c r="Q1433" s="8">
        <f t="shared" si="113"/>
        <v>39</v>
      </c>
      <c r="R1433" s="2" t="s">
        <v>26</v>
      </c>
      <c r="S1433" s="24">
        <f t="shared" si="114"/>
        <v>0.02</v>
      </c>
    </row>
    <row r="1434" spans="1:19" x14ac:dyDescent="0.25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>VLOOKUP(F1434,'Customer Info'!$A:$B,2,0)</f>
        <v>Claire</v>
      </c>
      <c r="H1434" s="6" t="str">
        <f>VLOOKUP(F1434,'Customer Info'!$A$1:$C$501,3,0)</f>
        <v>Gute</v>
      </c>
      <c r="I1434" s="6" t="str">
        <f>VLOOKUP(F1434,Customer,5,0)</f>
        <v>Shenzhen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41405</v>
      </c>
      <c r="O1434" s="2">
        <v>26</v>
      </c>
      <c r="P1434" s="8">
        <f t="shared" si="112"/>
        <v>41431</v>
      </c>
      <c r="Q1434" s="8">
        <f t="shared" si="113"/>
        <v>3040</v>
      </c>
      <c r="R1434" s="2" t="s">
        <v>26</v>
      </c>
      <c r="S1434" s="24">
        <f t="shared" si="114"/>
        <v>7.0000000000000007E-2</v>
      </c>
    </row>
    <row r="1435" spans="1:19" x14ac:dyDescent="0.25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>VLOOKUP(F1435,'Customer Info'!$A:$B,2,0)</f>
        <v>Anemone</v>
      </c>
      <c r="H1435" s="6" t="str">
        <f>VLOOKUP(F1435,'Customer Info'!$A$1:$C$501,3,0)</f>
        <v>Ratner</v>
      </c>
      <c r="I1435" s="6" t="str">
        <f>VLOOKUP(F1435,Customer,5,0)</f>
        <v>Berlin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5154</v>
      </c>
      <c r="O1435" s="2">
        <v>87</v>
      </c>
      <c r="P1435" s="8">
        <f t="shared" si="112"/>
        <v>5241</v>
      </c>
      <c r="Q1435" s="8">
        <f t="shared" si="113"/>
        <v>519</v>
      </c>
      <c r="R1435" s="2" t="s">
        <v>56</v>
      </c>
      <c r="S1435" s="24">
        <f t="shared" si="114"/>
        <v>0.05</v>
      </c>
    </row>
    <row r="1436" spans="1:19" x14ac:dyDescent="0.25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>VLOOKUP(F1436,'Customer Info'!$A:$B,2,0)</f>
        <v>Deirdre</v>
      </c>
      <c r="H1436" s="6" t="str">
        <f>VLOOKUP(F1436,'Customer Info'!$A$1:$C$501,3,0)</f>
        <v>Greer</v>
      </c>
      <c r="I1436" s="6" t="str">
        <f>VLOOKUP(F1436,Customer,5,0)</f>
        <v>Bandung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4215</v>
      </c>
      <c r="O1436" s="2">
        <v>45</v>
      </c>
      <c r="P1436" s="8">
        <f t="shared" si="112"/>
        <v>4260</v>
      </c>
      <c r="Q1436" s="8">
        <f t="shared" si="113"/>
        <v>354</v>
      </c>
      <c r="R1436" s="2" t="s">
        <v>28</v>
      </c>
      <c r="S1436" s="24">
        <f t="shared" si="114"/>
        <v>0.02</v>
      </c>
    </row>
    <row r="1437" spans="1:19" x14ac:dyDescent="0.25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>VLOOKUP(F1437,'Customer Info'!$A:$B,2,0)</f>
        <v>Meg</v>
      </c>
      <c r="H1437" s="6" t="str">
        <f>VLOOKUP(F1437,'Customer Info'!$A$1:$C$501,3,0)</f>
        <v>Tillman</v>
      </c>
      <c r="I1437" s="6" t="str">
        <f>VLOOKUP(F1437,Customer,5,0)</f>
        <v>Melbourne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5718</v>
      </c>
      <c r="O1437" s="2">
        <v>24</v>
      </c>
      <c r="P1437" s="8">
        <f t="shared" si="112"/>
        <v>5742</v>
      </c>
      <c r="Q1437" s="8">
        <f t="shared" si="113"/>
        <v>324</v>
      </c>
      <c r="R1437" s="2" t="s">
        <v>50</v>
      </c>
      <c r="S1437" s="24">
        <f t="shared" si="114"/>
        <v>0.05</v>
      </c>
    </row>
    <row r="1438" spans="1:19" x14ac:dyDescent="0.25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>VLOOKUP(F1438,'Customer Info'!$A:$B,2,0)</f>
        <v>Toby</v>
      </c>
      <c r="H1438" s="6" t="str">
        <f>VLOOKUP(F1438,'Customer Info'!$A$1:$C$501,3,0)</f>
        <v>Braunhardt</v>
      </c>
      <c r="I1438" s="6" t="str">
        <f>VLOOKUP(F1438,Customer,5,0)</f>
        <v>Perth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2526</v>
      </c>
      <c r="O1438" s="2">
        <v>99</v>
      </c>
      <c r="P1438" s="8">
        <f t="shared" si="112"/>
        <v>2625</v>
      </c>
      <c r="Q1438" s="8">
        <f t="shared" si="113"/>
        <v>118</v>
      </c>
      <c r="R1438" s="2" t="s">
        <v>50</v>
      </c>
      <c r="S1438" s="24">
        <f t="shared" si="114"/>
        <v>0.02</v>
      </c>
    </row>
    <row r="1439" spans="1:19" x14ac:dyDescent="0.25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>VLOOKUP(F1439,'Customer Info'!$A:$B,2,0)</f>
        <v>James</v>
      </c>
      <c r="H1439" s="6" t="str">
        <f>VLOOKUP(F1439,'Customer Info'!$A$1:$C$501,3,0)</f>
        <v>Lanier</v>
      </c>
      <c r="I1439" s="6" t="str">
        <f>VLOOKUP(F1439,Customer,5,0)</f>
        <v>Dortmund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23592</v>
      </c>
      <c r="O1439" s="2">
        <v>81</v>
      </c>
      <c r="P1439" s="8">
        <f t="shared" si="112"/>
        <v>23673</v>
      </c>
      <c r="Q1439" s="8">
        <f t="shared" si="113"/>
        <v>903</v>
      </c>
      <c r="R1439" s="2" t="s">
        <v>56</v>
      </c>
      <c r="S1439" s="24">
        <f t="shared" si="114"/>
        <v>0.05</v>
      </c>
    </row>
    <row r="1440" spans="1:19" x14ac:dyDescent="0.25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>VLOOKUP(F1440,'Customer Info'!$A:$B,2,0)</f>
        <v>Anthony</v>
      </c>
      <c r="H1440" s="6" t="str">
        <f>VLOOKUP(F1440,'Customer Info'!$A$1:$C$501,3,0)</f>
        <v>Garverick</v>
      </c>
      <c r="I1440" s="6" t="str">
        <f>VLOOKUP(F1440,Customer,5,0)</f>
        <v>Delhi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180</v>
      </c>
      <c r="O1440" s="2">
        <v>10</v>
      </c>
      <c r="P1440" s="8">
        <f t="shared" si="112"/>
        <v>190</v>
      </c>
      <c r="Q1440" s="8">
        <f t="shared" si="113"/>
        <v>12</v>
      </c>
      <c r="R1440" s="2" t="s">
        <v>50</v>
      </c>
      <c r="S1440" s="24">
        <f t="shared" si="114"/>
        <v>0.02</v>
      </c>
    </row>
    <row r="1441" spans="1:19" x14ac:dyDescent="0.25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>VLOOKUP(F1441,'Customer Info'!$A:$B,2,0)</f>
        <v>Peter</v>
      </c>
      <c r="H1441" s="6" t="str">
        <f>VLOOKUP(F1441,'Customer Info'!$A$1:$C$501,3,0)</f>
        <v>McVee</v>
      </c>
      <c r="I1441" s="6" t="str">
        <f>VLOOKUP(F1441,Customer,5,0)</f>
        <v>Hamburg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1846</v>
      </c>
      <c r="O1441" s="2">
        <v>54</v>
      </c>
      <c r="P1441" s="8">
        <f t="shared" si="112"/>
        <v>1900</v>
      </c>
      <c r="Q1441" s="8">
        <f t="shared" si="113"/>
        <v>88</v>
      </c>
      <c r="R1441" s="2" t="s">
        <v>50</v>
      </c>
      <c r="S1441" s="24">
        <f t="shared" si="114"/>
        <v>0.02</v>
      </c>
    </row>
    <row r="1442" spans="1:19" x14ac:dyDescent="0.25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>VLOOKUP(F1442,'Customer Info'!$A:$B,2,0)</f>
        <v>Barry</v>
      </c>
      <c r="H1442" s="6" t="str">
        <f>VLOOKUP(F1442,'Customer Info'!$A$1:$C$501,3,0)</f>
        <v>Franzšsisch</v>
      </c>
      <c r="I1442" s="6" t="str">
        <f>VLOOKUP(F1442,Customer,5,0)</f>
        <v>Canberra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1482</v>
      </c>
      <c r="O1442" s="2">
        <v>67</v>
      </c>
      <c r="P1442" s="8">
        <f t="shared" si="112"/>
        <v>1549</v>
      </c>
      <c r="Q1442" s="8">
        <f t="shared" si="113"/>
        <v>29</v>
      </c>
      <c r="R1442" s="2" t="s">
        <v>56</v>
      </c>
      <c r="S1442" s="24">
        <f t="shared" si="114"/>
        <v>0.02</v>
      </c>
    </row>
    <row r="1443" spans="1:19" x14ac:dyDescent="0.25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>VLOOKUP(F1443,'Customer Info'!$A:$B,2,0)</f>
        <v>Robert</v>
      </c>
      <c r="H1443" s="6" t="str">
        <f>VLOOKUP(F1443,'Customer Info'!$A$1:$C$501,3,0)</f>
        <v>Dilbeck</v>
      </c>
      <c r="I1443" s="6" t="str">
        <f>VLOOKUP(F1443,Customer,5,0)</f>
        <v>Bihar Sharif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42240</v>
      </c>
      <c r="O1443" s="2">
        <v>24</v>
      </c>
      <c r="P1443" s="8">
        <f t="shared" si="112"/>
        <v>42264</v>
      </c>
      <c r="Q1443" s="8">
        <f t="shared" si="113"/>
        <v>3130</v>
      </c>
      <c r="R1443" s="2" t="s">
        <v>28</v>
      </c>
      <c r="S1443" s="24">
        <f t="shared" si="114"/>
        <v>7.0000000000000007E-2</v>
      </c>
    </row>
    <row r="1444" spans="1:19" x14ac:dyDescent="0.25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>VLOOKUP(F1444,'Customer Info'!$A:$B,2,0)</f>
        <v>Jennifer</v>
      </c>
      <c r="H1444" s="6" t="str">
        <f>VLOOKUP(F1444,'Customer Info'!$A$1:$C$501,3,0)</f>
        <v>Jackson</v>
      </c>
      <c r="I1444" s="6" t="str">
        <f>VLOOKUP(F1444,Customer,5,0)</f>
        <v>Queanbeyan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7700</v>
      </c>
      <c r="O1444" s="2">
        <v>87</v>
      </c>
      <c r="P1444" s="8">
        <f t="shared" si="112"/>
        <v>7787</v>
      </c>
      <c r="Q1444" s="8">
        <f t="shared" si="113"/>
        <v>364</v>
      </c>
      <c r="R1444" s="2" t="s">
        <v>28</v>
      </c>
      <c r="S1444" s="24">
        <f t="shared" si="114"/>
        <v>0.05</v>
      </c>
    </row>
    <row r="1445" spans="1:19" x14ac:dyDescent="0.25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>VLOOKUP(F1445,'Customer Info'!$A:$B,2,0)</f>
        <v>Barry</v>
      </c>
      <c r="H1445" s="6" t="str">
        <f>VLOOKUP(F1445,'Customer Info'!$A$1:$C$501,3,0)</f>
        <v>Blumstein</v>
      </c>
      <c r="I1445" s="6" t="str">
        <f>VLOOKUP(F1445,Customer,5,0)</f>
        <v>Toowoomba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2088</v>
      </c>
      <c r="O1445" s="2">
        <v>39</v>
      </c>
      <c r="P1445" s="8">
        <f t="shared" si="112"/>
        <v>2127</v>
      </c>
      <c r="Q1445" s="8">
        <f t="shared" si="113"/>
        <v>118</v>
      </c>
      <c r="R1445" s="2" t="s">
        <v>50</v>
      </c>
      <c r="S1445" s="24">
        <f t="shared" si="114"/>
        <v>0.02</v>
      </c>
    </row>
    <row r="1446" spans="1:19" x14ac:dyDescent="0.25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>VLOOKUP(F1446,'Customer Info'!$A:$B,2,0)</f>
        <v>Allen</v>
      </c>
      <c r="H1446" s="6" t="str">
        <f>VLOOKUP(F1446,'Customer Info'!$A$1:$C$501,3,0)</f>
        <v>Armold</v>
      </c>
      <c r="I1446" s="6" t="str">
        <f>VLOOKUP(F1446,Customer,5,0)</f>
        <v>Wuchuan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507</v>
      </c>
      <c r="O1446" s="2">
        <v>30</v>
      </c>
      <c r="P1446" s="8">
        <f t="shared" si="112"/>
        <v>537</v>
      </c>
      <c r="Q1446" s="8">
        <f t="shared" si="113"/>
        <v>27</v>
      </c>
      <c r="R1446" s="2" t="s">
        <v>28</v>
      </c>
      <c r="S1446" s="24">
        <f t="shared" si="114"/>
        <v>0.02</v>
      </c>
    </row>
    <row r="1447" spans="1:19" x14ac:dyDescent="0.25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>VLOOKUP(F1447,'Customer Info'!$A:$B,2,0)</f>
        <v>Sally</v>
      </c>
      <c r="H1447" s="6" t="str">
        <f>VLOOKUP(F1447,'Customer Info'!$A$1:$C$501,3,0)</f>
        <v>Knutson</v>
      </c>
      <c r="I1447" s="6" t="str">
        <f>VLOOKUP(F1447,Customer,5,0)</f>
        <v>CastropRauxel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666</v>
      </c>
      <c r="O1447" s="2">
        <v>27</v>
      </c>
      <c r="P1447" s="8">
        <f t="shared" si="112"/>
        <v>693</v>
      </c>
      <c r="Q1447" s="8">
        <f t="shared" si="113"/>
        <v>54</v>
      </c>
      <c r="R1447" s="2" t="s">
        <v>28</v>
      </c>
      <c r="S1447" s="24">
        <f t="shared" si="114"/>
        <v>0.02</v>
      </c>
    </row>
    <row r="1448" spans="1:19" x14ac:dyDescent="0.25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>VLOOKUP(F1448,'Customer Info'!$A:$B,2,0)</f>
        <v>Mark</v>
      </c>
      <c r="H1448" s="6" t="str">
        <f>VLOOKUP(F1448,'Customer Info'!$A$1:$C$501,3,0)</f>
        <v>Cousins</v>
      </c>
      <c r="I1448" s="6" t="str">
        <f>VLOOKUP(F1448,Customer,5,0)</f>
        <v>Karimnagar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24520</v>
      </c>
      <c r="O1448" s="2">
        <v>74</v>
      </c>
      <c r="P1448" s="8">
        <f t="shared" si="112"/>
        <v>24594</v>
      </c>
      <c r="Q1448" s="8">
        <f t="shared" si="113"/>
        <v>2025</v>
      </c>
      <c r="R1448" s="2" t="s">
        <v>28</v>
      </c>
      <c r="S1448" s="24">
        <f t="shared" si="114"/>
        <v>0.05</v>
      </c>
    </row>
    <row r="1449" spans="1:19" x14ac:dyDescent="0.25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>VLOOKUP(F1449,'Customer Info'!$A:$B,2,0)</f>
        <v>Darrin</v>
      </c>
      <c r="H1449" s="6" t="str">
        <f>VLOOKUP(F1449,'Customer Info'!$A$1:$C$501,3,0)</f>
        <v>Martin</v>
      </c>
      <c r="I1449" s="6" t="str">
        <f>VLOOKUP(F1449,Customer,5,0)</f>
        <v>Berlin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15240</v>
      </c>
      <c r="O1449" s="2">
        <v>29</v>
      </c>
      <c r="P1449" s="8">
        <f t="shared" si="112"/>
        <v>15269</v>
      </c>
      <c r="Q1449" s="8">
        <f t="shared" si="113"/>
        <v>858</v>
      </c>
      <c r="R1449" s="2" t="s">
        <v>50</v>
      </c>
      <c r="S1449" s="24">
        <f t="shared" si="114"/>
        <v>0.05</v>
      </c>
    </row>
    <row r="1450" spans="1:19" x14ac:dyDescent="0.25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>VLOOKUP(F1450,'Customer Info'!$A:$B,2,0)</f>
        <v>Claire</v>
      </c>
      <c r="H1450" s="6" t="str">
        <f>VLOOKUP(F1450,'Customer Info'!$A$1:$C$501,3,0)</f>
        <v>Gute</v>
      </c>
      <c r="I1450" s="6" t="str">
        <f>VLOOKUP(F1450,Customer,5,0)</f>
        <v>Shenzhen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2250</v>
      </c>
      <c r="O1450" s="2">
        <v>62</v>
      </c>
      <c r="P1450" s="8">
        <f t="shared" si="112"/>
        <v>2312</v>
      </c>
      <c r="Q1450" s="8">
        <f t="shared" si="113"/>
        <v>170</v>
      </c>
      <c r="R1450" s="2" t="s">
        <v>56</v>
      </c>
      <c r="S1450" s="24">
        <f t="shared" si="114"/>
        <v>0.02</v>
      </c>
    </row>
    <row r="1451" spans="1:19" x14ac:dyDescent="0.25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>VLOOKUP(F1451,'Customer Info'!$A:$B,2,0)</f>
        <v>Laurel</v>
      </c>
      <c r="H1451" s="6" t="str">
        <f>VLOOKUP(F1451,'Customer Info'!$A$1:$C$501,3,0)</f>
        <v>Workman</v>
      </c>
      <c r="I1451" s="6" t="str">
        <f>VLOOKUP(F1451,Customer,5,0)</f>
        <v>Leipzig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9963</v>
      </c>
      <c r="O1451" s="2">
        <v>81</v>
      </c>
      <c r="P1451" s="8">
        <f t="shared" si="112"/>
        <v>10044</v>
      </c>
      <c r="Q1451" s="8">
        <f t="shared" si="113"/>
        <v>996</v>
      </c>
      <c r="R1451" s="2" t="s">
        <v>28</v>
      </c>
      <c r="S1451" s="24">
        <f t="shared" si="114"/>
        <v>0.05</v>
      </c>
    </row>
    <row r="1452" spans="1:19" x14ac:dyDescent="0.25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>VLOOKUP(F1452,'Customer Info'!$A:$B,2,0)</f>
        <v>Helen</v>
      </c>
      <c r="H1452" s="6" t="str">
        <f>VLOOKUP(F1452,'Customer Info'!$A$1:$C$501,3,0)</f>
        <v>Abelman</v>
      </c>
      <c r="I1452" s="6" t="str">
        <f>VLOOKUP(F1452,Customer,5,0)</f>
        <v>Berlin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3056</v>
      </c>
      <c r="O1452" s="2">
        <v>64</v>
      </c>
      <c r="P1452" s="8">
        <f t="shared" si="112"/>
        <v>3120</v>
      </c>
      <c r="Q1452" s="8">
        <f t="shared" si="113"/>
        <v>360</v>
      </c>
      <c r="R1452" s="2" t="s">
        <v>28</v>
      </c>
      <c r="S1452" s="24">
        <f t="shared" si="114"/>
        <v>0.02</v>
      </c>
    </row>
    <row r="1453" spans="1:19" x14ac:dyDescent="0.25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>VLOOKUP(F1453,'Customer Info'!$A:$B,2,0)</f>
        <v>Adrian</v>
      </c>
      <c r="H1453" s="6" t="str">
        <f>VLOOKUP(F1453,'Customer Info'!$A$1:$C$501,3,0)</f>
        <v>Barton</v>
      </c>
      <c r="I1453" s="6" t="str">
        <f>VLOOKUP(F1453,Customer,5,0)</f>
        <v>Wetzlar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17504</v>
      </c>
      <c r="O1453" s="2">
        <v>27</v>
      </c>
      <c r="P1453" s="8">
        <f t="shared" si="112"/>
        <v>17531</v>
      </c>
      <c r="Q1453" s="8">
        <f t="shared" si="113"/>
        <v>1750</v>
      </c>
      <c r="R1453" s="2" t="s">
        <v>28</v>
      </c>
      <c r="S1453" s="24">
        <f t="shared" si="114"/>
        <v>0.05</v>
      </c>
    </row>
    <row r="1454" spans="1:19" x14ac:dyDescent="0.25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>VLOOKUP(F1454,'Customer Info'!$A:$B,2,0)</f>
        <v>Emily</v>
      </c>
      <c r="H1454" s="6" t="str">
        <f>VLOOKUP(F1454,'Customer Info'!$A$1:$C$501,3,0)</f>
        <v>Grady</v>
      </c>
      <c r="I1454" s="6" t="str">
        <f>VLOOKUP(F1454,Customer,5,0)</f>
        <v>Pimpri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9080</v>
      </c>
      <c r="O1454" s="2">
        <v>65</v>
      </c>
      <c r="P1454" s="8">
        <f t="shared" si="112"/>
        <v>9145</v>
      </c>
      <c r="Q1454" s="8">
        <f t="shared" si="113"/>
        <v>585</v>
      </c>
      <c r="R1454" s="2" t="s">
        <v>28</v>
      </c>
      <c r="S1454" s="24">
        <f t="shared" si="114"/>
        <v>0.05</v>
      </c>
    </row>
    <row r="1455" spans="1:19" x14ac:dyDescent="0.25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>VLOOKUP(F1455,'Customer Info'!$A:$B,2,0)</f>
        <v>Roger</v>
      </c>
      <c r="H1455" s="6" t="str">
        <f>VLOOKUP(F1455,'Customer Info'!$A$1:$C$501,3,0)</f>
        <v>Demir</v>
      </c>
      <c r="I1455" s="6" t="str">
        <f>VLOOKUP(F1455,Customer,5,0)</f>
        <v>Wollongong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36522</v>
      </c>
      <c r="O1455" s="2">
        <v>45</v>
      </c>
      <c r="P1455" s="8">
        <f t="shared" si="112"/>
        <v>36567</v>
      </c>
      <c r="Q1455" s="8">
        <f t="shared" si="113"/>
        <v>1674</v>
      </c>
      <c r="R1455" s="2" t="s">
        <v>50</v>
      </c>
      <c r="S1455" s="24">
        <f t="shared" si="114"/>
        <v>7.0000000000000007E-2</v>
      </c>
    </row>
    <row r="1456" spans="1:19" x14ac:dyDescent="0.25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>VLOOKUP(F1456,'Customer Info'!$A:$B,2,0)</f>
        <v>Dave</v>
      </c>
      <c r="H1456" s="6" t="str">
        <f>VLOOKUP(F1456,'Customer Info'!$A$1:$C$501,3,0)</f>
        <v>Poirier</v>
      </c>
      <c r="I1456" s="6" t="str">
        <f>VLOOKUP(F1456,Customer,5,0)</f>
        <v>Changchun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679</v>
      </c>
      <c r="O1456" s="2">
        <v>87</v>
      </c>
      <c r="P1456" s="8">
        <f t="shared" si="112"/>
        <v>766</v>
      </c>
      <c r="Q1456" s="8">
        <f t="shared" si="113"/>
        <v>25</v>
      </c>
      <c r="R1456" s="2" t="s">
        <v>28</v>
      </c>
      <c r="S1456" s="24">
        <f t="shared" si="114"/>
        <v>0.02</v>
      </c>
    </row>
    <row r="1457" spans="1:19" x14ac:dyDescent="0.25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>VLOOKUP(F1457,'Customer Info'!$A:$B,2,0)</f>
        <v>Tom</v>
      </c>
      <c r="H1457" s="6" t="str">
        <f>VLOOKUP(F1457,'Customer Info'!$A$1:$C$501,3,0)</f>
        <v>Stivers</v>
      </c>
      <c r="I1457" s="6" t="str">
        <f>VLOOKUP(F1457,Customer,5,0)</f>
        <v>Thane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6868</v>
      </c>
      <c r="O1457" s="2">
        <v>34</v>
      </c>
      <c r="P1457" s="8">
        <f t="shared" si="112"/>
        <v>6902</v>
      </c>
      <c r="Q1457" s="8">
        <f t="shared" si="113"/>
        <v>260</v>
      </c>
      <c r="R1457" s="2" t="s">
        <v>28</v>
      </c>
      <c r="S1457" s="24">
        <f t="shared" si="114"/>
        <v>0.05</v>
      </c>
    </row>
    <row r="1458" spans="1:19" x14ac:dyDescent="0.25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>VLOOKUP(F1458,'Customer Info'!$A:$B,2,0)</f>
        <v>Denny</v>
      </c>
      <c r="H1458" s="6" t="str">
        <f>VLOOKUP(F1458,'Customer Info'!$A$1:$C$501,3,0)</f>
        <v>Ordway</v>
      </c>
      <c r="I1458" s="6" t="str">
        <f>VLOOKUP(F1458,Customer,5,0)</f>
        <v>Berlin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1399</v>
      </c>
      <c r="O1458" s="2">
        <v>91</v>
      </c>
      <c r="P1458" s="8">
        <f t="shared" si="112"/>
        <v>1490</v>
      </c>
      <c r="Q1458" s="8">
        <f t="shared" si="113"/>
        <v>66</v>
      </c>
      <c r="R1458" s="2" t="s">
        <v>28</v>
      </c>
      <c r="S1458" s="24">
        <f t="shared" si="114"/>
        <v>0.02</v>
      </c>
    </row>
    <row r="1459" spans="1:19" x14ac:dyDescent="0.25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>VLOOKUP(F1459,'Customer Info'!$A:$B,2,0)</f>
        <v>Corey</v>
      </c>
      <c r="H1459" s="6" t="str">
        <f>VLOOKUP(F1459,'Customer Info'!$A$1:$C$501,3,0)</f>
        <v>Lock</v>
      </c>
      <c r="I1459" s="6" t="str">
        <f>VLOOKUP(F1459,Customer,5,0)</f>
        <v>Geelong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567</v>
      </c>
      <c r="O1459" s="2">
        <v>10</v>
      </c>
      <c r="P1459" s="8">
        <f t="shared" si="112"/>
        <v>577</v>
      </c>
      <c r="Q1459" s="8">
        <f t="shared" si="113"/>
        <v>45</v>
      </c>
      <c r="R1459" s="2" t="s">
        <v>28</v>
      </c>
      <c r="S1459" s="24">
        <f t="shared" si="114"/>
        <v>0.02</v>
      </c>
    </row>
    <row r="1460" spans="1:19" x14ac:dyDescent="0.25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>VLOOKUP(F1460,'Customer Info'!$A:$B,2,0)</f>
        <v>Steve</v>
      </c>
      <c r="H1460" s="6" t="str">
        <f>VLOOKUP(F1460,'Customer Info'!$A$1:$C$501,3,0)</f>
        <v>Carroll</v>
      </c>
      <c r="I1460" s="6" t="str">
        <f>VLOOKUP(F1460,Customer,5,0)</f>
        <v>Qingdao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24136</v>
      </c>
      <c r="O1460" s="2">
        <v>54</v>
      </c>
      <c r="P1460" s="8">
        <f t="shared" si="112"/>
        <v>24190</v>
      </c>
      <c r="Q1460" s="8">
        <f t="shared" si="113"/>
        <v>1536</v>
      </c>
      <c r="R1460" s="2" t="s">
        <v>28</v>
      </c>
      <c r="S1460" s="24">
        <f t="shared" si="114"/>
        <v>0.05</v>
      </c>
    </row>
    <row r="1461" spans="1:19" x14ac:dyDescent="0.25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>VLOOKUP(F1461,'Customer Info'!$A:$B,2,0)</f>
        <v>Ralph</v>
      </c>
      <c r="H1461" s="6" t="str">
        <f>VLOOKUP(F1461,'Customer Info'!$A$1:$C$501,3,0)</f>
        <v>Arnett</v>
      </c>
      <c r="I1461" s="6" t="str">
        <f>VLOOKUP(F1461,Customer,5,0)</f>
        <v>Shenyang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260</v>
      </c>
      <c r="O1461" s="2">
        <v>30</v>
      </c>
      <c r="P1461" s="8">
        <f t="shared" si="112"/>
        <v>290</v>
      </c>
      <c r="Q1461" s="8">
        <f t="shared" si="113"/>
        <v>16</v>
      </c>
      <c r="R1461" s="2" t="s">
        <v>26</v>
      </c>
      <c r="S1461" s="24">
        <f t="shared" si="114"/>
        <v>0.02</v>
      </c>
    </row>
    <row r="1462" spans="1:19" x14ac:dyDescent="0.25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>VLOOKUP(F1462,'Customer Info'!$A:$B,2,0)</f>
        <v>Tom</v>
      </c>
      <c r="H1462" s="6" t="str">
        <f>VLOOKUP(F1462,'Customer Info'!$A$1:$C$501,3,0)</f>
        <v>Prescott</v>
      </c>
      <c r="I1462" s="6" t="str">
        <f>VLOOKUP(F1462,Customer,5,0)</f>
        <v>Bokaro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2256</v>
      </c>
      <c r="O1462" s="2">
        <v>30</v>
      </c>
      <c r="P1462" s="8">
        <f t="shared" si="112"/>
        <v>2286</v>
      </c>
      <c r="Q1462" s="8">
        <f t="shared" si="113"/>
        <v>180</v>
      </c>
      <c r="R1462" s="2" t="s">
        <v>26</v>
      </c>
      <c r="S1462" s="24">
        <f t="shared" si="114"/>
        <v>0.02</v>
      </c>
    </row>
    <row r="1463" spans="1:19" x14ac:dyDescent="0.25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>VLOOKUP(F1463,'Customer Info'!$A:$B,2,0)</f>
        <v>Darren</v>
      </c>
      <c r="H1463" s="6" t="str">
        <f>VLOOKUP(F1463,'Customer Info'!$A$1:$C$501,3,0)</f>
        <v>Powers</v>
      </c>
      <c r="I1463" s="6" t="str">
        <f>VLOOKUP(F1463,Customer,5,0)</f>
        <v>Depok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1332</v>
      </c>
      <c r="O1463" s="2">
        <v>72</v>
      </c>
      <c r="P1463" s="8">
        <f t="shared" si="112"/>
        <v>1404</v>
      </c>
      <c r="Q1463" s="8">
        <f t="shared" si="113"/>
        <v>123</v>
      </c>
      <c r="R1463" s="2" t="s">
        <v>28</v>
      </c>
      <c r="S1463" s="24">
        <f t="shared" si="114"/>
        <v>0.02</v>
      </c>
    </row>
    <row r="1464" spans="1:19" x14ac:dyDescent="0.25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>VLOOKUP(F1464,'Customer Info'!$A:$B,2,0)</f>
        <v>Damala</v>
      </c>
      <c r="H1464" s="6" t="str">
        <f>VLOOKUP(F1464,'Customer Info'!$A$1:$C$501,3,0)</f>
        <v>Kotsonis</v>
      </c>
      <c r="I1464" s="6" t="str">
        <f>VLOOKUP(F1464,Customer,5,0)</f>
        <v>Berlin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1702</v>
      </c>
      <c r="O1464" s="2">
        <v>55</v>
      </c>
      <c r="P1464" s="8">
        <f t="shared" si="112"/>
        <v>1757</v>
      </c>
      <c r="Q1464" s="8">
        <f t="shared" si="113"/>
        <v>156</v>
      </c>
      <c r="R1464" s="2" t="s">
        <v>28</v>
      </c>
      <c r="S1464" s="24">
        <f t="shared" si="114"/>
        <v>0.02</v>
      </c>
    </row>
    <row r="1465" spans="1:19" x14ac:dyDescent="0.25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>VLOOKUP(F1465,'Customer Info'!$A:$B,2,0)</f>
        <v>Mark</v>
      </c>
      <c r="H1465" s="6" t="str">
        <f>VLOOKUP(F1465,'Customer Info'!$A$1:$C$501,3,0)</f>
        <v>Cousins</v>
      </c>
      <c r="I1465" s="6" t="str">
        <f>VLOOKUP(F1465,Customer,5,0)</f>
        <v>Karimnagar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1780</v>
      </c>
      <c r="O1465" s="2">
        <v>70</v>
      </c>
      <c r="P1465" s="8">
        <f t="shared" si="112"/>
        <v>1850</v>
      </c>
      <c r="Q1465" s="8">
        <f t="shared" si="113"/>
        <v>120</v>
      </c>
      <c r="R1465" s="2" t="s">
        <v>28</v>
      </c>
      <c r="S1465" s="24">
        <f t="shared" si="114"/>
        <v>0.02</v>
      </c>
    </row>
    <row r="1466" spans="1:19" x14ac:dyDescent="0.25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>VLOOKUP(F1466,'Customer Info'!$A:$B,2,0)</f>
        <v>Mick</v>
      </c>
      <c r="H1466" s="6" t="str">
        <f>VLOOKUP(F1466,'Customer Info'!$A$1:$C$501,3,0)</f>
        <v>Brown</v>
      </c>
      <c r="I1466" s="6" t="str">
        <f>VLOOKUP(F1466,Customer,5,0)</f>
        <v>Shenzhen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11365</v>
      </c>
      <c r="O1466" s="2">
        <v>55</v>
      </c>
      <c r="P1466" s="8">
        <f t="shared" si="112"/>
        <v>11420</v>
      </c>
      <c r="Q1466" s="8">
        <f t="shared" si="113"/>
        <v>220</v>
      </c>
      <c r="R1466" s="2" t="s">
        <v>26</v>
      </c>
      <c r="S1466" s="24">
        <f t="shared" si="114"/>
        <v>0.05</v>
      </c>
    </row>
    <row r="1467" spans="1:19" x14ac:dyDescent="0.25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>VLOOKUP(F1467,'Customer Info'!$A:$B,2,0)</f>
        <v>Jessica</v>
      </c>
      <c r="H1467" s="6" t="str">
        <f>VLOOKUP(F1467,'Customer Info'!$A$1:$C$501,3,0)</f>
        <v>Myrick</v>
      </c>
      <c r="I1467" s="6" t="str">
        <f>VLOOKUP(F1467,Customer,5,0)</f>
        <v>Jakarta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13530</v>
      </c>
      <c r="O1467" s="2">
        <v>90</v>
      </c>
      <c r="P1467" s="8">
        <f t="shared" si="112"/>
        <v>13620</v>
      </c>
      <c r="Q1467" s="8">
        <f t="shared" si="113"/>
        <v>765</v>
      </c>
      <c r="R1467" s="2" t="s">
        <v>28</v>
      </c>
      <c r="S1467" s="24">
        <f t="shared" si="114"/>
        <v>0.05</v>
      </c>
    </row>
    <row r="1468" spans="1:19" x14ac:dyDescent="0.25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>VLOOKUP(F1468,'Customer Info'!$A:$B,2,0)</f>
        <v>Benjamin</v>
      </c>
      <c r="H1468" s="6" t="str">
        <f>VLOOKUP(F1468,'Customer Info'!$A$1:$C$501,3,0)</f>
        <v>Patterson</v>
      </c>
      <c r="I1468" s="6" t="str">
        <f>VLOOKUP(F1468,Customer,5,0)</f>
        <v>Wollongong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8043</v>
      </c>
      <c r="O1468" s="2">
        <v>28</v>
      </c>
      <c r="P1468" s="8">
        <f t="shared" si="112"/>
        <v>8071</v>
      </c>
      <c r="Q1468" s="8">
        <f t="shared" si="113"/>
        <v>669</v>
      </c>
      <c r="R1468" s="2" t="s">
        <v>50</v>
      </c>
      <c r="S1468" s="24">
        <f t="shared" si="114"/>
        <v>0.05</v>
      </c>
    </row>
    <row r="1469" spans="1:19" x14ac:dyDescent="0.25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>VLOOKUP(F1469,'Customer Info'!$A:$B,2,0)</f>
        <v>Tim</v>
      </c>
      <c r="H1469" s="6" t="str">
        <f>VLOOKUP(F1469,'Customer Info'!$A$1:$C$501,3,0)</f>
        <v>Brockman</v>
      </c>
      <c r="I1469" s="6" t="str">
        <f>VLOOKUP(F1469,Customer,5,0)</f>
        <v>Toowoomba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19446</v>
      </c>
      <c r="O1469" s="2">
        <v>90</v>
      </c>
      <c r="P1469" s="8">
        <f t="shared" si="112"/>
        <v>19536</v>
      </c>
      <c r="Q1469" s="8">
        <f t="shared" si="113"/>
        <v>1435</v>
      </c>
      <c r="R1469" s="2" t="s">
        <v>28</v>
      </c>
      <c r="S1469" s="24">
        <f t="shared" si="114"/>
        <v>0.05</v>
      </c>
    </row>
    <row r="1470" spans="1:19" x14ac:dyDescent="0.25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>VLOOKUP(F1470,'Customer Info'!$A:$B,2,0)</f>
        <v>Victoria</v>
      </c>
      <c r="H1470" s="6" t="str">
        <f>VLOOKUP(F1470,'Customer Info'!$A$1:$C$501,3,0)</f>
        <v>Brennan</v>
      </c>
      <c r="I1470" s="6" t="str">
        <f>VLOOKUP(F1470,Customer,5,0)</f>
        <v>Canberra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240</v>
      </c>
      <c r="O1470" s="2">
        <v>10</v>
      </c>
      <c r="P1470" s="8">
        <f t="shared" si="112"/>
        <v>250</v>
      </c>
      <c r="Q1470" s="8">
        <f t="shared" si="113"/>
        <v>16</v>
      </c>
      <c r="R1470" s="2" t="s">
        <v>50</v>
      </c>
      <c r="S1470" s="24">
        <f t="shared" si="114"/>
        <v>0.02</v>
      </c>
    </row>
    <row r="1471" spans="1:19" x14ac:dyDescent="0.25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>VLOOKUP(F1471,'Customer Info'!$A:$B,2,0)</f>
        <v>Thea</v>
      </c>
      <c r="H1471" s="6" t="str">
        <f>VLOOKUP(F1471,'Customer Info'!$A$1:$C$501,3,0)</f>
        <v>Hudgings</v>
      </c>
      <c r="I1471" s="6" t="str">
        <f>VLOOKUP(F1471,Customer,5,0)</f>
        <v>Anshan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9435</v>
      </c>
      <c r="O1471" s="2">
        <v>52</v>
      </c>
      <c r="P1471" s="8">
        <f t="shared" si="112"/>
        <v>9487</v>
      </c>
      <c r="Q1471" s="8">
        <f t="shared" si="113"/>
        <v>360</v>
      </c>
      <c r="R1471" s="2" t="s">
        <v>28</v>
      </c>
      <c r="S1471" s="24">
        <f t="shared" si="114"/>
        <v>0.05</v>
      </c>
    </row>
    <row r="1472" spans="1:19" x14ac:dyDescent="0.25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>VLOOKUP(F1472,'Customer Info'!$A:$B,2,0)</f>
        <v>Anemone</v>
      </c>
      <c r="H1472" s="6" t="str">
        <f>VLOOKUP(F1472,'Customer Info'!$A$1:$C$501,3,0)</f>
        <v>Ratner</v>
      </c>
      <c r="I1472" s="6" t="str">
        <f>VLOOKUP(F1472,Customer,5,0)</f>
        <v>Pune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2085</v>
      </c>
      <c r="O1472" s="2">
        <v>49</v>
      </c>
      <c r="P1472" s="8">
        <f t="shared" si="112"/>
        <v>2134</v>
      </c>
      <c r="Q1472" s="8">
        <f t="shared" si="113"/>
        <v>125</v>
      </c>
      <c r="R1472" s="2" t="s">
        <v>28</v>
      </c>
      <c r="S1472" s="24">
        <f t="shared" si="114"/>
        <v>0.02</v>
      </c>
    </row>
    <row r="1473" spans="1:19" x14ac:dyDescent="0.25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>VLOOKUP(F1473,'Customer Info'!$A:$B,2,0)</f>
        <v>Stuart</v>
      </c>
      <c r="H1473" s="6" t="str">
        <f>VLOOKUP(F1473,'Customer Info'!$A$1:$C$501,3,0)</f>
        <v>Van</v>
      </c>
      <c r="I1473" s="6" t="str">
        <f>VLOOKUP(F1473,Customer,5,0)</f>
        <v>Hobart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12548</v>
      </c>
      <c r="O1473" s="2">
        <v>80</v>
      </c>
      <c r="P1473" s="8">
        <f t="shared" si="112"/>
        <v>12628</v>
      </c>
      <c r="Q1473" s="8">
        <f t="shared" si="113"/>
        <v>362</v>
      </c>
      <c r="R1473" s="2" t="s">
        <v>28</v>
      </c>
      <c r="S1473" s="24">
        <f t="shared" si="114"/>
        <v>0.05</v>
      </c>
    </row>
    <row r="1474" spans="1:19" x14ac:dyDescent="0.25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>VLOOKUP(F1474,'Customer Info'!$A:$B,2,0)</f>
        <v>Roger</v>
      </c>
      <c r="H1474" s="6" t="str">
        <f>VLOOKUP(F1474,'Customer Info'!$A$1:$C$501,3,0)</f>
        <v>Barcio</v>
      </c>
      <c r="I1474" s="6" t="str">
        <f>VLOOKUP(F1474,Customer,5,0)</f>
        <v>Bremen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10896</v>
      </c>
      <c r="O1474" s="2">
        <v>62</v>
      </c>
      <c r="P1474" s="8">
        <f t="shared" si="112"/>
        <v>10958</v>
      </c>
      <c r="Q1474" s="8">
        <f t="shared" si="113"/>
        <v>696</v>
      </c>
      <c r="R1474" s="2" t="s">
        <v>50</v>
      </c>
      <c r="S1474" s="24">
        <f t="shared" si="114"/>
        <v>0.05</v>
      </c>
    </row>
    <row r="1475" spans="1:19" x14ac:dyDescent="0.25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>VLOOKUP(F1475,'Customer Info'!$A:$B,2,0)</f>
        <v>Ken</v>
      </c>
      <c r="H1475" s="6" t="str">
        <f>VLOOKUP(F1475,'Customer Info'!$A$1:$C$501,3,0)</f>
        <v>Heidel</v>
      </c>
      <c r="I1475" s="6" t="str">
        <f>VLOOKUP(F1475,Customer,5,0)</f>
        <v>Tegal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6550</v>
      </c>
      <c r="O1475" s="2">
        <v>81</v>
      </c>
      <c r="P1475" s="8">
        <f t="shared" si="112"/>
        <v>6631</v>
      </c>
      <c r="Q1475" s="8">
        <f t="shared" si="113"/>
        <v>370</v>
      </c>
      <c r="R1475" s="2" t="s">
        <v>28</v>
      </c>
      <c r="S1475" s="24">
        <f t="shared" si="114"/>
        <v>0.05</v>
      </c>
    </row>
    <row r="1476" spans="1:19" x14ac:dyDescent="0.25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>VLOOKUP(F1476,'Customer Info'!$A:$B,2,0)</f>
        <v>Vivek</v>
      </c>
      <c r="H1476" s="6" t="str">
        <f>VLOOKUP(F1476,'Customer Info'!$A$1:$C$501,3,0)</f>
        <v>Grady</v>
      </c>
      <c r="I1476" s="6" t="str">
        <f>VLOOKUP(F1476,Customer,5,0)</f>
        <v>Shantou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11825</v>
      </c>
      <c r="O1476" s="2">
        <v>51</v>
      </c>
      <c r="P1476" s="8">
        <f t="shared" si="112"/>
        <v>11876</v>
      </c>
      <c r="Q1476" s="8">
        <f t="shared" si="113"/>
        <v>665</v>
      </c>
      <c r="R1476" s="2" t="s">
        <v>28</v>
      </c>
      <c r="S1476" s="24">
        <f t="shared" si="114"/>
        <v>0.05</v>
      </c>
    </row>
    <row r="1477" spans="1:19" x14ac:dyDescent="0.25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>VLOOKUP(F1477,'Customer Info'!$A:$B,2,0)</f>
        <v>Sarah</v>
      </c>
      <c r="H1477" s="6" t="str">
        <f>VLOOKUP(F1477,'Customer Info'!$A$1:$C$501,3,0)</f>
        <v>Foster</v>
      </c>
      <c r="I1477" s="6" t="str">
        <f>VLOOKUP(F1477,Customer,5,0)</f>
        <v>Harbin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2716</v>
      </c>
      <c r="O1477" s="2">
        <v>29</v>
      </c>
      <c r="P1477" s="8">
        <f t="shared" si="112"/>
        <v>2745</v>
      </c>
      <c r="Q1477" s="8">
        <f t="shared" si="113"/>
        <v>128</v>
      </c>
      <c r="R1477" s="2" t="s">
        <v>28</v>
      </c>
      <c r="S1477" s="24">
        <f t="shared" si="114"/>
        <v>0.02</v>
      </c>
    </row>
    <row r="1478" spans="1:19" x14ac:dyDescent="0.25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>VLOOKUP(F1478,'Customer Info'!$A:$B,2,0)</f>
        <v>Ann</v>
      </c>
      <c r="H1478" s="6" t="str">
        <f>VLOOKUP(F1478,'Customer Info'!$A$1:$C$501,3,0)</f>
        <v>Chong</v>
      </c>
      <c r="I1478" s="6" t="str">
        <f>VLOOKUP(F1478,Customer,5,0)</f>
        <v>Sydney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1192</v>
      </c>
      <c r="O1478" s="2">
        <v>30</v>
      </c>
      <c r="P1478" s="8">
        <f t="shared" si="112"/>
        <v>1222</v>
      </c>
      <c r="Q1478" s="8">
        <f t="shared" si="113"/>
        <v>144</v>
      </c>
      <c r="R1478" s="2" t="s">
        <v>28</v>
      </c>
      <c r="S1478" s="24">
        <f t="shared" si="114"/>
        <v>0.02</v>
      </c>
    </row>
    <row r="1479" spans="1:19" x14ac:dyDescent="0.25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>VLOOKUP(F1479,'Customer Info'!$A:$B,2,0)</f>
        <v>Annie</v>
      </c>
      <c r="H1479" s="6" t="str">
        <f>VLOOKUP(F1479,'Customer Info'!$A$1:$C$501,3,0)</f>
        <v>Thurman</v>
      </c>
      <c r="I1479" s="6" t="str">
        <f>VLOOKUP(F1479,Customer,5,0)</f>
        <v>Sydney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350</v>
      </c>
      <c r="O1479" s="2">
        <v>30</v>
      </c>
      <c r="P1479" s="8">
        <f t="shared" si="112"/>
        <v>380</v>
      </c>
      <c r="Q1479" s="8">
        <f t="shared" si="113"/>
        <v>34</v>
      </c>
      <c r="R1479" s="2" t="s">
        <v>50</v>
      </c>
      <c r="S1479" s="24">
        <f t="shared" si="114"/>
        <v>0.02</v>
      </c>
    </row>
    <row r="1480" spans="1:19" x14ac:dyDescent="0.25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>VLOOKUP(F1480,'Customer Info'!$A:$B,2,0)</f>
        <v>Lynn</v>
      </c>
      <c r="H1480" s="6" t="str">
        <f>VLOOKUP(F1480,'Customer Info'!$A$1:$C$501,3,0)</f>
        <v>Smith</v>
      </c>
      <c r="I1480" s="6" t="str">
        <f>VLOOKUP(F1480,Customer,5,0)</f>
        <v>Guiping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2310</v>
      </c>
      <c r="O1480" s="2">
        <v>92</v>
      </c>
      <c r="P1480" s="8">
        <f t="shared" si="112"/>
        <v>2402</v>
      </c>
      <c r="Q1480" s="8">
        <f t="shared" si="113"/>
        <v>270</v>
      </c>
      <c r="R1480" s="2" t="s">
        <v>28</v>
      </c>
      <c r="S1480" s="24">
        <f t="shared" si="114"/>
        <v>0.02</v>
      </c>
    </row>
    <row r="1481" spans="1:19" x14ac:dyDescent="0.25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>VLOOKUP(F1481,'Customer Info'!$A:$B,2,0)</f>
        <v>Emily</v>
      </c>
      <c r="H1481" s="6" t="str">
        <f>VLOOKUP(F1481,'Customer Info'!$A$1:$C$501,3,0)</f>
        <v>Ducich</v>
      </c>
      <c r="I1481" s="6" t="str">
        <f>VLOOKUP(F1481,Customer,5,0)</f>
        <v>Lohne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113847</v>
      </c>
      <c r="O1481" s="2">
        <v>71</v>
      </c>
      <c r="P1481" s="8">
        <f t="shared" si="112"/>
        <v>113918</v>
      </c>
      <c r="Q1481" s="8">
        <f t="shared" si="113"/>
        <v>9399</v>
      </c>
      <c r="R1481" s="2" t="s">
        <v>28</v>
      </c>
      <c r="S1481" s="24">
        <f t="shared" si="114"/>
        <v>0.12</v>
      </c>
    </row>
    <row r="1482" spans="1:19" x14ac:dyDescent="0.25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>VLOOKUP(F1482,'Customer Info'!$A:$B,2,0)</f>
        <v>Brooke</v>
      </c>
      <c r="H1482" s="6" t="str">
        <f>VLOOKUP(F1482,'Customer Info'!$A$1:$C$501,3,0)</f>
        <v>Gillingham</v>
      </c>
      <c r="I1482" s="6" t="str">
        <f>VLOOKUP(F1482,Customer,5,0)</f>
        <v>Mysore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24180</v>
      </c>
      <c r="O1482" s="2">
        <v>33</v>
      </c>
      <c r="P1482" s="8">
        <f t="shared" si="112"/>
        <v>24213</v>
      </c>
      <c r="Q1482" s="8">
        <f t="shared" si="113"/>
        <v>1360</v>
      </c>
      <c r="R1482" s="2" t="s">
        <v>28</v>
      </c>
      <c r="S1482" s="24">
        <f t="shared" si="114"/>
        <v>0.05</v>
      </c>
    </row>
    <row r="1483" spans="1:19" x14ac:dyDescent="0.25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>VLOOKUP(F1483,'Customer Info'!$A:$B,2,0)</f>
        <v>Peter</v>
      </c>
      <c r="H1483" s="6" t="str">
        <f>VLOOKUP(F1483,'Customer Info'!$A$1:$C$501,3,0)</f>
        <v>BŸhler</v>
      </c>
      <c r="I1483" s="6" t="str">
        <f>VLOOKUP(F1483,Customer,5,0)</f>
        <v>Wolfsburg</v>
      </c>
      <c r="J1483" s="2">
        <v>139</v>
      </c>
      <c r="K1483" s="2">
        <v>130</v>
      </c>
      <c r="L1483" s="2">
        <v>5</v>
      </c>
      <c r="M1483" s="7">
        <f t="shared" ref="M1483:M1546" si="115">K1483*L1483</f>
        <v>650</v>
      </c>
      <c r="N1483" s="7">
        <f t="shared" ref="N1483:N1546" si="116">J1483*L1483</f>
        <v>695</v>
      </c>
      <c r="O1483" s="2">
        <v>30</v>
      </c>
      <c r="P1483" s="8">
        <f t="shared" ref="P1483:P1546" si="117">N1483+O1483</f>
        <v>725</v>
      </c>
      <c r="Q1483" s="8">
        <f t="shared" ref="Q1483:Q1546" si="118">N1483-M1483</f>
        <v>45</v>
      </c>
      <c r="R1483" s="2" t="s">
        <v>28</v>
      </c>
      <c r="S1483" s="24">
        <f t="shared" ref="S1483:S1546" si="119">VLOOKUP(N1483,$T$1:$U$7,2,TRUE)</f>
        <v>0.02</v>
      </c>
    </row>
    <row r="1484" spans="1:19" x14ac:dyDescent="0.25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>VLOOKUP(F1484,'Customer Info'!$A:$B,2,0)</f>
        <v>Christopher</v>
      </c>
      <c r="H1484" s="6" t="str">
        <f>VLOOKUP(F1484,'Customer Info'!$A$1:$C$501,3,0)</f>
        <v>Martinez</v>
      </c>
      <c r="I1484" s="6" t="str">
        <f>VLOOKUP(F1484,Customer,5,0)</f>
        <v>Qingdao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8">
        <f t="shared" si="117"/>
        <v>11892</v>
      </c>
      <c r="Q1484" s="8">
        <f t="shared" si="118"/>
        <v>1280</v>
      </c>
      <c r="R1484" s="2" t="s">
        <v>26</v>
      </c>
      <c r="S1484" s="24">
        <f t="shared" si="119"/>
        <v>0.05</v>
      </c>
    </row>
    <row r="1485" spans="1:19" x14ac:dyDescent="0.25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>VLOOKUP(F1485,'Customer Info'!$A:$B,2,0)</f>
        <v>Kelly</v>
      </c>
      <c r="H1485" s="6" t="str">
        <f>VLOOKUP(F1485,'Customer Info'!$A$1:$C$501,3,0)</f>
        <v>Collister</v>
      </c>
      <c r="I1485" s="6" t="str">
        <f>VLOOKUP(F1485,Customer,5,0)</f>
        <v>Tangshan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8">
        <f t="shared" si="117"/>
        <v>3649</v>
      </c>
      <c r="Q1485" s="8">
        <f t="shared" si="118"/>
        <v>264</v>
      </c>
      <c r="R1485" s="2" t="s">
        <v>50</v>
      </c>
      <c r="S1485" s="24">
        <f t="shared" si="119"/>
        <v>0.02</v>
      </c>
    </row>
    <row r="1486" spans="1:19" x14ac:dyDescent="0.25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>VLOOKUP(F1486,'Customer Info'!$A:$B,2,0)</f>
        <v>Eugene</v>
      </c>
      <c r="H1486" s="6" t="str">
        <f>VLOOKUP(F1486,'Customer Info'!$A$1:$C$501,3,0)</f>
        <v>Barchas</v>
      </c>
      <c r="I1486" s="6" t="str">
        <f>VLOOKUP(F1486,Customer,5,0)</f>
        <v>Aksu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8">
        <f t="shared" si="117"/>
        <v>2301</v>
      </c>
      <c r="Q1486" s="8">
        <f t="shared" si="118"/>
        <v>146</v>
      </c>
      <c r="R1486" s="2" t="s">
        <v>50</v>
      </c>
      <c r="S1486" s="24">
        <f t="shared" si="119"/>
        <v>0.02</v>
      </c>
    </row>
    <row r="1487" spans="1:19" x14ac:dyDescent="0.25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>VLOOKUP(F1487,'Customer Info'!$A:$B,2,0)</f>
        <v>Mitch</v>
      </c>
      <c r="H1487" s="6" t="str">
        <f>VLOOKUP(F1487,'Customer Info'!$A$1:$C$501,3,0)</f>
        <v>Willingham</v>
      </c>
      <c r="I1487" s="6" t="str">
        <f>VLOOKUP(F1487,Customer,5,0)</f>
        <v>Surakarta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8">
        <f t="shared" si="117"/>
        <v>1998</v>
      </c>
      <c r="Q1487" s="8">
        <f t="shared" si="118"/>
        <v>240</v>
      </c>
      <c r="R1487" s="2" t="s">
        <v>56</v>
      </c>
      <c r="S1487" s="24">
        <f t="shared" si="119"/>
        <v>0.02</v>
      </c>
    </row>
    <row r="1488" spans="1:19" x14ac:dyDescent="0.25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>VLOOKUP(F1488,'Customer Info'!$A:$B,2,0)</f>
        <v>David</v>
      </c>
      <c r="H1488" s="6" t="str">
        <f>VLOOKUP(F1488,'Customer Info'!$A$1:$C$501,3,0)</f>
        <v>Philippe</v>
      </c>
      <c r="I1488" s="6" t="str">
        <f>VLOOKUP(F1488,Customer,5,0)</f>
        <v>Hamburg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17372</v>
      </c>
      <c r="O1488" s="2">
        <v>30</v>
      </c>
      <c r="P1488" s="8">
        <f t="shared" si="117"/>
        <v>17402</v>
      </c>
      <c r="Q1488" s="8">
        <f t="shared" si="118"/>
        <v>1302</v>
      </c>
      <c r="R1488" s="2" t="s">
        <v>26</v>
      </c>
      <c r="S1488" s="24">
        <f t="shared" si="119"/>
        <v>0.05</v>
      </c>
    </row>
    <row r="1489" spans="1:19" x14ac:dyDescent="0.25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>VLOOKUP(F1489,'Customer Info'!$A:$B,2,0)</f>
        <v>Parhena</v>
      </c>
      <c r="H1489" s="6" t="str">
        <f>VLOOKUP(F1489,'Customer Info'!$A$1:$C$501,3,0)</f>
        <v>Norris</v>
      </c>
      <c r="I1489" s="6" t="str">
        <f>VLOOKUP(F1489,Customer,5,0)</f>
        <v>Bandung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12024</v>
      </c>
      <c r="O1489" s="2">
        <v>58</v>
      </c>
      <c r="P1489" s="8">
        <f t="shared" si="117"/>
        <v>12082</v>
      </c>
      <c r="Q1489" s="8">
        <f t="shared" si="118"/>
        <v>670</v>
      </c>
      <c r="R1489" s="2" t="s">
        <v>26</v>
      </c>
      <c r="S1489" s="24">
        <f t="shared" si="119"/>
        <v>0.05</v>
      </c>
    </row>
    <row r="1490" spans="1:19" x14ac:dyDescent="0.25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>VLOOKUP(F1490,'Customer Info'!$A:$B,2,0)</f>
        <v>John</v>
      </c>
      <c r="H1490" s="6" t="str">
        <f>VLOOKUP(F1490,'Customer Info'!$A$1:$C$501,3,0)</f>
        <v>Huston</v>
      </c>
      <c r="I1490" s="6" t="str">
        <f>VLOOKUP(F1490,Customer,5,0)</f>
        <v>Jena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305</v>
      </c>
      <c r="O1490" s="2">
        <v>10</v>
      </c>
      <c r="P1490" s="8">
        <f t="shared" si="117"/>
        <v>315</v>
      </c>
      <c r="Q1490" s="8">
        <f t="shared" si="118"/>
        <v>25</v>
      </c>
      <c r="R1490" s="2" t="s">
        <v>28</v>
      </c>
      <c r="S1490" s="24">
        <f t="shared" si="119"/>
        <v>0.02</v>
      </c>
    </row>
    <row r="1491" spans="1:19" x14ac:dyDescent="0.25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>VLOOKUP(F1491,'Customer Info'!$A:$B,2,0)</f>
        <v>Ralph</v>
      </c>
      <c r="H1491" s="6" t="str">
        <f>VLOOKUP(F1491,'Customer Info'!$A$1:$C$501,3,0)</f>
        <v>Arnett</v>
      </c>
      <c r="I1491" s="6" t="str">
        <f>VLOOKUP(F1491,Customer,5,0)</f>
        <v>Shenyang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142</v>
      </c>
      <c r="O1491" s="2">
        <v>30</v>
      </c>
      <c r="P1491" s="8">
        <f t="shared" si="117"/>
        <v>172</v>
      </c>
      <c r="Q1491" s="8">
        <f t="shared" si="118"/>
        <v>8</v>
      </c>
      <c r="R1491" s="2" t="s">
        <v>28</v>
      </c>
      <c r="S1491" s="24">
        <f t="shared" si="119"/>
        <v>0.02</v>
      </c>
    </row>
    <row r="1492" spans="1:19" x14ac:dyDescent="0.25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>VLOOKUP(F1492,'Customer Info'!$A:$B,2,0)</f>
        <v>Anemone</v>
      </c>
      <c r="H1492" s="6" t="str">
        <f>VLOOKUP(F1492,'Customer Info'!$A$1:$C$501,3,0)</f>
        <v>Ratner</v>
      </c>
      <c r="I1492" s="6" t="str">
        <f>VLOOKUP(F1492,Customer,5,0)</f>
        <v>Berlin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8199</v>
      </c>
      <c r="O1492" s="2">
        <v>34</v>
      </c>
      <c r="P1492" s="8">
        <f t="shared" si="117"/>
        <v>8233</v>
      </c>
      <c r="Q1492" s="8">
        <f t="shared" si="118"/>
        <v>676</v>
      </c>
      <c r="R1492" s="2" t="s">
        <v>50</v>
      </c>
      <c r="S1492" s="24">
        <f t="shared" si="119"/>
        <v>0.05</v>
      </c>
    </row>
    <row r="1493" spans="1:19" x14ac:dyDescent="0.25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>VLOOKUP(F1493,'Customer Info'!$A:$B,2,0)</f>
        <v>Frank</v>
      </c>
      <c r="H1493" s="6" t="str">
        <f>VLOOKUP(F1493,'Customer Info'!$A$1:$C$501,3,0)</f>
        <v>Hawley</v>
      </c>
      <c r="I1493" s="6" t="str">
        <f>VLOOKUP(F1493,Customer,5,0)</f>
        <v>Gold Coast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22869</v>
      </c>
      <c r="O1493" s="2">
        <v>84</v>
      </c>
      <c r="P1493" s="8">
        <f t="shared" si="117"/>
        <v>22953</v>
      </c>
      <c r="Q1493" s="8">
        <f t="shared" si="118"/>
        <v>1677</v>
      </c>
      <c r="R1493" s="2" t="s">
        <v>28</v>
      </c>
      <c r="S1493" s="24">
        <f t="shared" si="119"/>
        <v>0.05</v>
      </c>
    </row>
    <row r="1494" spans="1:19" x14ac:dyDescent="0.25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>VLOOKUP(F1494,'Customer Info'!$A:$B,2,0)</f>
        <v>Claire</v>
      </c>
      <c r="H1494" s="6" t="str">
        <f>VLOOKUP(F1494,'Customer Info'!$A$1:$C$501,3,0)</f>
        <v>Gute</v>
      </c>
      <c r="I1494" s="6" t="str">
        <f>VLOOKUP(F1494,Customer,5,0)</f>
        <v>Shenzhen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710</v>
      </c>
      <c r="O1494" s="2">
        <v>30</v>
      </c>
      <c r="P1494" s="8">
        <f t="shared" si="117"/>
        <v>740</v>
      </c>
      <c r="Q1494" s="8">
        <f t="shared" si="118"/>
        <v>65</v>
      </c>
      <c r="R1494" s="2" t="s">
        <v>50</v>
      </c>
      <c r="S1494" s="24">
        <f t="shared" si="119"/>
        <v>0.02</v>
      </c>
    </row>
    <row r="1495" spans="1:19" x14ac:dyDescent="0.25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>VLOOKUP(F1495,'Customer Info'!$A:$B,2,0)</f>
        <v>Stuart</v>
      </c>
      <c r="H1495" s="6" t="str">
        <f>VLOOKUP(F1495,'Customer Info'!$A$1:$C$501,3,0)</f>
        <v>Calhoun</v>
      </c>
      <c r="I1495" s="6" t="str">
        <f>VLOOKUP(F1495,Customer,5,0)</f>
        <v>Raipur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486</v>
      </c>
      <c r="O1495" s="2">
        <v>30</v>
      </c>
      <c r="P1495" s="8">
        <f t="shared" si="117"/>
        <v>516</v>
      </c>
      <c r="Q1495" s="8">
        <f t="shared" si="118"/>
        <v>42</v>
      </c>
      <c r="R1495" s="2" t="s">
        <v>28</v>
      </c>
      <c r="S1495" s="24">
        <f t="shared" si="119"/>
        <v>0.02</v>
      </c>
    </row>
    <row r="1496" spans="1:19" x14ac:dyDescent="0.25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>VLOOKUP(F1496,'Customer Info'!$A:$B,2,0)</f>
        <v>Eugene</v>
      </c>
      <c r="H1496" s="6" t="str">
        <f>VLOOKUP(F1496,'Customer Info'!$A$1:$C$501,3,0)</f>
        <v>Hildebrand</v>
      </c>
      <c r="I1496" s="6" t="str">
        <f>VLOOKUP(F1496,Customer,5,0)</f>
        <v>Liaocheng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294</v>
      </c>
      <c r="O1496" s="2">
        <v>30</v>
      </c>
      <c r="P1496" s="8">
        <f t="shared" si="117"/>
        <v>324</v>
      </c>
      <c r="Q1496" s="8">
        <f t="shared" si="118"/>
        <v>18</v>
      </c>
      <c r="R1496" s="2" t="s">
        <v>50</v>
      </c>
      <c r="S1496" s="24">
        <f t="shared" si="119"/>
        <v>0.02</v>
      </c>
    </row>
    <row r="1497" spans="1:19" x14ac:dyDescent="0.25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>VLOOKUP(F1497,'Customer Info'!$A:$B,2,0)</f>
        <v>Peter</v>
      </c>
      <c r="H1497" s="6" t="str">
        <f>VLOOKUP(F1497,'Customer Info'!$A$1:$C$501,3,0)</f>
        <v>McVee</v>
      </c>
      <c r="I1497" s="6" t="str">
        <f>VLOOKUP(F1497,Customer,5,0)</f>
        <v>Hamburg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2874</v>
      </c>
      <c r="O1497" s="2">
        <v>44</v>
      </c>
      <c r="P1497" s="8">
        <f t="shared" si="117"/>
        <v>2918</v>
      </c>
      <c r="Q1497" s="8">
        <f t="shared" si="118"/>
        <v>291</v>
      </c>
      <c r="R1497" s="2" t="s">
        <v>50</v>
      </c>
      <c r="S1497" s="24">
        <f t="shared" si="119"/>
        <v>0.02</v>
      </c>
    </row>
    <row r="1498" spans="1:19" x14ac:dyDescent="0.25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>VLOOKUP(F1498,'Customer Info'!$A:$B,2,0)</f>
        <v>Aaron</v>
      </c>
      <c r="H1498" s="6" t="str">
        <f>VLOOKUP(F1498,'Customer Info'!$A$1:$C$501,3,0)</f>
        <v>Bergman</v>
      </c>
      <c r="I1498" s="6" t="str">
        <f>VLOOKUP(F1498,Customer,5,0)</f>
        <v>Halle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1637</v>
      </c>
      <c r="O1498" s="2">
        <v>50</v>
      </c>
      <c r="P1498" s="8">
        <f t="shared" si="117"/>
        <v>1687</v>
      </c>
      <c r="Q1498" s="8">
        <f t="shared" si="118"/>
        <v>46</v>
      </c>
      <c r="R1498" s="2" t="s">
        <v>56</v>
      </c>
      <c r="S1498" s="24">
        <f t="shared" si="119"/>
        <v>0.02</v>
      </c>
    </row>
    <row r="1499" spans="1:19" x14ac:dyDescent="0.25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>VLOOKUP(F1499,'Customer Info'!$A:$B,2,0)</f>
        <v>Charles</v>
      </c>
      <c r="H1499" s="6" t="str">
        <f>VLOOKUP(F1499,'Customer Info'!$A$1:$C$501,3,0)</f>
        <v>Sheldon</v>
      </c>
      <c r="I1499" s="6" t="str">
        <f>VLOOKUP(F1499,Customer,5,0)</f>
        <v>Brisbane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5448</v>
      </c>
      <c r="O1499" s="2">
        <v>95</v>
      </c>
      <c r="P1499" s="8">
        <f t="shared" si="117"/>
        <v>5543</v>
      </c>
      <c r="Q1499" s="8">
        <f t="shared" si="118"/>
        <v>351</v>
      </c>
      <c r="R1499" s="2" t="s">
        <v>28</v>
      </c>
      <c r="S1499" s="24">
        <f t="shared" si="119"/>
        <v>0.05</v>
      </c>
    </row>
    <row r="1500" spans="1:19" x14ac:dyDescent="0.25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>VLOOKUP(F1500,'Customer Info'!$A:$B,2,0)</f>
        <v>Anthony</v>
      </c>
      <c r="H1500" s="6" t="str">
        <f>VLOOKUP(F1500,'Customer Info'!$A$1:$C$501,3,0)</f>
        <v>Rawles</v>
      </c>
      <c r="I1500" s="6" t="str">
        <f>VLOOKUP(F1500,Customer,5,0)</f>
        <v>Samarinda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18308</v>
      </c>
      <c r="O1500" s="2">
        <v>42</v>
      </c>
      <c r="P1500" s="8">
        <f t="shared" si="117"/>
        <v>18350</v>
      </c>
      <c r="Q1500" s="8">
        <f t="shared" si="118"/>
        <v>1168</v>
      </c>
      <c r="R1500" s="2" t="s">
        <v>56</v>
      </c>
      <c r="S1500" s="24">
        <f t="shared" si="119"/>
        <v>0.05</v>
      </c>
    </row>
    <row r="1501" spans="1:19" x14ac:dyDescent="0.25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>VLOOKUP(F1501,'Customer Info'!$A:$B,2,0)</f>
        <v>Jennifer</v>
      </c>
      <c r="H1501" s="6" t="str">
        <f>VLOOKUP(F1501,'Customer Info'!$A$1:$C$501,3,0)</f>
        <v>Halladay</v>
      </c>
      <c r="I1501" s="6" t="str">
        <f>VLOOKUP(F1501,Customer,5,0)</f>
        <v>Bielefeld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20151</v>
      </c>
      <c r="O1501" s="2">
        <v>38</v>
      </c>
      <c r="P1501" s="8">
        <f t="shared" si="117"/>
        <v>20189</v>
      </c>
      <c r="Q1501" s="8">
        <f t="shared" si="118"/>
        <v>1287</v>
      </c>
      <c r="R1501" s="2" t="s">
        <v>28</v>
      </c>
      <c r="S1501" s="24">
        <f t="shared" si="119"/>
        <v>0.05</v>
      </c>
    </row>
    <row r="1502" spans="1:19" x14ac:dyDescent="0.25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>VLOOKUP(F1502,'Customer Info'!$A:$B,2,0)</f>
        <v>Joel</v>
      </c>
      <c r="H1502" s="6" t="str">
        <f>VLOOKUP(F1502,'Customer Info'!$A$1:$C$501,3,0)</f>
        <v>Eaton</v>
      </c>
      <c r="I1502" s="6" t="str">
        <f>VLOOKUP(F1502,Customer,5,0)</f>
        <v>Nuremberg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2960</v>
      </c>
      <c r="O1502" s="2">
        <v>85</v>
      </c>
      <c r="P1502" s="8">
        <f t="shared" si="117"/>
        <v>3045</v>
      </c>
      <c r="Q1502" s="8">
        <f t="shared" si="118"/>
        <v>325</v>
      </c>
      <c r="R1502" s="2" t="s">
        <v>50</v>
      </c>
      <c r="S1502" s="24">
        <f t="shared" si="119"/>
        <v>0.02</v>
      </c>
    </row>
    <row r="1503" spans="1:19" x14ac:dyDescent="0.25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>VLOOKUP(F1503,'Customer Info'!$A:$B,2,0)</f>
        <v>Kunst</v>
      </c>
      <c r="H1503" s="6" t="str">
        <f>VLOOKUP(F1503,'Customer Info'!$A$1:$C$501,3,0)</f>
        <v>Miller</v>
      </c>
      <c r="I1503" s="6" t="str">
        <f>VLOOKUP(F1503,Customer,5,0)</f>
        <v>Jakarta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19062</v>
      </c>
      <c r="O1503" s="2">
        <v>91</v>
      </c>
      <c r="P1503" s="8">
        <f t="shared" si="117"/>
        <v>19153</v>
      </c>
      <c r="Q1503" s="8">
        <f t="shared" si="118"/>
        <v>1755</v>
      </c>
      <c r="R1503" s="2" t="s">
        <v>28</v>
      </c>
      <c r="S1503" s="24">
        <f t="shared" si="119"/>
        <v>0.05</v>
      </c>
    </row>
    <row r="1504" spans="1:19" x14ac:dyDescent="0.25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>VLOOKUP(F1504,'Customer Info'!$A:$B,2,0)</f>
        <v>Harry</v>
      </c>
      <c r="H1504" s="6" t="str">
        <f>VLOOKUP(F1504,'Customer Info'!$A$1:$C$501,3,0)</f>
        <v>Marie</v>
      </c>
      <c r="I1504" s="6" t="str">
        <f>VLOOKUP(F1504,Customer,5,0)</f>
        <v>Mataram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120</v>
      </c>
      <c r="O1504" s="2">
        <v>10</v>
      </c>
      <c r="P1504" s="8">
        <f t="shared" si="117"/>
        <v>130</v>
      </c>
      <c r="Q1504" s="8">
        <f t="shared" si="118"/>
        <v>4</v>
      </c>
      <c r="R1504" s="2" t="s">
        <v>50</v>
      </c>
      <c r="S1504" s="24">
        <f t="shared" si="119"/>
        <v>0.02</v>
      </c>
    </row>
    <row r="1505" spans="1:19" x14ac:dyDescent="0.25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>VLOOKUP(F1505,'Customer Info'!$A:$B,2,0)</f>
        <v>Rachel</v>
      </c>
      <c r="H1505" s="6" t="str">
        <f>VLOOKUP(F1505,'Customer Info'!$A$1:$C$501,3,0)</f>
        <v>Payne</v>
      </c>
      <c r="I1505" s="6" t="str">
        <f>VLOOKUP(F1505,Customer,5,0)</f>
        <v>Mianyang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368</v>
      </c>
      <c r="O1505" s="2">
        <v>10</v>
      </c>
      <c r="P1505" s="8">
        <f t="shared" si="117"/>
        <v>378</v>
      </c>
      <c r="Q1505" s="8">
        <f t="shared" si="118"/>
        <v>40</v>
      </c>
      <c r="R1505" s="2" t="s">
        <v>28</v>
      </c>
      <c r="S1505" s="24">
        <f t="shared" si="119"/>
        <v>0.02</v>
      </c>
    </row>
    <row r="1506" spans="1:19" x14ac:dyDescent="0.25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>VLOOKUP(F1506,'Customer Info'!$A:$B,2,0)</f>
        <v>Candace</v>
      </c>
      <c r="H1506" s="6" t="str">
        <f>VLOOKUP(F1506,'Customer Info'!$A$1:$C$501,3,0)</f>
        <v>McMahon</v>
      </c>
      <c r="I1506" s="6" t="str">
        <f>VLOOKUP(F1506,Customer,5,0)</f>
        <v>Canberra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224</v>
      </c>
      <c r="O1506" s="2">
        <v>87</v>
      </c>
      <c r="P1506" s="8">
        <f t="shared" si="117"/>
        <v>311</v>
      </c>
      <c r="Q1506" s="8">
        <f t="shared" si="118"/>
        <v>14</v>
      </c>
      <c r="R1506" s="2" t="s">
        <v>50</v>
      </c>
      <c r="S1506" s="24">
        <f t="shared" si="119"/>
        <v>0.02</v>
      </c>
    </row>
    <row r="1507" spans="1:19" x14ac:dyDescent="0.25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>VLOOKUP(F1507,'Customer Info'!$A:$B,2,0)</f>
        <v>Peter</v>
      </c>
      <c r="H1507" s="6" t="str">
        <f>VLOOKUP(F1507,'Customer Info'!$A$1:$C$501,3,0)</f>
        <v>BŸhler</v>
      </c>
      <c r="I1507" s="6" t="str">
        <f>VLOOKUP(F1507,Customer,5,0)</f>
        <v>Dresden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38328</v>
      </c>
      <c r="O1507" s="2">
        <v>98</v>
      </c>
      <c r="P1507" s="8">
        <f t="shared" si="117"/>
        <v>38426</v>
      </c>
      <c r="Q1507" s="8">
        <f t="shared" si="118"/>
        <v>3164</v>
      </c>
      <c r="R1507" s="2" t="s">
        <v>50</v>
      </c>
      <c r="S1507" s="24">
        <f t="shared" si="119"/>
        <v>7.0000000000000007E-2</v>
      </c>
    </row>
    <row r="1508" spans="1:19" x14ac:dyDescent="0.25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>VLOOKUP(F1508,'Customer Info'!$A:$B,2,0)</f>
        <v>Anthony</v>
      </c>
      <c r="H1508" s="6" t="str">
        <f>VLOOKUP(F1508,'Customer Info'!$A$1:$C$501,3,0)</f>
        <v>Garverick</v>
      </c>
      <c r="I1508" s="6" t="str">
        <f>VLOOKUP(F1508,Customer,5,0)</f>
        <v>Delhi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5916</v>
      </c>
      <c r="O1508" s="2">
        <v>44</v>
      </c>
      <c r="P1508" s="8">
        <f t="shared" si="117"/>
        <v>5960</v>
      </c>
      <c r="Q1508" s="8">
        <f t="shared" si="118"/>
        <v>430</v>
      </c>
      <c r="R1508" s="2" t="s">
        <v>50</v>
      </c>
      <c r="S1508" s="24">
        <f t="shared" si="119"/>
        <v>0.05</v>
      </c>
    </row>
    <row r="1509" spans="1:19" x14ac:dyDescent="0.25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>VLOOKUP(F1509,'Customer Info'!$A:$B,2,0)</f>
        <v>Dave</v>
      </c>
      <c r="H1509" s="6" t="str">
        <f>VLOOKUP(F1509,'Customer Info'!$A$1:$C$501,3,0)</f>
        <v>Hallsten</v>
      </c>
      <c r="I1509" s="6" t="str">
        <f>VLOOKUP(F1509,Customer,5,0)</f>
        <v>Melbourne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1626</v>
      </c>
      <c r="O1509" s="2">
        <v>68</v>
      </c>
      <c r="P1509" s="8">
        <f t="shared" si="117"/>
        <v>1694</v>
      </c>
      <c r="Q1509" s="8">
        <f t="shared" si="118"/>
        <v>150</v>
      </c>
      <c r="R1509" s="2" t="s">
        <v>28</v>
      </c>
      <c r="S1509" s="24">
        <f t="shared" si="119"/>
        <v>0.02</v>
      </c>
    </row>
    <row r="1510" spans="1:19" x14ac:dyDescent="0.25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>VLOOKUP(F1510,'Customer Info'!$A:$B,2,0)</f>
        <v>Jennifer</v>
      </c>
      <c r="H1510" s="6" t="str">
        <f>VLOOKUP(F1510,'Customer Info'!$A$1:$C$501,3,0)</f>
        <v>Jackson</v>
      </c>
      <c r="I1510" s="6" t="str">
        <f>VLOOKUP(F1510,Customer,5,0)</f>
        <v>Queanbeyan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2646</v>
      </c>
      <c r="O1510" s="2">
        <v>62</v>
      </c>
      <c r="P1510" s="8">
        <f t="shared" si="117"/>
        <v>2708</v>
      </c>
      <c r="Q1510" s="8">
        <f t="shared" si="118"/>
        <v>192</v>
      </c>
      <c r="R1510" s="2" t="s">
        <v>50</v>
      </c>
      <c r="S1510" s="24">
        <f t="shared" si="119"/>
        <v>0.02</v>
      </c>
    </row>
    <row r="1511" spans="1:19" x14ac:dyDescent="0.25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>VLOOKUP(F1511,'Customer Info'!$A:$B,2,0)</f>
        <v>Jack</v>
      </c>
      <c r="H1511" s="6" t="str">
        <f>VLOOKUP(F1511,'Customer Info'!$A$1:$C$501,3,0)</f>
        <v>Lebron</v>
      </c>
      <c r="I1511" s="6" t="str">
        <f>VLOOKUP(F1511,Customer,5,0)</f>
        <v>Bremen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2916</v>
      </c>
      <c r="O1511" s="2">
        <v>22</v>
      </c>
      <c r="P1511" s="8">
        <f t="shared" si="117"/>
        <v>2938</v>
      </c>
      <c r="Q1511" s="8">
        <f t="shared" si="118"/>
        <v>160</v>
      </c>
      <c r="R1511" s="2" t="s">
        <v>50</v>
      </c>
      <c r="S1511" s="24">
        <f t="shared" si="119"/>
        <v>0.02</v>
      </c>
    </row>
    <row r="1512" spans="1:19" x14ac:dyDescent="0.25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>VLOOKUP(F1512,'Customer Info'!$A:$B,2,0)</f>
        <v>Claire</v>
      </c>
      <c r="H1512" s="6" t="str">
        <f>VLOOKUP(F1512,'Customer Info'!$A$1:$C$501,3,0)</f>
        <v>Gute</v>
      </c>
      <c r="I1512" s="6" t="str">
        <f>VLOOKUP(F1512,Customer,5,0)</f>
        <v>Worms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725</v>
      </c>
      <c r="O1512" s="2">
        <v>30</v>
      </c>
      <c r="P1512" s="8">
        <f t="shared" si="117"/>
        <v>755</v>
      </c>
      <c r="Q1512" s="8">
        <f t="shared" si="118"/>
        <v>75</v>
      </c>
      <c r="R1512" s="2" t="s">
        <v>28</v>
      </c>
      <c r="S1512" s="24">
        <f t="shared" si="119"/>
        <v>0.02</v>
      </c>
    </row>
    <row r="1513" spans="1:19" x14ac:dyDescent="0.25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>VLOOKUP(F1513,'Customer Info'!$A:$B,2,0)</f>
        <v>Tom</v>
      </c>
      <c r="H1513" s="6" t="str">
        <f>VLOOKUP(F1513,'Customer Info'!$A$1:$C$501,3,0)</f>
        <v>Zandusky</v>
      </c>
      <c r="I1513" s="6" t="str">
        <f>VLOOKUP(F1513,Customer,5,0)</f>
        <v>Hobart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759</v>
      </c>
      <c r="O1513" s="2">
        <v>98</v>
      </c>
      <c r="P1513" s="8">
        <f t="shared" si="117"/>
        <v>857</v>
      </c>
      <c r="Q1513" s="8">
        <f t="shared" si="118"/>
        <v>56</v>
      </c>
      <c r="R1513" s="2" t="s">
        <v>50</v>
      </c>
      <c r="S1513" s="24">
        <f t="shared" si="119"/>
        <v>0.02</v>
      </c>
    </row>
    <row r="1514" spans="1:19" x14ac:dyDescent="0.25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>VLOOKUP(F1514,'Customer Info'!$A:$B,2,0)</f>
        <v>Rob</v>
      </c>
      <c r="H1514" s="6" t="str">
        <f>VLOOKUP(F1514,'Customer Info'!$A$1:$C$501,3,0)</f>
        <v>Williams</v>
      </c>
      <c r="I1514" s="6" t="str">
        <f>VLOOKUP(F1514,Customer,5,0)</f>
        <v>Wodonga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510</v>
      </c>
      <c r="O1514" s="2">
        <v>30</v>
      </c>
      <c r="P1514" s="8">
        <f t="shared" si="117"/>
        <v>540</v>
      </c>
      <c r="Q1514" s="8">
        <f t="shared" si="118"/>
        <v>51</v>
      </c>
      <c r="R1514" s="2" t="s">
        <v>26</v>
      </c>
      <c r="S1514" s="24">
        <f t="shared" si="119"/>
        <v>0.02</v>
      </c>
    </row>
    <row r="1515" spans="1:19" x14ac:dyDescent="0.25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>VLOOKUP(F1515,'Customer Info'!$A:$B,2,0)</f>
        <v>Toby</v>
      </c>
      <c r="H1515" s="6" t="str">
        <f>VLOOKUP(F1515,'Customer Info'!$A$1:$C$501,3,0)</f>
        <v>Braunhardt</v>
      </c>
      <c r="I1515" s="6" t="str">
        <f>VLOOKUP(F1515,Customer,5,0)</f>
        <v>Perth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2228</v>
      </c>
      <c r="O1515" s="2">
        <v>79</v>
      </c>
      <c r="P1515" s="8">
        <f t="shared" si="117"/>
        <v>2307</v>
      </c>
      <c r="Q1515" s="8">
        <f t="shared" si="118"/>
        <v>85</v>
      </c>
      <c r="R1515" s="2" t="s">
        <v>28</v>
      </c>
      <c r="S1515" s="24">
        <f t="shared" si="119"/>
        <v>0.02</v>
      </c>
    </row>
    <row r="1516" spans="1:19" x14ac:dyDescent="0.25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>VLOOKUP(F1516,'Customer Info'!$A:$B,2,0)</f>
        <v>Duane</v>
      </c>
      <c r="H1516" s="6" t="str">
        <f>VLOOKUP(F1516,'Customer Info'!$A$1:$C$501,3,0)</f>
        <v>Benoit</v>
      </c>
      <c r="I1516" s="6" t="str">
        <f>VLOOKUP(F1516,Customer,5,0)</f>
        <v>Tamworth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10085</v>
      </c>
      <c r="O1516" s="2">
        <v>21</v>
      </c>
      <c r="P1516" s="8">
        <f t="shared" si="117"/>
        <v>10106</v>
      </c>
      <c r="Q1516" s="8">
        <f t="shared" si="118"/>
        <v>915</v>
      </c>
      <c r="R1516" s="2" t="s">
        <v>28</v>
      </c>
      <c r="S1516" s="24">
        <f t="shared" si="119"/>
        <v>0.05</v>
      </c>
    </row>
    <row r="1517" spans="1:19" x14ac:dyDescent="0.25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>VLOOKUP(F1517,'Customer Info'!$A:$B,2,0)</f>
        <v>Dave</v>
      </c>
      <c r="H1517" s="6" t="str">
        <f>VLOOKUP(F1517,'Customer Info'!$A$1:$C$501,3,0)</f>
        <v>Poirier</v>
      </c>
      <c r="I1517" s="6" t="str">
        <f>VLOOKUP(F1517,Customer,5,0)</f>
        <v>Changchun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3274</v>
      </c>
      <c r="O1517" s="2">
        <v>84</v>
      </c>
      <c r="P1517" s="8">
        <f t="shared" si="117"/>
        <v>3358</v>
      </c>
      <c r="Q1517" s="8">
        <f t="shared" si="118"/>
        <v>92</v>
      </c>
      <c r="R1517" s="2" t="s">
        <v>50</v>
      </c>
      <c r="S1517" s="24">
        <f t="shared" si="119"/>
        <v>0.02</v>
      </c>
    </row>
    <row r="1518" spans="1:19" x14ac:dyDescent="0.25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>VLOOKUP(F1518,'Customer Info'!$A:$B,2,0)</f>
        <v>Justin</v>
      </c>
      <c r="H1518" s="6" t="str">
        <f>VLOOKUP(F1518,'Customer Info'!$A$1:$C$501,3,0)</f>
        <v>Hirsh</v>
      </c>
      <c r="I1518" s="6" t="str">
        <f>VLOOKUP(F1518,Customer,5,0)</f>
        <v>Shangzhi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1623</v>
      </c>
      <c r="O1518" s="2">
        <v>54</v>
      </c>
      <c r="P1518" s="8">
        <f t="shared" si="117"/>
        <v>1677</v>
      </c>
      <c r="Q1518" s="8">
        <f t="shared" si="118"/>
        <v>77</v>
      </c>
      <c r="R1518" s="2" t="s">
        <v>28</v>
      </c>
      <c r="S1518" s="24">
        <f t="shared" si="119"/>
        <v>0.02</v>
      </c>
    </row>
    <row r="1519" spans="1:19" x14ac:dyDescent="0.25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>VLOOKUP(F1519,'Customer Info'!$A:$B,2,0)</f>
        <v>Toby</v>
      </c>
      <c r="H1519" s="6" t="str">
        <f>VLOOKUP(F1519,'Customer Info'!$A$1:$C$501,3,0)</f>
        <v>Gnade</v>
      </c>
      <c r="I1519" s="6" t="str">
        <f>VLOOKUP(F1519,Customer,5,0)</f>
        <v>Wagga Wagga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4660</v>
      </c>
      <c r="O1519" s="2">
        <v>99</v>
      </c>
      <c r="P1519" s="8">
        <f t="shared" si="117"/>
        <v>4759</v>
      </c>
      <c r="Q1519" s="8">
        <f t="shared" si="118"/>
        <v>470</v>
      </c>
      <c r="R1519" s="2" t="s">
        <v>28</v>
      </c>
      <c r="S1519" s="24">
        <f t="shared" si="119"/>
        <v>0.02</v>
      </c>
    </row>
    <row r="1520" spans="1:19" x14ac:dyDescent="0.25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>VLOOKUP(F1520,'Customer Info'!$A:$B,2,0)</f>
        <v>Benjamin</v>
      </c>
      <c r="H1520" s="6" t="str">
        <f>VLOOKUP(F1520,'Customer Info'!$A$1:$C$501,3,0)</f>
        <v>Patterson</v>
      </c>
      <c r="I1520" s="6" t="str">
        <f>VLOOKUP(F1520,Customer,5,0)</f>
        <v>Tamworth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174</v>
      </c>
      <c r="O1520" s="2">
        <v>10</v>
      </c>
      <c r="P1520" s="8">
        <f t="shared" si="117"/>
        <v>184</v>
      </c>
      <c r="Q1520" s="8">
        <f t="shared" si="118"/>
        <v>14</v>
      </c>
      <c r="R1520" s="2" t="s">
        <v>28</v>
      </c>
      <c r="S1520" s="24">
        <f t="shared" si="119"/>
        <v>0.02</v>
      </c>
    </row>
    <row r="1521" spans="1:19" x14ac:dyDescent="0.25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>VLOOKUP(F1521,'Customer Info'!$A:$B,2,0)</f>
        <v>Rick</v>
      </c>
      <c r="H1521" s="6" t="str">
        <f>VLOOKUP(F1521,'Customer Info'!$A$1:$C$501,3,0)</f>
        <v>Duston</v>
      </c>
      <c r="I1521" s="6" t="str">
        <f>VLOOKUP(F1521,Customer,5,0)</f>
        <v>Surakarta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32990</v>
      </c>
      <c r="O1521" s="2">
        <v>27</v>
      </c>
      <c r="P1521" s="8">
        <f t="shared" si="117"/>
        <v>33017</v>
      </c>
      <c r="Q1521" s="8">
        <f t="shared" si="118"/>
        <v>1260</v>
      </c>
      <c r="R1521" s="2" t="s">
        <v>50</v>
      </c>
      <c r="S1521" s="24">
        <f t="shared" si="119"/>
        <v>7.0000000000000007E-2</v>
      </c>
    </row>
    <row r="1522" spans="1:19" x14ac:dyDescent="0.25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>VLOOKUP(F1522,'Customer Info'!$A:$B,2,0)</f>
        <v>Patrick</v>
      </c>
      <c r="H1522" s="6" t="str">
        <f>VLOOKUP(F1522,'Customer Info'!$A$1:$C$501,3,0)</f>
        <v>Bzostek</v>
      </c>
      <c r="I1522" s="6" t="str">
        <f>VLOOKUP(F1522,Customer,5,0)</f>
        <v>Brisbane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22827</v>
      </c>
      <c r="O1522" s="2">
        <v>22</v>
      </c>
      <c r="P1522" s="8">
        <f t="shared" si="117"/>
        <v>22849</v>
      </c>
      <c r="Q1522" s="8">
        <f t="shared" si="118"/>
        <v>1083</v>
      </c>
      <c r="R1522" s="2" t="s">
        <v>50</v>
      </c>
      <c r="S1522" s="24">
        <f t="shared" si="119"/>
        <v>0.05</v>
      </c>
    </row>
    <row r="1523" spans="1:19" x14ac:dyDescent="0.25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>VLOOKUP(F1523,'Customer Info'!$A:$B,2,0)</f>
        <v>Thais</v>
      </c>
      <c r="H1523" s="6" t="str">
        <f>VLOOKUP(F1523,'Customer Info'!$A$1:$C$501,3,0)</f>
        <v>Sissman</v>
      </c>
      <c r="I1523" s="6" t="str">
        <f>VLOOKUP(F1523,Customer,5,0)</f>
        <v>Essen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3504</v>
      </c>
      <c r="O1523" s="2">
        <v>26</v>
      </c>
      <c r="P1523" s="8">
        <f t="shared" si="117"/>
        <v>3530</v>
      </c>
      <c r="Q1523" s="8">
        <f t="shared" si="118"/>
        <v>352</v>
      </c>
      <c r="R1523" s="2" t="s">
        <v>26</v>
      </c>
      <c r="S1523" s="24">
        <f t="shared" si="119"/>
        <v>0.02</v>
      </c>
    </row>
    <row r="1524" spans="1:19" x14ac:dyDescent="0.25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>VLOOKUP(F1524,'Customer Info'!$A:$B,2,0)</f>
        <v>Bill</v>
      </c>
      <c r="H1524" s="6" t="str">
        <f>VLOOKUP(F1524,'Customer Info'!$A$1:$C$501,3,0)</f>
        <v>Donatelli</v>
      </c>
      <c r="I1524" s="6" t="str">
        <f>VLOOKUP(F1524,Customer,5,0)</f>
        <v>Kamarhati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36750</v>
      </c>
      <c r="O1524" s="2">
        <v>68</v>
      </c>
      <c r="P1524" s="8">
        <f t="shared" si="117"/>
        <v>36818</v>
      </c>
      <c r="Q1524" s="8">
        <f t="shared" si="118"/>
        <v>3035</v>
      </c>
      <c r="R1524" s="2" t="s">
        <v>28</v>
      </c>
      <c r="S1524" s="24">
        <f t="shared" si="119"/>
        <v>7.0000000000000007E-2</v>
      </c>
    </row>
    <row r="1525" spans="1:19" x14ac:dyDescent="0.25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>VLOOKUP(F1525,'Customer Info'!$A:$B,2,0)</f>
        <v>Quincy</v>
      </c>
      <c r="H1525" s="6" t="str">
        <f>VLOOKUP(F1525,'Customer Info'!$A$1:$C$501,3,0)</f>
        <v>Jones</v>
      </c>
      <c r="I1525" s="6" t="str">
        <f>VLOOKUP(F1525,Customer,5,0)</f>
        <v>Gold Coast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3243</v>
      </c>
      <c r="O1525" s="2">
        <v>35</v>
      </c>
      <c r="P1525" s="8">
        <f t="shared" si="117"/>
        <v>3278</v>
      </c>
      <c r="Q1525" s="8">
        <f t="shared" si="118"/>
        <v>294</v>
      </c>
      <c r="R1525" s="2" t="s">
        <v>50</v>
      </c>
      <c r="S1525" s="24">
        <f t="shared" si="119"/>
        <v>0.02</v>
      </c>
    </row>
    <row r="1526" spans="1:19" x14ac:dyDescent="0.25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>VLOOKUP(F1526,'Customer Info'!$A:$B,2,0)</f>
        <v>Tamara</v>
      </c>
      <c r="H1526" s="6" t="str">
        <f>VLOOKUP(F1526,'Customer Info'!$A$1:$C$501,3,0)</f>
        <v>Willingham</v>
      </c>
      <c r="I1526" s="6" t="str">
        <f>VLOOKUP(F1526,Customer,5,0)</f>
        <v>Perth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11550</v>
      </c>
      <c r="O1526" s="2">
        <v>60</v>
      </c>
      <c r="P1526" s="8">
        <f t="shared" si="117"/>
        <v>11610</v>
      </c>
      <c r="Q1526" s="8">
        <f t="shared" si="118"/>
        <v>1350</v>
      </c>
      <c r="R1526" s="2" t="s">
        <v>28</v>
      </c>
      <c r="S1526" s="24">
        <f t="shared" si="119"/>
        <v>0.05</v>
      </c>
    </row>
    <row r="1527" spans="1:19" x14ac:dyDescent="0.25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>VLOOKUP(F1527,'Customer Info'!$A:$B,2,0)</f>
        <v>Don</v>
      </c>
      <c r="H1527" s="6" t="str">
        <f>VLOOKUP(F1527,'Customer Info'!$A$1:$C$501,3,0)</f>
        <v>Weiss</v>
      </c>
      <c r="I1527" s="6" t="str">
        <f>VLOOKUP(F1527,Customer,5,0)</f>
        <v>Sydney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25536</v>
      </c>
      <c r="O1527" s="2">
        <v>28</v>
      </c>
      <c r="P1527" s="8">
        <f t="shared" si="117"/>
        <v>25564</v>
      </c>
      <c r="Q1527" s="8">
        <f t="shared" si="118"/>
        <v>1448</v>
      </c>
      <c r="R1527" s="2" t="s">
        <v>28</v>
      </c>
      <c r="S1527" s="24">
        <f t="shared" si="119"/>
        <v>7.0000000000000007E-2</v>
      </c>
    </row>
    <row r="1528" spans="1:19" x14ac:dyDescent="0.25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>VLOOKUP(F1528,'Customer Info'!$A:$B,2,0)</f>
        <v>Eileen</v>
      </c>
      <c r="H1528" s="6" t="str">
        <f>VLOOKUP(F1528,'Customer Info'!$A$1:$C$501,3,0)</f>
        <v>Kiefer</v>
      </c>
      <c r="I1528" s="6" t="str">
        <f>VLOOKUP(F1528,Customer,5,0)</f>
        <v>Hamm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14016</v>
      </c>
      <c r="O1528" s="2">
        <v>56</v>
      </c>
      <c r="P1528" s="8">
        <f t="shared" si="117"/>
        <v>14072</v>
      </c>
      <c r="Q1528" s="8">
        <f t="shared" si="118"/>
        <v>1408</v>
      </c>
      <c r="R1528" s="2" t="s">
        <v>26</v>
      </c>
      <c r="S1528" s="24">
        <f t="shared" si="119"/>
        <v>0.05</v>
      </c>
    </row>
    <row r="1529" spans="1:19" x14ac:dyDescent="0.25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>VLOOKUP(F1529,'Customer Info'!$A:$B,2,0)</f>
        <v>Harold</v>
      </c>
      <c r="H1529" s="6" t="str">
        <f>VLOOKUP(F1529,'Customer Info'!$A$1:$C$501,3,0)</f>
        <v>Dahlen</v>
      </c>
      <c r="I1529" s="6" t="str">
        <f>VLOOKUP(F1529,Customer,5,0)</f>
        <v>Melbourne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588</v>
      </c>
      <c r="O1529" s="2">
        <v>30</v>
      </c>
      <c r="P1529" s="8">
        <f t="shared" si="117"/>
        <v>618</v>
      </c>
      <c r="Q1529" s="8">
        <f t="shared" si="118"/>
        <v>36</v>
      </c>
      <c r="R1529" s="2" t="s">
        <v>28</v>
      </c>
      <c r="S1529" s="24">
        <f t="shared" si="119"/>
        <v>0.02</v>
      </c>
    </row>
    <row r="1530" spans="1:19" x14ac:dyDescent="0.25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>VLOOKUP(F1530,'Customer Info'!$A:$B,2,0)</f>
        <v>Katrina</v>
      </c>
      <c r="H1530" s="6" t="str">
        <f>VLOOKUP(F1530,'Customer Info'!$A$1:$C$501,3,0)</f>
        <v>Bavinger</v>
      </c>
      <c r="I1530" s="6" t="str">
        <f>VLOOKUP(F1530,Customer,5,0)</f>
        <v>Melbourne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7474</v>
      </c>
      <c r="O1530" s="2">
        <v>39</v>
      </c>
      <c r="P1530" s="8">
        <f t="shared" si="117"/>
        <v>7513</v>
      </c>
      <c r="Q1530" s="8">
        <f t="shared" si="118"/>
        <v>616</v>
      </c>
      <c r="R1530" s="2" t="s">
        <v>50</v>
      </c>
      <c r="S1530" s="24">
        <f t="shared" si="119"/>
        <v>0.05</v>
      </c>
    </row>
    <row r="1531" spans="1:19" x14ac:dyDescent="0.25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>VLOOKUP(F1531,'Customer Info'!$A:$B,2,0)</f>
        <v>Hilary</v>
      </c>
      <c r="H1531" s="6" t="str">
        <f>VLOOKUP(F1531,'Customer Info'!$A$1:$C$501,3,0)</f>
        <v>Holden</v>
      </c>
      <c r="I1531" s="6" t="str">
        <f>VLOOKUP(F1531,Customer,5,0)</f>
        <v>Mysore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30764</v>
      </c>
      <c r="O1531" s="2">
        <v>97</v>
      </c>
      <c r="P1531" s="8">
        <f t="shared" si="117"/>
        <v>30861</v>
      </c>
      <c r="Q1531" s="8">
        <f t="shared" si="118"/>
        <v>1744</v>
      </c>
      <c r="R1531" s="2" t="s">
        <v>50</v>
      </c>
      <c r="S1531" s="24">
        <f t="shared" si="119"/>
        <v>7.0000000000000007E-2</v>
      </c>
    </row>
    <row r="1532" spans="1:19" x14ac:dyDescent="0.25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>VLOOKUP(F1532,'Customer Info'!$A:$B,2,0)</f>
        <v>Lynn</v>
      </c>
      <c r="H1532" s="6" t="str">
        <f>VLOOKUP(F1532,'Customer Info'!$A$1:$C$501,3,0)</f>
        <v>Smith</v>
      </c>
      <c r="I1532" s="6" t="str">
        <f>VLOOKUP(F1532,Customer,5,0)</f>
        <v>Kanpur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1496</v>
      </c>
      <c r="O1532" s="2">
        <v>30</v>
      </c>
      <c r="P1532" s="8">
        <f t="shared" si="117"/>
        <v>1526</v>
      </c>
      <c r="Q1532" s="8">
        <f t="shared" si="118"/>
        <v>88</v>
      </c>
      <c r="R1532" s="2" t="s">
        <v>50</v>
      </c>
      <c r="S1532" s="24">
        <f t="shared" si="119"/>
        <v>0.02</v>
      </c>
    </row>
    <row r="1533" spans="1:19" x14ac:dyDescent="0.25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>VLOOKUP(F1533,'Customer Info'!$A:$B,2,0)</f>
        <v>Laurel</v>
      </c>
      <c r="H1533" s="6" t="str">
        <f>VLOOKUP(F1533,'Customer Info'!$A$1:$C$501,3,0)</f>
        <v>Workman</v>
      </c>
      <c r="I1533" s="6" t="str">
        <f>VLOOKUP(F1533,Customer,5,0)</f>
        <v>Dongguan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276</v>
      </c>
      <c r="O1533" s="2">
        <v>30</v>
      </c>
      <c r="P1533" s="8">
        <f t="shared" si="117"/>
        <v>306</v>
      </c>
      <c r="Q1533" s="8">
        <f t="shared" si="118"/>
        <v>20</v>
      </c>
      <c r="R1533" s="2" t="s">
        <v>28</v>
      </c>
      <c r="S1533" s="24">
        <f t="shared" si="119"/>
        <v>0.02</v>
      </c>
    </row>
    <row r="1534" spans="1:19" x14ac:dyDescent="0.25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>VLOOKUP(F1534,'Customer Info'!$A:$B,2,0)</f>
        <v>Alex</v>
      </c>
      <c r="H1534" s="6" t="str">
        <f>VLOOKUP(F1534,'Customer Info'!$A$1:$C$501,3,0)</f>
        <v>Avila</v>
      </c>
      <c r="I1534" s="6" t="str">
        <f>VLOOKUP(F1534,Customer,5,0)</f>
        <v>Newcastle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25416</v>
      </c>
      <c r="O1534" s="2">
        <v>98</v>
      </c>
      <c r="P1534" s="8">
        <f t="shared" si="117"/>
        <v>25514</v>
      </c>
      <c r="Q1534" s="8">
        <f t="shared" si="118"/>
        <v>2340</v>
      </c>
      <c r="R1534" s="2" t="s">
        <v>28</v>
      </c>
      <c r="S1534" s="24">
        <f t="shared" si="119"/>
        <v>7.0000000000000007E-2</v>
      </c>
    </row>
    <row r="1535" spans="1:19" x14ac:dyDescent="0.25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>VLOOKUP(F1535,'Customer Info'!$A:$B,2,0)</f>
        <v>Liz</v>
      </c>
      <c r="H1535" s="6" t="str">
        <f>VLOOKUP(F1535,'Customer Info'!$A$1:$C$501,3,0)</f>
        <v>Pelletier</v>
      </c>
      <c r="I1535" s="6" t="str">
        <f>VLOOKUP(F1535,Customer,5,0)</f>
        <v>Zigong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8529</v>
      </c>
      <c r="O1535" s="2">
        <v>78</v>
      </c>
      <c r="P1535" s="8">
        <f t="shared" si="117"/>
        <v>8607</v>
      </c>
      <c r="Q1535" s="8">
        <f t="shared" si="118"/>
        <v>324</v>
      </c>
      <c r="R1535" s="2" t="s">
        <v>28</v>
      </c>
      <c r="S1535" s="24">
        <f t="shared" si="119"/>
        <v>0.05</v>
      </c>
    </row>
    <row r="1536" spans="1:19" x14ac:dyDescent="0.25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>VLOOKUP(F1536,'Customer Info'!$A:$B,2,0)</f>
        <v>Toby</v>
      </c>
      <c r="H1536" s="6" t="str">
        <f>VLOOKUP(F1536,'Customer Info'!$A$1:$C$501,3,0)</f>
        <v>Braunhardt</v>
      </c>
      <c r="I1536" s="6" t="str">
        <f>VLOOKUP(F1536,Customer,5,0)</f>
        <v>Jiangyan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9154</v>
      </c>
      <c r="O1536" s="2">
        <v>45</v>
      </c>
      <c r="P1536" s="8">
        <f t="shared" si="117"/>
        <v>9199</v>
      </c>
      <c r="Q1536" s="8">
        <f t="shared" si="118"/>
        <v>594</v>
      </c>
      <c r="R1536" s="2" t="s">
        <v>50</v>
      </c>
      <c r="S1536" s="24">
        <f t="shared" si="119"/>
        <v>0.05</v>
      </c>
    </row>
    <row r="1537" spans="1:19" x14ac:dyDescent="0.25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>VLOOKUP(F1537,'Customer Info'!$A:$B,2,0)</f>
        <v>Scott</v>
      </c>
      <c r="H1537" s="6" t="str">
        <f>VLOOKUP(F1537,'Customer Info'!$A$1:$C$501,3,0)</f>
        <v>Williamson</v>
      </c>
      <c r="I1537" s="6" t="str">
        <f>VLOOKUP(F1537,Customer,5,0)</f>
        <v>Launceston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9214</v>
      </c>
      <c r="O1537" s="2">
        <v>32</v>
      </c>
      <c r="P1537" s="8">
        <f t="shared" si="117"/>
        <v>9246</v>
      </c>
      <c r="Q1537" s="8">
        <f t="shared" si="118"/>
        <v>919</v>
      </c>
      <c r="R1537" s="2" t="s">
        <v>28</v>
      </c>
      <c r="S1537" s="24">
        <f t="shared" si="119"/>
        <v>0.05</v>
      </c>
    </row>
    <row r="1538" spans="1:19" x14ac:dyDescent="0.25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>VLOOKUP(F1538,'Customer Info'!$A:$B,2,0)</f>
        <v>Jack</v>
      </c>
      <c r="H1538" s="6" t="str">
        <f>VLOOKUP(F1538,'Customer Info'!$A$1:$C$501,3,0)</f>
        <v>Lebron</v>
      </c>
      <c r="I1538" s="6" t="str">
        <f>VLOOKUP(F1538,Customer,5,0)</f>
        <v>Bremen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2688</v>
      </c>
      <c r="O1538" s="2">
        <v>37</v>
      </c>
      <c r="P1538" s="8">
        <f t="shared" si="117"/>
        <v>2725</v>
      </c>
      <c r="Q1538" s="8">
        <f t="shared" si="118"/>
        <v>78</v>
      </c>
      <c r="R1538" s="2" t="s">
        <v>50</v>
      </c>
      <c r="S1538" s="24">
        <f t="shared" si="119"/>
        <v>0.02</v>
      </c>
    </row>
    <row r="1539" spans="1:19" x14ac:dyDescent="0.25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>VLOOKUP(F1539,'Customer Info'!$A:$B,2,0)</f>
        <v>Toby</v>
      </c>
      <c r="H1539" s="6" t="str">
        <f>VLOOKUP(F1539,'Customer Info'!$A$1:$C$501,3,0)</f>
        <v>Braunhardt</v>
      </c>
      <c r="I1539" s="6" t="str">
        <f>VLOOKUP(F1539,Customer,5,0)</f>
        <v>Jiangyan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50310</v>
      </c>
      <c r="O1539" s="2">
        <v>77</v>
      </c>
      <c r="P1539" s="8">
        <f t="shared" si="117"/>
        <v>50387</v>
      </c>
      <c r="Q1539" s="8">
        <f t="shared" si="118"/>
        <v>2804</v>
      </c>
      <c r="R1539" s="2" t="s">
        <v>50</v>
      </c>
      <c r="S1539" s="24">
        <f t="shared" si="119"/>
        <v>0.09</v>
      </c>
    </row>
    <row r="1540" spans="1:19" x14ac:dyDescent="0.25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>VLOOKUP(F1540,'Customer Info'!$A:$B,2,0)</f>
        <v>Tony</v>
      </c>
      <c r="H1540" s="6" t="str">
        <f>VLOOKUP(F1540,'Customer Info'!$A$1:$C$501,3,0)</f>
        <v>Sayre</v>
      </c>
      <c r="I1540" s="6" t="str">
        <f>VLOOKUP(F1540,Customer,5,0)</f>
        <v>Wafangdian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171132</v>
      </c>
      <c r="O1540" s="2">
        <v>96</v>
      </c>
      <c r="P1540" s="8">
        <f t="shared" si="117"/>
        <v>171228</v>
      </c>
      <c r="Q1540" s="8">
        <f t="shared" si="118"/>
        <v>12828</v>
      </c>
      <c r="R1540" s="2" t="s">
        <v>28</v>
      </c>
      <c r="S1540" s="24">
        <f t="shared" si="119"/>
        <v>0.12</v>
      </c>
    </row>
    <row r="1541" spans="1:19" x14ac:dyDescent="0.25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>VLOOKUP(F1541,'Customer Info'!$A:$B,2,0)</f>
        <v>Christopher</v>
      </c>
      <c r="H1541" s="6" t="str">
        <f>VLOOKUP(F1541,'Customer Info'!$A$1:$C$501,3,0)</f>
        <v>Martinez</v>
      </c>
      <c r="I1541" s="6" t="str">
        <f>VLOOKUP(F1541,Customer,5,0)</f>
        <v>Qingdao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567</v>
      </c>
      <c r="O1541" s="2">
        <v>10</v>
      </c>
      <c r="P1541" s="8">
        <f t="shared" si="117"/>
        <v>577</v>
      </c>
      <c r="Q1541" s="8">
        <f t="shared" si="118"/>
        <v>45</v>
      </c>
      <c r="R1541" s="2" t="s">
        <v>28</v>
      </c>
      <c r="S1541" s="24">
        <f t="shared" si="119"/>
        <v>0.02</v>
      </c>
    </row>
    <row r="1542" spans="1:19" x14ac:dyDescent="0.25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>VLOOKUP(F1542,'Customer Info'!$A:$B,2,0)</f>
        <v>Neil</v>
      </c>
      <c r="H1542" s="6" t="str">
        <f>VLOOKUP(F1542,'Customer Info'!$A$1:$C$501,3,0)</f>
        <v>Franzšsisch</v>
      </c>
      <c r="I1542" s="6" t="str">
        <f>VLOOKUP(F1542,Customer,5,0)</f>
        <v>Mount Isa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6616</v>
      </c>
      <c r="O1542" s="2">
        <v>30</v>
      </c>
      <c r="P1542" s="8">
        <f t="shared" si="117"/>
        <v>6646</v>
      </c>
      <c r="Q1542" s="8">
        <f t="shared" si="118"/>
        <v>308</v>
      </c>
      <c r="R1542" s="2" t="s">
        <v>56</v>
      </c>
      <c r="S1542" s="24">
        <f t="shared" si="119"/>
        <v>0.05</v>
      </c>
    </row>
    <row r="1543" spans="1:19" x14ac:dyDescent="0.25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>VLOOKUP(F1543,'Customer Info'!$A:$B,2,0)</f>
        <v>Eileen</v>
      </c>
      <c r="H1543" s="6" t="str">
        <f>VLOOKUP(F1543,'Customer Info'!$A$1:$C$501,3,0)</f>
        <v>Kiefer</v>
      </c>
      <c r="I1543" s="6" t="str">
        <f>VLOOKUP(F1543,Customer,5,0)</f>
        <v>Hamm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31772</v>
      </c>
      <c r="O1543" s="2">
        <v>61</v>
      </c>
      <c r="P1543" s="8">
        <f t="shared" si="117"/>
        <v>31833</v>
      </c>
      <c r="Q1543" s="8">
        <f t="shared" si="118"/>
        <v>612</v>
      </c>
      <c r="R1543" s="2" t="s">
        <v>28</v>
      </c>
      <c r="S1543" s="24">
        <f t="shared" si="119"/>
        <v>7.0000000000000007E-2</v>
      </c>
    </row>
    <row r="1544" spans="1:19" x14ac:dyDescent="0.25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>VLOOKUP(F1544,'Customer Info'!$A:$B,2,0)</f>
        <v>Rachel</v>
      </c>
      <c r="H1544" s="6" t="str">
        <f>VLOOKUP(F1544,'Customer Info'!$A$1:$C$501,3,0)</f>
        <v>Payne</v>
      </c>
      <c r="I1544" s="6" t="str">
        <f>VLOOKUP(F1544,Customer,5,0)</f>
        <v>Raipur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15400</v>
      </c>
      <c r="O1544" s="2">
        <v>82</v>
      </c>
      <c r="P1544" s="8">
        <f t="shared" si="117"/>
        <v>15482</v>
      </c>
      <c r="Q1544" s="8">
        <f t="shared" si="118"/>
        <v>1260</v>
      </c>
      <c r="R1544" s="2" t="s">
        <v>50</v>
      </c>
      <c r="S1544" s="24">
        <f t="shared" si="119"/>
        <v>0.05</v>
      </c>
    </row>
    <row r="1545" spans="1:19" x14ac:dyDescent="0.25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>VLOOKUP(F1545,'Customer Info'!$A:$B,2,0)</f>
        <v>Trudy</v>
      </c>
      <c r="H1545" s="6" t="str">
        <f>VLOOKUP(F1545,'Customer Info'!$A$1:$C$501,3,0)</f>
        <v>Glocke</v>
      </c>
      <c r="I1545" s="6" t="str">
        <f>VLOOKUP(F1545,Customer,5,0)</f>
        <v>Huaiyin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522</v>
      </c>
      <c r="O1545" s="2">
        <v>10</v>
      </c>
      <c r="P1545" s="8">
        <f t="shared" si="117"/>
        <v>532</v>
      </c>
      <c r="Q1545" s="8">
        <f t="shared" si="118"/>
        <v>42</v>
      </c>
      <c r="R1545" s="2" t="s">
        <v>28</v>
      </c>
      <c r="S1545" s="24">
        <f t="shared" si="119"/>
        <v>0.02</v>
      </c>
    </row>
    <row r="1546" spans="1:19" x14ac:dyDescent="0.25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>VLOOKUP(F1546,'Customer Info'!$A:$B,2,0)</f>
        <v>Shui</v>
      </c>
      <c r="H1546" s="6" t="str">
        <f>VLOOKUP(F1546,'Customer Info'!$A$1:$C$501,3,0)</f>
        <v>Tom</v>
      </c>
      <c r="I1546" s="6" t="str">
        <f>VLOOKUP(F1546,Customer,5,0)</f>
        <v>Melbourne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4911</v>
      </c>
      <c r="O1546" s="2">
        <v>30</v>
      </c>
      <c r="P1546" s="8">
        <f t="shared" si="117"/>
        <v>4941</v>
      </c>
      <c r="Q1546" s="8">
        <f t="shared" si="118"/>
        <v>315</v>
      </c>
      <c r="R1546" s="2" t="s">
        <v>50</v>
      </c>
      <c r="S1546" s="24">
        <f t="shared" si="119"/>
        <v>0.02</v>
      </c>
    </row>
    <row r="1547" spans="1:19" x14ac:dyDescent="0.25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>VLOOKUP(F1547,'Customer Info'!$A:$B,2,0)</f>
        <v>Mick</v>
      </c>
      <c r="H1547" s="6" t="str">
        <f>VLOOKUP(F1547,'Customer Info'!$A$1:$C$501,3,0)</f>
        <v>Brown</v>
      </c>
      <c r="I1547" s="6" t="str">
        <f>VLOOKUP(F1547,Customer,5,0)</f>
        <v>Shenzhen</v>
      </c>
      <c r="J1547" s="2">
        <v>2829</v>
      </c>
      <c r="K1547" s="2">
        <v>2596</v>
      </c>
      <c r="L1547" s="2">
        <v>2</v>
      </c>
      <c r="M1547" s="7">
        <f t="shared" ref="M1547:M1610" si="120">K1547*L1547</f>
        <v>5192</v>
      </c>
      <c r="N1547" s="7">
        <f t="shared" ref="N1547:N1610" si="121">J1547*L1547</f>
        <v>5658</v>
      </c>
      <c r="O1547" s="2">
        <v>61</v>
      </c>
      <c r="P1547" s="8">
        <f t="shared" ref="P1547:P1610" si="122">N1547+O1547</f>
        <v>5719</v>
      </c>
      <c r="Q1547" s="8">
        <f t="shared" ref="Q1547:Q1610" si="123">N1547-M1547</f>
        <v>466</v>
      </c>
      <c r="R1547" s="2" t="s">
        <v>28</v>
      </c>
      <c r="S1547" s="24">
        <f t="shared" ref="S1547:S1610" si="124">VLOOKUP(N1547,$T$1:$U$7,2,TRUE)</f>
        <v>0.05</v>
      </c>
    </row>
    <row r="1548" spans="1:19" x14ac:dyDescent="0.25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>VLOOKUP(F1548,'Customer Info'!$A:$B,2,0)</f>
        <v>Joel</v>
      </c>
      <c r="H1548" s="6" t="str">
        <f>VLOOKUP(F1548,'Customer Info'!$A$1:$C$501,3,0)</f>
        <v>Eaton</v>
      </c>
      <c r="I1548" s="6" t="str">
        <f>VLOOKUP(F1548,Customer,5,0)</f>
        <v>Nuremberg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8">
        <f t="shared" si="122"/>
        <v>922</v>
      </c>
      <c r="Q1548" s="8">
        <f t="shared" si="123"/>
        <v>75</v>
      </c>
      <c r="R1548" s="2" t="s">
        <v>28</v>
      </c>
      <c r="S1548" s="24">
        <f t="shared" si="124"/>
        <v>0.02</v>
      </c>
    </row>
    <row r="1549" spans="1:19" x14ac:dyDescent="0.25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>VLOOKUP(F1549,'Customer Info'!$A:$B,2,0)</f>
        <v>Charlotte</v>
      </c>
      <c r="H1549" s="6" t="str">
        <f>VLOOKUP(F1549,'Customer Info'!$A$1:$C$501,3,0)</f>
        <v>Melton</v>
      </c>
      <c r="I1549" s="6" t="str">
        <f>VLOOKUP(F1549,Customer,5,0)</f>
        <v>Canberra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8">
        <f t="shared" si="122"/>
        <v>258</v>
      </c>
      <c r="Q1549" s="8">
        <f t="shared" si="123"/>
        <v>16</v>
      </c>
      <c r="R1549" s="2" t="s">
        <v>28</v>
      </c>
      <c r="S1549" s="24">
        <f t="shared" si="124"/>
        <v>0.02</v>
      </c>
    </row>
    <row r="1550" spans="1:19" x14ac:dyDescent="0.25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>VLOOKUP(F1550,'Customer Info'!$A:$B,2,0)</f>
        <v>Claudia</v>
      </c>
      <c r="H1550" s="6" t="str">
        <f>VLOOKUP(F1550,'Customer Info'!$A$1:$C$501,3,0)</f>
        <v>Bergmann</v>
      </c>
      <c r="I1550" s="6" t="str">
        <f>VLOOKUP(F1550,Customer,5,0)</f>
        <v>Aschaffenburg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8">
        <f t="shared" si="122"/>
        <v>2443</v>
      </c>
      <c r="Q1550" s="8">
        <f t="shared" si="123"/>
        <v>92</v>
      </c>
      <c r="R1550" s="2" t="s">
        <v>28</v>
      </c>
      <c r="S1550" s="24">
        <f t="shared" si="124"/>
        <v>0.02</v>
      </c>
    </row>
    <row r="1551" spans="1:19" x14ac:dyDescent="0.25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>VLOOKUP(F1551,'Customer Info'!$A:$B,2,0)</f>
        <v>Craig</v>
      </c>
      <c r="H1551" s="6" t="str">
        <f>VLOOKUP(F1551,'Customer Info'!$A$1:$C$501,3,0)</f>
        <v>Carreira</v>
      </c>
      <c r="I1551" s="6" t="str">
        <f>VLOOKUP(F1551,Customer,5,0)</f>
        <v>Worms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8">
        <f t="shared" si="122"/>
        <v>26373</v>
      </c>
      <c r="Q1551" s="8">
        <f t="shared" si="123"/>
        <v>1974</v>
      </c>
      <c r="R1551" s="2" t="s">
        <v>28</v>
      </c>
      <c r="S1551" s="24">
        <f t="shared" si="124"/>
        <v>7.0000000000000007E-2</v>
      </c>
    </row>
    <row r="1552" spans="1:19" x14ac:dyDescent="0.25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>VLOOKUP(F1552,'Customer Info'!$A:$B,2,0)</f>
        <v>Vivek</v>
      </c>
      <c r="H1552" s="6" t="str">
        <f>VLOOKUP(F1552,'Customer Info'!$A$1:$C$501,3,0)</f>
        <v>Grady</v>
      </c>
      <c r="I1552" s="6" t="str">
        <f>VLOOKUP(F1552,Customer,5,0)</f>
        <v>Shantou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2960</v>
      </c>
      <c r="O1552" s="2">
        <v>86</v>
      </c>
      <c r="P1552" s="8">
        <f t="shared" si="122"/>
        <v>3046</v>
      </c>
      <c r="Q1552" s="8">
        <f t="shared" si="123"/>
        <v>325</v>
      </c>
      <c r="R1552" s="2" t="s">
        <v>50</v>
      </c>
      <c r="S1552" s="24">
        <f t="shared" si="124"/>
        <v>0.02</v>
      </c>
    </row>
    <row r="1553" spans="1:19" x14ac:dyDescent="0.25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>VLOOKUP(F1553,'Customer Info'!$A:$B,2,0)</f>
        <v>Emily</v>
      </c>
      <c r="H1553" s="6" t="str">
        <f>VLOOKUP(F1553,'Customer Info'!$A$1:$C$501,3,0)</f>
        <v>Burns</v>
      </c>
      <c r="I1553" s="6" t="str">
        <f>VLOOKUP(F1553,Customer,5,0)</f>
        <v>Chennai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1447</v>
      </c>
      <c r="O1553" s="2">
        <v>20</v>
      </c>
      <c r="P1553" s="8">
        <f t="shared" si="122"/>
        <v>1467</v>
      </c>
      <c r="Q1553" s="8">
        <f t="shared" si="123"/>
        <v>121</v>
      </c>
      <c r="R1553" s="2" t="s">
        <v>50</v>
      </c>
      <c r="S1553" s="24">
        <f t="shared" si="124"/>
        <v>0.02</v>
      </c>
    </row>
    <row r="1554" spans="1:19" x14ac:dyDescent="0.25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>VLOOKUP(F1554,'Customer Info'!$A:$B,2,0)</f>
        <v>Charles</v>
      </c>
      <c r="H1554" s="6" t="str">
        <f>VLOOKUP(F1554,'Customer Info'!$A$1:$C$501,3,0)</f>
        <v>Sheldon</v>
      </c>
      <c r="I1554" s="6" t="str">
        <f>VLOOKUP(F1554,Customer,5,0)</f>
        <v>Brisbane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240</v>
      </c>
      <c r="O1554" s="2">
        <v>10</v>
      </c>
      <c r="P1554" s="8">
        <f t="shared" si="122"/>
        <v>250</v>
      </c>
      <c r="Q1554" s="8">
        <f t="shared" si="123"/>
        <v>8</v>
      </c>
      <c r="R1554" s="2" t="s">
        <v>50</v>
      </c>
      <c r="S1554" s="24">
        <f t="shared" si="124"/>
        <v>0.02</v>
      </c>
    </row>
    <row r="1555" spans="1:19" x14ac:dyDescent="0.25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>VLOOKUP(F1555,'Customer Info'!$A:$B,2,0)</f>
        <v>Roger</v>
      </c>
      <c r="H1555" s="6" t="str">
        <f>VLOOKUP(F1555,'Customer Info'!$A$1:$C$501,3,0)</f>
        <v>Barcio</v>
      </c>
      <c r="I1555" s="6" t="str">
        <f>VLOOKUP(F1555,Customer,5,0)</f>
        <v>Celle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2904</v>
      </c>
      <c r="O1555" s="2">
        <v>86</v>
      </c>
      <c r="P1555" s="8">
        <f t="shared" si="122"/>
        <v>2990</v>
      </c>
      <c r="Q1555" s="8">
        <f t="shared" si="123"/>
        <v>320</v>
      </c>
      <c r="R1555" s="2" t="s">
        <v>28</v>
      </c>
      <c r="S1555" s="24">
        <f t="shared" si="124"/>
        <v>0.02</v>
      </c>
    </row>
    <row r="1556" spans="1:19" x14ac:dyDescent="0.25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>VLOOKUP(F1556,'Customer Info'!$A:$B,2,0)</f>
        <v>Harold</v>
      </c>
      <c r="H1556" s="6" t="str">
        <f>VLOOKUP(F1556,'Customer Info'!$A$1:$C$501,3,0)</f>
        <v>Engle</v>
      </c>
      <c r="I1556" s="6" t="str">
        <f>VLOOKUP(F1556,Customer,5,0)</f>
        <v>Chennai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400</v>
      </c>
      <c r="O1556" s="2">
        <v>68</v>
      </c>
      <c r="P1556" s="8">
        <f t="shared" si="122"/>
        <v>468</v>
      </c>
      <c r="Q1556" s="8">
        <f t="shared" si="123"/>
        <v>40</v>
      </c>
      <c r="R1556" s="2" t="s">
        <v>28</v>
      </c>
      <c r="S1556" s="24">
        <f t="shared" si="124"/>
        <v>0.02</v>
      </c>
    </row>
    <row r="1557" spans="1:19" x14ac:dyDescent="0.25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>VLOOKUP(F1557,'Customer Info'!$A:$B,2,0)</f>
        <v>Art</v>
      </c>
      <c r="H1557" s="6" t="str">
        <f>VLOOKUP(F1557,'Customer Info'!$A$1:$C$501,3,0)</f>
        <v>Foster</v>
      </c>
      <c r="I1557" s="6" t="str">
        <f>VLOOKUP(F1557,Customer,5,0)</f>
        <v>Devonport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9368</v>
      </c>
      <c r="O1557" s="2">
        <v>43</v>
      </c>
      <c r="P1557" s="8">
        <f t="shared" si="122"/>
        <v>9411</v>
      </c>
      <c r="Q1557" s="8">
        <f t="shared" si="123"/>
        <v>528</v>
      </c>
      <c r="R1557" s="2" t="s">
        <v>28</v>
      </c>
      <c r="S1557" s="24">
        <f t="shared" si="124"/>
        <v>0.05</v>
      </c>
    </row>
    <row r="1558" spans="1:19" x14ac:dyDescent="0.25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>VLOOKUP(F1558,'Customer Info'!$A:$B,2,0)</f>
        <v>Sung</v>
      </c>
      <c r="H1558" s="6" t="str">
        <f>VLOOKUP(F1558,'Customer Info'!$A$1:$C$501,3,0)</f>
        <v>Pak</v>
      </c>
      <c r="I1558" s="6" t="str">
        <f>VLOOKUP(F1558,Customer,5,0)</f>
        <v>Chaozhou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555</v>
      </c>
      <c r="O1558" s="2">
        <v>30</v>
      </c>
      <c r="P1558" s="8">
        <f t="shared" si="122"/>
        <v>585</v>
      </c>
      <c r="Q1558" s="8">
        <f t="shared" si="123"/>
        <v>42</v>
      </c>
      <c r="R1558" s="2" t="s">
        <v>50</v>
      </c>
      <c r="S1558" s="24">
        <f t="shared" si="124"/>
        <v>0.02</v>
      </c>
    </row>
    <row r="1559" spans="1:19" x14ac:dyDescent="0.25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>VLOOKUP(F1559,'Customer Info'!$A:$B,2,0)</f>
        <v>Erin</v>
      </c>
      <c r="H1559" s="6" t="str">
        <f>VLOOKUP(F1559,'Customer Info'!$A$1:$C$501,3,0)</f>
        <v>Smith</v>
      </c>
      <c r="I1559" s="6" t="str">
        <f>VLOOKUP(F1559,Customer,5,0)</f>
        <v>Yuci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142</v>
      </c>
      <c r="O1559" s="2">
        <v>30</v>
      </c>
      <c r="P1559" s="8">
        <f t="shared" si="122"/>
        <v>172</v>
      </c>
      <c r="Q1559" s="8">
        <f t="shared" si="123"/>
        <v>13</v>
      </c>
      <c r="R1559" s="2" t="s">
        <v>28</v>
      </c>
      <c r="S1559" s="24">
        <f t="shared" si="124"/>
        <v>0.02</v>
      </c>
    </row>
    <row r="1560" spans="1:19" x14ac:dyDescent="0.25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>VLOOKUP(F1560,'Customer Info'!$A:$B,2,0)</f>
        <v>Cari</v>
      </c>
      <c r="H1560" s="6" t="str">
        <f>VLOOKUP(F1560,'Customer Info'!$A$1:$C$501,3,0)</f>
        <v>Schnelling</v>
      </c>
      <c r="I1560" s="6" t="str">
        <f>VLOOKUP(F1560,Customer,5,0)</f>
        <v>Agra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5427</v>
      </c>
      <c r="O1560" s="2">
        <v>32</v>
      </c>
      <c r="P1560" s="8">
        <f t="shared" si="122"/>
        <v>5459</v>
      </c>
      <c r="Q1560" s="8">
        <f t="shared" si="123"/>
        <v>354</v>
      </c>
      <c r="R1560" s="2" t="s">
        <v>50</v>
      </c>
      <c r="S1560" s="24">
        <f t="shared" si="124"/>
        <v>0.05</v>
      </c>
    </row>
    <row r="1561" spans="1:19" x14ac:dyDescent="0.25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>VLOOKUP(F1561,'Customer Info'!$A:$B,2,0)</f>
        <v>Nick</v>
      </c>
      <c r="H1561" s="6" t="str">
        <f>VLOOKUP(F1561,'Customer Info'!$A$1:$C$501,3,0)</f>
        <v>Radford</v>
      </c>
      <c r="I1561" s="6" t="str">
        <f>VLOOKUP(F1561,Customer,5,0)</f>
        <v>Lucknow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184</v>
      </c>
      <c r="O1561" s="2">
        <v>10</v>
      </c>
      <c r="P1561" s="8">
        <f t="shared" si="122"/>
        <v>194</v>
      </c>
      <c r="Q1561" s="8">
        <f t="shared" si="123"/>
        <v>14</v>
      </c>
      <c r="R1561" s="2" t="s">
        <v>50</v>
      </c>
      <c r="S1561" s="24">
        <f t="shared" si="124"/>
        <v>0.02</v>
      </c>
    </row>
    <row r="1562" spans="1:19" x14ac:dyDescent="0.25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>VLOOKUP(F1562,'Customer Info'!$A:$B,2,0)</f>
        <v>Corinna</v>
      </c>
      <c r="H1562" s="6" t="str">
        <f>VLOOKUP(F1562,'Customer Info'!$A$1:$C$501,3,0)</f>
        <v>Mitchell</v>
      </c>
      <c r="I1562" s="6" t="str">
        <f>VLOOKUP(F1562,Customer,5,0)</f>
        <v>Augsburg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10102</v>
      </c>
      <c r="O1562" s="2">
        <v>80</v>
      </c>
      <c r="P1562" s="8">
        <f t="shared" si="122"/>
        <v>10182</v>
      </c>
      <c r="Q1562" s="8">
        <f t="shared" si="123"/>
        <v>834</v>
      </c>
      <c r="R1562" s="2" t="s">
        <v>26</v>
      </c>
      <c r="S1562" s="24">
        <f t="shared" si="124"/>
        <v>0.05</v>
      </c>
    </row>
    <row r="1563" spans="1:19" x14ac:dyDescent="0.25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>VLOOKUP(F1563,'Customer Info'!$A:$B,2,0)</f>
        <v>Barry</v>
      </c>
      <c r="H1563" s="6" t="str">
        <f>VLOOKUP(F1563,'Customer Info'!$A$1:$C$501,3,0)</f>
        <v>Franzšsisch</v>
      </c>
      <c r="I1563" s="6" t="str">
        <f>VLOOKUP(F1563,Customer,5,0)</f>
        <v>Canberra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5906</v>
      </c>
      <c r="O1563" s="2">
        <v>53</v>
      </c>
      <c r="P1563" s="8">
        <f t="shared" si="122"/>
        <v>5959</v>
      </c>
      <c r="Q1563" s="8">
        <f t="shared" si="123"/>
        <v>640</v>
      </c>
      <c r="R1563" s="2" t="s">
        <v>50</v>
      </c>
      <c r="S1563" s="24">
        <f t="shared" si="124"/>
        <v>0.05</v>
      </c>
    </row>
    <row r="1564" spans="1:19" x14ac:dyDescent="0.25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>VLOOKUP(F1564,'Customer Info'!$A:$B,2,0)</f>
        <v>Lindsay</v>
      </c>
      <c r="H1564" s="6" t="str">
        <f>VLOOKUP(F1564,'Customer Info'!$A$1:$C$501,3,0)</f>
        <v>Williams</v>
      </c>
      <c r="I1564" s="6" t="str">
        <f>VLOOKUP(F1564,Customer,5,0)</f>
        <v>Akola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8394</v>
      </c>
      <c r="O1564" s="2">
        <v>76</v>
      </c>
      <c r="P1564" s="8">
        <f t="shared" si="122"/>
        <v>8470</v>
      </c>
      <c r="Q1564" s="8">
        <f t="shared" si="123"/>
        <v>546</v>
      </c>
      <c r="R1564" s="2" t="s">
        <v>50</v>
      </c>
      <c r="S1564" s="24">
        <f t="shared" si="124"/>
        <v>0.05</v>
      </c>
    </row>
    <row r="1565" spans="1:19" x14ac:dyDescent="0.25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>VLOOKUP(F1565,'Customer Info'!$A:$B,2,0)</f>
        <v>Logan</v>
      </c>
      <c r="H1565" s="6" t="str">
        <f>VLOOKUP(F1565,'Customer Info'!$A$1:$C$501,3,0)</f>
        <v>Currie</v>
      </c>
      <c r="I1565" s="6" t="str">
        <f>VLOOKUP(F1565,Customer,5,0)</f>
        <v>Amravati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14285</v>
      </c>
      <c r="O1565" s="2">
        <v>55</v>
      </c>
      <c r="P1565" s="8">
        <f t="shared" si="122"/>
        <v>14340</v>
      </c>
      <c r="Q1565" s="8">
        <f t="shared" si="123"/>
        <v>1175</v>
      </c>
      <c r="R1565" s="2" t="s">
        <v>50</v>
      </c>
      <c r="S1565" s="24">
        <f t="shared" si="124"/>
        <v>0.05</v>
      </c>
    </row>
    <row r="1566" spans="1:19" x14ac:dyDescent="0.25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>VLOOKUP(F1566,'Customer Info'!$A:$B,2,0)</f>
        <v>Eugene</v>
      </c>
      <c r="H1566" s="6" t="str">
        <f>VLOOKUP(F1566,'Customer Info'!$A$1:$C$501,3,0)</f>
        <v>Barchas</v>
      </c>
      <c r="I1566" s="6" t="str">
        <f>VLOOKUP(F1566,Customer,5,0)</f>
        <v>Aksu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14424</v>
      </c>
      <c r="O1566" s="2">
        <v>34</v>
      </c>
      <c r="P1566" s="8">
        <f t="shared" si="122"/>
        <v>14458</v>
      </c>
      <c r="Q1566" s="8">
        <f t="shared" si="123"/>
        <v>950</v>
      </c>
      <c r="R1566" s="2" t="s">
        <v>50</v>
      </c>
      <c r="S1566" s="24">
        <f t="shared" si="124"/>
        <v>0.05</v>
      </c>
    </row>
    <row r="1567" spans="1:19" x14ac:dyDescent="0.25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>VLOOKUP(F1567,'Customer Info'!$A:$B,2,0)</f>
        <v>Rick</v>
      </c>
      <c r="H1567" s="6" t="str">
        <f>VLOOKUP(F1567,'Customer Info'!$A$1:$C$501,3,0)</f>
        <v>Duston</v>
      </c>
      <c r="I1567" s="6" t="str">
        <f>VLOOKUP(F1567,Customer,5,0)</f>
        <v>Surakarta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2310</v>
      </c>
      <c r="O1567" s="2">
        <v>30</v>
      </c>
      <c r="P1567" s="8">
        <f t="shared" si="122"/>
        <v>2340</v>
      </c>
      <c r="Q1567" s="8">
        <f t="shared" si="123"/>
        <v>270</v>
      </c>
      <c r="R1567" s="2" t="s">
        <v>50</v>
      </c>
      <c r="S1567" s="24">
        <f t="shared" si="124"/>
        <v>0.02</v>
      </c>
    </row>
    <row r="1568" spans="1:19" x14ac:dyDescent="0.25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>VLOOKUP(F1568,'Customer Info'!$A:$B,2,0)</f>
        <v>Heather</v>
      </c>
      <c r="H1568" s="6" t="str">
        <f>VLOOKUP(F1568,'Customer Info'!$A$1:$C$501,3,0)</f>
        <v>Kirkland</v>
      </c>
      <c r="I1568" s="6" t="str">
        <f>VLOOKUP(F1568,Customer,5,0)</f>
        <v>Luoyang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5518</v>
      </c>
      <c r="O1568" s="2">
        <v>98</v>
      </c>
      <c r="P1568" s="8">
        <f t="shared" si="122"/>
        <v>5616</v>
      </c>
      <c r="Q1568" s="8">
        <f t="shared" si="123"/>
        <v>262</v>
      </c>
      <c r="R1568" s="2" t="s">
        <v>50</v>
      </c>
      <c r="S1568" s="24">
        <f t="shared" si="124"/>
        <v>0.05</v>
      </c>
    </row>
    <row r="1569" spans="1:19" x14ac:dyDescent="0.25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>VLOOKUP(F1569,'Customer Info'!$A:$B,2,0)</f>
        <v>Candace</v>
      </c>
      <c r="H1569" s="6" t="str">
        <f>VLOOKUP(F1569,'Customer Info'!$A$1:$C$501,3,0)</f>
        <v>McMahon</v>
      </c>
      <c r="I1569" s="6" t="str">
        <f>VLOOKUP(F1569,Customer,5,0)</f>
        <v>Canberra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1635</v>
      </c>
      <c r="O1569" s="2">
        <v>68</v>
      </c>
      <c r="P1569" s="8">
        <f t="shared" si="122"/>
        <v>1703</v>
      </c>
      <c r="Q1569" s="8">
        <f t="shared" si="123"/>
        <v>62</v>
      </c>
      <c r="R1569" s="2" t="s">
        <v>26</v>
      </c>
      <c r="S1569" s="24">
        <f t="shared" si="124"/>
        <v>0.02</v>
      </c>
    </row>
    <row r="1570" spans="1:19" x14ac:dyDescent="0.25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>VLOOKUP(F1570,'Customer Info'!$A:$B,2,0)</f>
        <v>Peter</v>
      </c>
      <c r="H1570" s="6" t="str">
        <f>VLOOKUP(F1570,'Customer Info'!$A$1:$C$501,3,0)</f>
        <v>BŸhler</v>
      </c>
      <c r="I1570" s="6" t="str">
        <f>VLOOKUP(F1570,Customer,5,0)</f>
        <v>Wolfsburg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3918</v>
      </c>
      <c r="O1570" s="2">
        <v>70</v>
      </c>
      <c r="P1570" s="8">
        <f t="shared" si="122"/>
        <v>3988</v>
      </c>
      <c r="Q1570" s="8">
        <f t="shared" si="123"/>
        <v>327</v>
      </c>
      <c r="R1570" s="2" t="s">
        <v>50</v>
      </c>
      <c r="S1570" s="24">
        <f t="shared" si="124"/>
        <v>0.02</v>
      </c>
    </row>
    <row r="1571" spans="1:19" x14ac:dyDescent="0.25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>VLOOKUP(F1571,'Customer Info'!$A:$B,2,0)</f>
        <v>Ralph</v>
      </c>
      <c r="H1571" s="6" t="str">
        <f>VLOOKUP(F1571,'Customer Info'!$A$1:$C$501,3,0)</f>
        <v>Arnett</v>
      </c>
      <c r="I1571" s="6" t="str">
        <f>VLOOKUP(F1571,Customer,5,0)</f>
        <v>Shenyang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48657</v>
      </c>
      <c r="O1571" s="2">
        <v>94</v>
      </c>
      <c r="P1571" s="8">
        <f t="shared" si="122"/>
        <v>48751</v>
      </c>
      <c r="Q1571" s="8">
        <f t="shared" si="123"/>
        <v>2317</v>
      </c>
      <c r="R1571" s="2" t="s">
        <v>28</v>
      </c>
      <c r="S1571" s="24">
        <f t="shared" si="124"/>
        <v>7.0000000000000007E-2</v>
      </c>
    </row>
    <row r="1572" spans="1:19" x14ac:dyDescent="0.25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>VLOOKUP(F1572,'Customer Info'!$A:$B,2,0)</f>
        <v>Nick</v>
      </c>
      <c r="H1572" s="6" t="str">
        <f>VLOOKUP(F1572,'Customer Info'!$A$1:$C$501,3,0)</f>
        <v>Radford</v>
      </c>
      <c r="I1572" s="6" t="str">
        <f>VLOOKUP(F1572,Customer,5,0)</f>
        <v>Lucknow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368</v>
      </c>
      <c r="O1572" s="2">
        <v>30</v>
      </c>
      <c r="P1572" s="8">
        <f t="shared" si="122"/>
        <v>398</v>
      </c>
      <c r="Q1572" s="8">
        <f t="shared" si="123"/>
        <v>16</v>
      </c>
      <c r="R1572" s="2" t="s">
        <v>28</v>
      </c>
      <c r="S1572" s="24">
        <f t="shared" si="124"/>
        <v>0.02</v>
      </c>
    </row>
    <row r="1573" spans="1:19" x14ac:dyDescent="0.25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>VLOOKUP(F1573,'Customer Info'!$A:$B,2,0)</f>
        <v>Emily</v>
      </c>
      <c r="H1573" s="6" t="str">
        <f>VLOOKUP(F1573,'Customer Info'!$A$1:$C$501,3,0)</f>
        <v>Burns</v>
      </c>
      <c r="I1573" s="6" t="str">
        <f>VLOOKUP(F1573,Customer,5,0)</f>
        <v>Nasik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3372</v>
      </c>
      <c r="O1573" s="2">
        <v>28</v>
      </c>
      <c r="P1573" s="8">
        <f t="shared" si="122"/>
        <v>3400</v>
      </c>
      <c r="Q1573" s="8">
        <f t="shared" si="123"/>
        <v>190</v>
      </c>
      <c r="R1573" s="2" t="s">
        <v>50</v>
      </c>
      <c r="S1573" s="24">
        <f t="shared" si="124"/>
        <v>0.02</v>
      </c>
    </row>
    <row r="1574" spans="1:19" x14ac:dyDescent="0.25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>VLOOKUP(F1574,'Customer Info'!$A:$B,2,0)</f>
        <v>Thomas</v>
      </c>
      <c r="H1574" s="6" t="str">
        <f>VLOOKUP(F1574,'Customer Info'!$A$1:$C$501,3,0)</f>
        <v>Boland</v>
      </c>
      <c r="I1574" s="6" t="str">
        <f>VLOOKUP(F1574,Customer,5,0)</f>
        <v>Surabaya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10062</v>
      </c>
      <c r="O1574" s="2">
        <v>75</v>
      </c>
      <c r="P1574" s="8">
        <f t="shared" si="122"/>
        <v>10137</v>
      </c>
      <c r="Q1574" s="8">
        <f t="shared" si="123"/>
        <v>756</v>
      </c>
      <c r="R1574" s="2" t="s">
        <v>28</v>
      </c>
      <c r="S1574" s="24">
        <f t="shared" si="124"/>
        <v>0.05</v>
      </c>
    </row>
    <row r="1575" spans="1:19" x14ac:dyDescent="0.25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>VLOOKUP(F1575,'Customer Info'!$A:$B,2,0)</f>
        <v>Tony</v>
      </c>
      <c r="H1575" s="6" t="str">
        <f>VLOOKUP(F1575,'Customer Info'!$A$1:$C$501,3,0)</f>
        <v>Sayre</v>
      </c>
      <c r="I1575" s="6" t="str">
        <f>VLOOKUP(F1575,Customer,5,0)</f>
        <v>Bharatpur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4714</v>
      </c>
      <c r="O1575" s="2">
        <v>90</v>
      </c>
      <c r="P1575" s="8">
        <f t="shared" si="122"/>
        <v>4804</v>
      </c>
      <c r="Q1575" s="8">
        <f t="shared" si="123"/>
        <v>391</v>
      </c>
      <c r="R1575" s="2" t="s">
        <v>28</v>
      </c>
      <c r="S1575" s="24">
        <f t="shared" si="124"/>
        <v>0.02</v>
      </c>
    </row>
    <row r="1576" spans="1:19" x14ac:dyDescent="0.25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>VLOOKUP(F1576,'Customer Info'!$A:$B,2,0)</f>
        <v>John</v>
      </c>
      <c r="H1576" s="6" t="str">
        <f>VLOOKUP(F1576,'Customer Info'!$A$1:$C$501,3,0)</f>
        <v>Huston</v>
      </c>
      <c r="I1576" s="6" t="str">
        <f>VLOOKUP(F1576,Customer,5,0)</f>
        <v>Jena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10336</v>
      </c>
      <c r="O1576" s="2">
        <v>43</v>
      </c>
      <c r="P1576" s="8">
        <f t="shared" si="122"/>
        <v>10379</v>
      </c>
      <c r="Q1576" s="8">
        <f t="shared" si="123"/>
        <v>856</v>
      </c>
      <c r="R1576" s="2" t="s">
        <v>28</v>
      </c>
      <c r="S1576" s="24">
        <f t="shared" si="124"/>
        <v>0.05</v>
      </c>
    </row>
    <row r="1577" spans="1:19" x14ac:dyDescent="0.25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>VLOOKUP(F1577,'Customer Info'!$A:$B,2,0)</f>
        <v>Marina</v>
      </c>
      <c r="H1577" s="6" t="str">
        <f>VLOOKUP(F1577,'Customer Info'!$A$1:$C$501,3,0)</f>
        <v>Lichtenstein</v>
      </c>
      <c r="I1577" s="6" t="str">
        <f>VLOOKUP(F1577,Customer,5,0)</f>
        <v>Denpasar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13307</v>
      </c>
      <c r="O1577" s="2">
        <v>71</v>
      </c>
      <c r="P1577" s="8">
        <f t="shared" si="122"/>
        <v>13378</v>
      </c>
      <c r="Q1577" s="8">
        <f t="shared" si="123"/>
        <v>637</v>
      </c>
      <c r="R1577" s="2" t="s">
        <v>28</v>
      </c>
      <c r="S1577" s="24">
        <f t="shared" si="124"/>
        <v>0.05</v>
      </c>
    </row>
    <row r="1578" spans="1:19" x14ac:dyDescent="0.25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>VLOOKUP(F1578,'Customer Info'!$A:$B,2,0)</f>
        <v>William</v>
      </c>
      <c r="H1578" s="6" t="str">
        <f>VLOOKUP(F1578,'Customer Info'!$A$1:$C$501,3,0)</f>
        <v>Brown</v>
      </c>
      <c r="I1578" s="6" t="str">
        <f>VLOOKUP(F1578,Customer,5,0)</f>
        <v>Denpasar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1458</v>
      </c>
      <c r="O1578" s="2">
        <v>95</v>
      </c>
      <c r="P1578" s="8">
        <f t="shared" si="122"/>
        <v>1553</v>
      </c>
      <c r="Q1578" s="8">
        <f t="shared" si="123"/>
        <v>80</v>
      </c>
      <c r="R1578" s="2" t="s">
        <v>50</v>
      </c>
      <c r="S1578" s="24">
        <f t="shared" si="124"/>
        <v>0.02</v>
      </c>
    </row>
    <row r="1579" spans="1:19" x14ac:dyDescent="0.25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>VLOOKUP(F1579,'Customer Info'!$A:$B,2,0)</f>
        <v>Logan</v>
      </c>
      <c r="H1579" s="6" t="str">
        <f>VLOOKUP(F1579,'Customer Info'!$A$1:$C$501,3,0)</f>
        <v>Currie</v>
      </c>
      <c r="I1579" s="6" t="str">
        <f>VLOOKUP(F1579,Customer,5,0)</f>
        <v>Gold Coast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4084</v>
      </c>
      <c r="O1579" s="2">
        <v>55</v>
      </c>
      <c r="P1579" s="8">
        <f t="shared" si="122"/>
        <v>4139</v>
      </c>
      <c r="Q1579" s="8">
        <f t="shared" si="123"/>
        <v>154</v>
      </c>
      <c r="R1579" s="2" t="s">
        <v>28</v>
      </c>
      <c r="S1579" s="24">
        <f t="shared" si="124"/>
        <v>0.02</v>
      </c>
    </row>
    <row r="1580" spans="1:19" x14ac:dyDescent="0.25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>VLOOKUP(F1580,'Customer Info'!$A:$B,2,0)</f>
        <v>Becky</v>
      </c>
      <c r="H1580" s="6" t="str">
        <f>VLOOKUP(F1580,'Customer Info'!$A$1:$C$501,3,0)</f>
        <v>Pak</v>
      </c>
      <c r="I1580" s="6" t="str">
        <f>VLOOKUP(F1580,Customer,5,0)</f>
        <v>Mandurah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1968</v>
      </c>
      <c r="O1580" s="2">
        <v>21</v>
      </c>
      <c r="P1580" s="8">
        <f t="shared" si="122"/>
        <v>1989</v>
      </c>
      <c r="Q1580" s="8">
        <f t="shared" si="123"/>
        <v>147</v>
      </c>
      <c r="R1580" s="2" t="s">
        <v>56</v>
      </c>
      <c r="S1580" s="24">
        <f t="shared" si="124"/>
        <v>0.02</v>
      </c>
    </row>
    <row r="1581" spans="1:19" x14ac:dyDescent="0.25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>VLOOKUP(F1581,'Customer Info'!$A:$B,2,0)</f>
        <v>Michael</v>
      </c>
      <c r="H1581" s="6" t="str">
        <f>VLOOKUP(F1581,'Customer Info'!$A$1:$C$501,3,0)</f>
        <v>Chen</v>
      </c>
      <c r="I1581" s="6" t="str">
        <f>VLOOKUP(F1581,Customer,5,0)</f>
        <v>Jakarta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3302</v>
      </c>
      <c r="O1581" s="2">
        <v>80</v>
      </c>
      <c r="P1581" s="8">
        <f t="shared" si="122"/>
        <v>3382</v>
      </c>
      <c r="Q1581" s="8">
        <f t="shared" si="123"/>
        <v>94</v>
      </c>
      <c r="R1581" s="2" t="s">
        <v>50</v>
      </c>
      <c r="S1581" s="24">
        <f t="shared" si="124"/>
        <v>0.02</v>
      </c>
    </row>
    <row r="1582" spans="1:19" x14ac:dyDescent="0.25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>VLOOKUP(F1582,'Customer Info'!$A:$B,2,0)</f>
        <v>Linda</v>
      </c>
      <c r="H1582" s="6" t="str">
        <f>VLOOKUP(F1582,'Customer Info'!$A$1:$C$501,3,0)</f>
        <v>Southworth</v>
      </c>
      <c r="I1582" s="6" t="str">
        <f>VLOOKUP(F1582,Customer,5,0)</f>
        <v>Brisbane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156380</v>
      </c>
      <c r="O1582" s="2">
        <v>52</v>
      </c>
      <c r="P1582" s="8">
        <f t="shared" si="122"/>
        <v>156432</v>
      </c>
      <c r="Q1582" s="8">
        <f t="shared" si="123"/>
        <v>14316</v>
      </c>
      <c r="R1582" s="2" t="s">
        <v>50</v>
      </c>
      <c r="S1582" s="24">
        <f t="shared" si="124"/>
        <v>0.12</v>
      </c>
    </row>
    <row r="1583" spans="1:19" x14ac:dyDescent="0.25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>VLOOKUP(F1583,'Customer Info'!$A:$B,2,0)</f>
        <v>Nathan</v>
      </c>
      <c r="H1583" s="6" t="str">
        <f>VLOOKUP(F1583,'Customer Info'!$A$1:$C$501,3,0)</f>
        <v>Gelder</v>
      </c>
      <c r="I1583" s="6" t="str">
        <f>VLOOKUP(F1583,Customer,5,0)</f>
        <v>Depok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3802</v>
      </c>
      <c r="O1583" s="2">
        <v>56</v>
      </c>
      <c r="P1583" s="8">
        <f t="shared" si="122"/>
        <v>3858</v>
      </c>
      <c r="Q1583" s="8">
        <f t="shared" si="123"/>
        <v>182</v>
      </c>
      <c r="R1583" s="2" t="s">
        <v>26</v>
      </c>
      <c r="S1583" s="24">
        <f t="shared" si="124"/>
        <v>0.02</v>
      </c>
    </row>
    <row r="1584" spans="1:19" x14ac:dyDescent="0.25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>VLOOKUP(F1584,'Customer Info'!$A:$B,2,0)</f>
        <v>Shahid</v>
      </c>
      <c r="H1584" s="6" t="str">
        <f>VLOOKUP(F1584,'Customer Info'!$A$1:$C$501,3,0)</f>
        <v>Collister</v>
      </c>
      <c r="I1584" s="6" t="str">
        <f>VLOOKUP(F1584,Customer,5,0)</f>
        <v>Leipzig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9108</v>
      </c>
      <c r="O1584" s="2">
        <v>76</v>
      </c>
      <c r="P1584" s="8">
        <f t="shared" si="122"/>
        <v>9184</v>
      </c>
      <c r="Q1584" s="8">
        <f t="shared" si="123"/>
        <v>756</v>
      </c>
      <c r="R1584" s="2" t="s">
        <v>50</v>
      </c>
      <c r="S1584" s="24">
        <f t="shared" si="124"/>
        <v>0.05</v>
      </c>
    </row>
    <row r="1585" spans="1:19" x14ac:dyDescent="0.25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>VLOOKUP(F1585,'Customer Info'!$A:$B,2,0)</f>
        <v>Logan</v>
      </c>
      <c r="H1585" s="6" t="str">
        <f>VLOOKUP(F1585,'Customer Info'!$A$1:$C$501,3,0)</f>
        <v>Currie</v>
      </c>
      <c r="I1585" s="6" t="str">
        <f>VLOOKUP(F1585,Customer,5,0)</f>
        <v>Anshan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8878</v>
      </c>
      <c r="O1585" s="2">
        <v>69</v>
      </c>
      <c r="P1585" s="8">
        <f t="shared" si="122"/>
        <v>8947</v>
      </c>
      <c r="Q1585" s="8">
        <f t="shared" si="123"/>
        <v>964</v>
      </c>
      <c r="R1585" s="2" t="s">
        <v>28</v>
      </c>
      <c r="S1585" s="24">
        <f t="shared" si="124"/>
        <v>0.05</v>
      </c>
    </row>
    <row r="1586" spans="1:19" x14ac:dyDescent="0.25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>VLOOKUP(F1586,'Customer Info'!$A:$B,2,0)</f>
        <v>Emily</v>
      </c>
      <c r="H1586" s="6" t="str">
        <f>VLOOKUP(F1586,'Customer Info'!$A$1:$C$501,3,0)</f>
        <v>Burns</v>
      </c>
      <c r="I1586" s="6" t="str">
        <f>VLOOKUP(F1586,Customer,5,0)</f>
        <v>Adelaide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5686</v>
      </c>
      <c r="O1586" s="2">
        <v>65</v>
      </c>
      <c r="P1586" s="8">
        <f t="shared" si="122"/>
        <v>5751</v>
      </c>
      <c r="Q1586" s="8">
        <f t="shared" si="123"/>
        <v>216</v>
      </c>
      <c r="R1586" s="2" t="s">
        <v>50</v>
      </c>
      <c r="S1586" s="24">
        <f t="shared" si="124"/>
        <v>0.05</v>
      </c>
    </row>
    <row r="1587" spans="1:19" x14ac:dyDescent="0.25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>VLOOKUP(F1587,'Customer Info'!$A:$B,2,0)</f>
        <v>Sarah</v>
      </c>
      <c r="H1587" s="6" t="str">
        <f>VLOOKUP(F1587,'Customer Info'!$A$1:$C$501,3,0)</f>
        <v>Foster</v>
      </c>
      <c r="I1587" s="6" t="str">
        <f>VLOOKUP(F1587,Customer,5,0)</f>
        <v>Harbin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174</v>
      </c>
      <c r="O1587" s="2">
        <v>10</v>
      </c>
      <c r="P1587" s="8">
        <f t="shared" si="122"/>
        <v>184</v>
      </c>
      <c r="Q1587" s="8">
        <f t="shared" si="123"/>
        <v>6</v>
      </c>
      <c r="R1587" s="2" t="s">
        <v>50</v>
      </c>
      <c r="S1587" s="24">
        <f t="shared" si="124"/>
        <v>0.02</v>
      </c>
    </row>
    <row r="1588" spans="1:19" x14ac:dyDescent="0.25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>VLOOKUP(F1588,'Customer Info'!$A:$B,2,0)</f>
        <v>Ralph</v>
      </c>
      <c r="H1588" s="6" t="str">
        <f>VLOOKUP(F1588,'Customer Info'!$A$1:$C$501,3,0)</f>
        <v>Arnett</v>
      </c>
      <c r="I1588" s="6" t="str">
        <f>VLOOKUP(F1588,Customer,5,0)</f>
        <v>Suzhou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5838</v>
      </c>
      <c r="O1588" s="2">
        <v>29</v>
      </c>
      <c r="P1588" s="8">
        <f t="shared" si="122"/>
        <v>5867</v>
      </c>
      <c r="Q1588" s="8">
        <f t="shared" si="123"/>
        <v>378</v>
      </c>
      <c r="R1588" s="2" t="s">
        <v>28</v>
      </c>
      <c r="S1588" s="24">
        <f t="shared" si="124"/>
        <v>0.05</v>
      </c>
    </row>
    <row r="1589" spans="1:19" x14ac:dyDescent="0.25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>VLOOKUP(F1589,'Customer Info'!$A:$B,2,0)</f>
        <v>Neoma</v>
      </c>
      <c r="H1589" s="6" t="str">
        <f>VLOOKUP(F1589,'Customer Info'!$A$1:$C$501,3,0)</f>
        <v>Murray</v>
      </c>
      <c r="I1589" s="6" t="str">
        <f>VLOOKUP(F1589,Customer,5,0)</f>
        <v>Guwahati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1965</v>
      </c>
      <c r="O1589" s="2">
        <v>35</v>
      </c>
      <c r="P1589" s="8">
        <f t="shared" si="122"/>
        <v>2000</v>
      </c>
      <c r="Q1589" s="8">
        <f t="shared" si="123"/>
        <v>95</v>
      </c>
      <c r="R1589" s="2" t="s">
        <v>28</v>
      </c>
      <c r="S1589" s="24">
        <f t="shared" si="124"/>
        <v>0.02</v>
      </c>
    </row>
    <row r="1590" spans="1:19" x14ac:dyDescent="0.25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>VLOOKUP(F1590,'Customer Info'!$A:$B,2,0)</f>
        <v>Mike</v>
      </c>
      <c r="H1590" s="6" t="str">
        <f>VLOOKUP(F1590,'Customer Info'!$A$1:$C$501,3,0)</f>
        <v>Pelletier</v>
      </c>
      <c r="I1590" s="6" t="str">
        <f>VLOOKUP(F1590,Customer,5,0)</f>
        <v>Jakarta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5257</v>
      </c>
      <c r="O1590" s="2">
        <v>29</v>
      </c>
      <c r="P1590" s="8">
        <f t="shared" si="122"/>
        <v>5286</v>
      </c>
      <c r="Q1590" s="8">
        <f t="shared" si="123"/>
        <v>385</v>
      </c>
      <c r="R1590" s="2" t="s">
        <v>50</v>
      </c>
      <c r="S1590" s="24">
        <f t="shared" si="124"/>
        <v>0.05</v>
      </c>
    </row>
    <row r="1591" spans="1:19" x14ac:dyDescent="0.25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>VLOOKUP(F1591,'Customer Info'!$A:$B,2,0)</f>
        <v>Catherine</v>
      </c>
      <c r="H1591" s="6" t="str">
        <f>VLOOKUP(F1591,'Customer Info'!$A$1:$C$501,3,0)</f>
        <v>Glotzbach</v>
      </c>
      <c r="I1591" s="6" t="str">
        <f>VLOOKUP(F1591,Customer,5,0)</f>
        <v>Bochum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417</v>
      </c>
      <c r="O1591" s="2">
        <v>30</v>
      </c>
      <c r="P1591" s="8">
        <f t="shared" si="122"/>
        <v>447</v>
      </c>
      <c r="Q1591" s="8">
        <f t="shared" si="123"/>
        <v>18</v>
      </c>
      <c r="R1591" s="2" t="s">
        <v>28</v>
      </c>
      <c r="S1591" s="24">
        <f t="shared" si="124"/>
        <v>0.02</v>
      </c>
    </row>
    <row r="1592" spans="1:19" x14ac:dyDescent="0.25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>VLOOKUP(F1592,'Customer Info'!$A:$B,2,0)</f>
        <v>Sam</v>
      </c>
      <c r="H1592" s="6" t="str">
        <f>VLOOKUP(F1592,'Customer Info'!$A$1:$C$501,3,0)</f>
        <v>Craven</v>
      </c>
      <c r="I1592" s="6" t="str">
        <f>VLOOKUP(F1592,Customer,5,0)</f>
        <v>Hyderabad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1845</v>
      </c>
      <c r="O1592" s="2">
        <v>79</v>
      </c>
      <c r="P1592" s="8">
        <f t="shared" si="122"/>
        <v>1924</v>
      </c>
      <c r="Q1592" s="8">
        <f t="shared" si="123"/>
        <v>103</v>
      </c>
      <c r="R1592" s="2" t="s">
        <v>56</v>
      </c>
      <c r="S1592" s="24">
        <f t="shared" si="124"/>
        <v>0.02</v>
      </c>
    </row>
    <row r="1593" spans="1:19" x14ac:dyDescent="0.25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>VLOOKUP(F1593,'Customer Info'!$A:$B,2,0)</f>
        <v>Greg</v>
      </c>
      <c r="H1593" s="6" t="str">
        <f>VLOOKUP(F1593,'Customer Info'!$A$1:$C$501,3,0)</f>
        <v>Tran</v>
      </c>
      <c r="I1593" s="6" t="str">
        <f>VLOOKUP(F1593,Customer,5,0)</f>
        <v>Recklinghausen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6404</v>
      </c>
      <c r="O1593" s="2">
        <v>34</v>
      </c>
      <c r="P1593" s="8">
        <f t="shared" si="122"/>
        <v>6438</v>
      </c>
      <c r="Q1593" s="8">
        <f t="shared" si="123"/>
        <v>364</v>
      </c>
      <c r="R1593" s="2" t="s">
        <v>28</v>
      </c>
      <c r="S1593" s="24">
        <f t="shared" si="124"/>
        <v>0.05</v>
      </c>
    </row>
    <row r="1594" spans="1:19" x14ac:dyDescent="0.25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>VLOOKUP(F1594,'Customer Info'!$A:$B,2,0)</f>
        <v>Jesus</v>
      </c>
      <c r="H1594" s="6" t="str">
        <f>VLOOKUP(F1594,'Customer Info'!$A$1:$C$501,3,0)</f>
        <v>Ocampo</v>
      </c>
      <c r="I1594" s="6" t="str">
        <f>VLOOKUP(F1594,Customer,5,0)</f>
        <v>Herten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2610</v>
      </c>
      <c r="O1594" s="2">
        <v>39</v>
      </c>
      <c r="P1594" s="8">
        <f t="shared" si="122"/>
        <v>2649</v>
      </c>
      <c r="Q1594" s="8">
        <f t="shared" si="123"/>
        <v>216</v>
      </c>
      <c r="R1594" s="2" t="s">
        <v>28</v>
      </c>
      <c r="S1594" s="24">
        <f t="shared" si="124"/>
        <v>0.02</v>
      </c>
    </row>
    <row r="1595" spans="1:19" x14ac:dyDescent="0.25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>VLOOKUP(F1595,'Customer Info'!$A:$B,2,0)</f>
        <v>Caroline</v>
      </c>
      <c r="H1595" s="6" t="str">
        <f>VLOOKUP(F1595,'Customer Info'!$A$1:$C$501,3,0)</f>
        <v>Jumper</v>
      </c>
      <c r="I1595" s="6" t="str">
        <f>VLOOKUP(F1595,Customer,5,0)</f>
        <v>Xuzhou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414</v>
      </c>
      <c r="O1595" s="2">
        <v>30</v>
      </c>
      <c r="P1595" s="8">
        <f t="shared" si="122"/>
        <v>444</v>
      </c>
      <c r="Q1595" s="8">
        <f t="shared" si="123"/>
        <v>30</v>
      </c>
      <c r="R1595" s="2" t="s">
        <v>28</v>
      </c>
      <c r="S1595" s="24">
        <f t="shared" si="124"/>
        <v>0.02</v>
      </c>
    </row>
    <row r="1596" spans="1:19" x14ac:dyDescent="0.25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>VLOOKUP(F1596,'Customer Info'!$A:$B,2,0)</f>
        <v>Vivek</v>
      </c>
      <c r="H1596" s="6" t="str">
        <f>VLOOKUP(F1596,'Customer Info'!$A$1:$C$501,3,0)</f>
        <v>Gonzalez</v>
      </c>
      <c r="I1596" s="6" t="str">
        <f>VLOOKUP(F1596,Customer,5,0)</f>
        <v>Nanyang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4192</v>
      </c>
      <c r="O1596" s="2">
        <v>21</v>
      </c>
      <c r="P1596" s="8">
        <f t="shared" si="122"/>
        <v>4213</v>
      </c>
      <c r="Q1596" s="8">
        <f t="shared" si="123"/>
        <v>276</v>
      </c>
      <c r="R1596" s="2" t="s">
        <v>50</v>
      </c>
      <c r="S1596" s="24">
        <f t="shared" si="124"/>
        <v>0.02</v>
      </c>
    </row>
    <row r="1597" spans="1:19" x14ac:dyDescent="0.25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>VLOOKUP(F1597,'Customer Info'!$A:$B,2,0)</f>
        <v>Toby</v>
      </c>
      <c r="H1597" s="6" t="str">
        <f>VLOOKUP(F1597,'Customer Info'!$A$1:$C$501,3,0)</f>
        <v>Carlisle</v>
      </c>
      <c r="I1597" s="6" t="str">
        <f>VLOOKUP(F1597,Customer,5,0)</f>
        <v>Depok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12068</v>
      </c>
      <c r="O1597" s="2">
        <v>63</v>
      </c>
      <c r="P1597" s="8">
        <f t="shared" si="122"/>
        <v>12131</v>
      </c>
      <c r="Q1597" s="8">
        <f t="shared" si="123"/>
        <v>768</v>
      </c>
      <c r="R1597" s="2" t="s">
        <v>28</v>
      </c>
      <c r="S1597" s="24">
        <f t="shared" si="124"/>
        <v>0.05</v>
      </c>
    </row>
    <row r="1598" spans="1:19" x14ac:dyDescent="0.25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>VLOOKUP(F1598,'Customer Info'!$A:$B,2,0)</f>
        <v>Michael</v>
      </c>
      <c r="H1598" s="6" t="str">
        <f>VLOOKUP(F1598,'Customer Info'!$A$1:$C$501,3,0)</f>
        <v>Moore</v>
      </c>
      <c r="I1598" s="6" t="str">
        <f>VLOOKUP(F1598,Customer,5,0)</f>
        <v>Geelong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32039</v>
      </c>
      <c r="O1598" s="2">
        <v>53</v>
      </c>
      <c r="P1598" s="8">
        <f t="shared" si="122"/>
        <v>32092</v>
      </c>
      <c r="Q1598" s="8">
        <f t="shared" si="123"/>
        <v>2044</v>
      </c>
      <c r="R1598" s="2" t="s">
        <v>50</v>
      </c>
      <c r="S1598" s="24">
        <f t="shared" si="124"/>
        <v>7.0000000000000007E-2</v>
      </c>
    </row>
    <row r="1599" spans="1:19" x14ac:dyDescent="0.25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>VLOOKUP(F1599,'Customer Info'!$A:$B,2,0)</f>
        <v>Ryan</v>
      </c>
      <c r="H1599" s="6" t="str">
        <f>VLOOKUP(F1599,'Customer Info'!$A$1:$C$501,3,0)</f>
        <v>Crowe</v>
      </c>
      <c r="I1599" s="6" t="str">
        <f>VLOOKUP(F1599,Customer,5,0)</f>
        <v>Kanpur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9596</v>
      </c>
      <c r="O1599" s="2">
        <v>37</v>
      </c>
      <c r="P1599" s="8">
        <f t="shared" si="122"/>
        <v>9633</v>
      </c>
      <c r="Q1599" s="8">
        <f t="shared" si="123"/>
        <v>700</v>
      </c>
      <c r="R1599" s="2" t="s">
        <v>50</v>
      </c>
      <c r="S1599" s="24">
        <f t="shared" si="124"/>
        <v>0.05</v>
      </c>
    </row>
    <row r="1600" spans="1:19" x14ac:dyDescent="0.25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>VLOOKUP(F1600,'Customer Info'!$A:$B,2,0)</f>
        <v>David</v>
      </c>
      <c r="H1600" s="6" t="str">
        <f>VLOOKUP(F1600,'Customer Info'!$A$1:$C$501,3,0)</f>
        <v>Kendrick</v>
      </c>
      <c r="I1600" s="6" t="str">
        <f>VLOOKUP(F1600,Customer,5,0)</f>
        <v>Kunming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73556</v>
      </c>
      <c r="O1600" s="2">
        <v>97</v>
      </c>
      <c r="P1600" s="8">
        <f t="shared" si="122"/>
        <v>73653</v>
      </c>
      <c r="Q1600" s="8">
        <f t="shared" si="123"/>
        <v>4138</v>
      </c>
      <c r="R1600" s="2" t="s">
        <v>28</v>
      </c>
      <c r="S1600" s="24">
        <f t="shared" si="124"/>
        <v>0.09</v>
      </c>
    </row>
    <row r="1601" spans="1:19" x14ac:dyDescent="0.25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>VLOOKUP(F1601,'Customer Info'!$A:$B,2,0)</f>
        <v>Darren</v>
      </c>
      <c r="H1601" s="6" t="str">
        <f>VLOOKUP(F1601,'Customer Info'!$A$1:$C$501,3,0)</f>
        <v>Budd</v>
      </c>
      <c r="I1601" s="6" t="str">
        <f>VLOOKUP(F1601,Customer,5,0)</f>
        <v>Jakarta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9768</v>
      </c>
      <c r="O1601" s="2">
        <v>80</v>
      </c>
      <c r="P1601" s="8">
        <f t="shared" si="122"/>
        <v>9848</v>
      </c>
      <c r="Q1601" s="8">
        <f t="shared" si="123"/>
        <v>636</v>
      </c>
      <c r="R1601" s="2" t="s">
        <v>28</v>
      </c>
      <c r="S1601" s="24">
        <f t="shared" si="124"/>
        <v>0.05</v>
      </c>
    </row>
    <row r="1602" spans="1:19" x14ac:dyDescent="0.25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>VLOOKUP(F1602,'Customer Info'!$A:$B,2,0)</f>
        <v>Sarah</v>
      </c>
      <c r="H1602" s="6" t="str">
        <f>VLOOKUP(F1602,'Customer Info'!$A$1:$C$501,3,0)</f>
        <v>Bern</v>
      </c>
      <c r="I1602" s="6" t="str">
        <f>VLOOKUP(F1602,Customer,5,0)</f>
        <v>Wollongong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8068</v>
      </c>
      <c r="O1602" s="2">
        <v>51</v>
      </c>
      <c r="P1602" s="8">
        <f t="shared" si="122"/>
        <v>8119</v>
      </c>
      <c r="Q1602" s="8">
        <f t="shared" si="123"/>
        <v>732</v>
      </c>
      <c r="R1602" s="2" t="s">
        <v>50</v>
      </c>
      <c r="S1602" s="24">
        <f t="shared" si="124"/>
        <v>0.05</v>
      </c>
    </row>
    <row r="1603" spans="1:19" x14ac:dyDescent="0.25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>VLOOKUP(F1603,'Customer Info'!$A:$B,2,0)</f>
        <v>Toby</v>
      </c>
      <c r="H1603" s="6" t="str">
        <f>VLOOKUP(F1603,'Customer Info'!$A$1:$C$501,3,0)</f>
        <v>Gnade</v>
      </c>
      <c r="I1603" s="6" t="str">
        <f>VLOOKUP(F1603,Customer,5,0)</f>
        <v>Bhopal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17712</v>
      </c>
      <c r="O1603" s="2">
        <v>72</v>
      </c>
      <c r="P1603" s="8">
        <f t="shared" si="122"/>
        <v>17784</v>
      </c>
      <c r="Q1603" s="8">
        <f t="shared" si="123"/>
        <v>1323</v>
      </c>
      <c r="R1603" s="2" t="s">
        <v>28</v>
      </c>
      <c r="S1603" s="24">
        <f t="shared" si="124"/>
        <v>0.05</v>
      </c>
    </row>
    <row r="1604" spans="1:19" x14ac:dyDescent="0.25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>VLOOKUP(F1604,'Customer Info'!$A:$B,2,0)</f>
        <v>Lynn</v>
      </c>
      <c r="H1604" s="6" t="str">
        <f>VLOOKUP(F1604,'Customer Info'!$A$1:$C$501,3,0)</f>
        <v>Smith</v>
      </c>
      <c r="I1604" s="6" t="str">
        <f>VLOOKUP(F1604,Customer,5,0)</f>
        <v>Guiping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12212</v>
      </c>
      <c r="O1604" s="2">
        <v>96</v>
      </c>
      <c r="P1604" s="8">
        <f t="shared" si="122"/>
        <v>12308</v>
      </c>
      <c r="Q1604" s="8">
        <f t="shared" si="123"/>
        <v>464</v>
      </c>
      <c r="R1604" s="2" t="s">
        <v>50</v>
      </c>
      <c r="S1604" s="24">
        <f t="shared" si="124"/>
        <v>0.05</v>
      </c>
    </row>
    <row r="1605" spans="1:19" x14ac:dyDescent="0.25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>VLOOKUP(F1605,'Customer Info'!$A:$B,2,0)</f>
        <v>Barry</v>
      </c>
      <c r="H1605" s="6" t="str">
        <f>VLOOKUP(F1605,'Customer Info'!$A$1:$C$501,3,0)</f>
        <v>Blumstein</v>
      </c>
      <c r="I1605" s="6" t="str">
        <f>VLOOKUP(F1605,Customer,5,0)</f>
        <v>Gold Coast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11456</v>
      </c>
      <c r="O1605" s="2">
        <v>24</v>
      </c>
      <c r="P1605" s="8">
        <f t="shared" si="122"/>
        <v>11480</v>
      </c>
      <c r="Q1605" s="8">
        <f t="shared" si="123"/>
        <v>440</v>
      </c>
      <c r="R1605" s="2" t="s">
        <v>28</v>
      </c>
      <c r="S1605" s="24">
        <f t="shared" si="124"/>
        <v>0.05</v>
      </c>
    </row>
    <row r="1606" spans="1:19" x14ac:dyDescent="0.25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>VLOOKUP(F1606,'Customer Info'!$A:$B,2,0)</f>
        <v>Ted</v>
      </c>
      <c r="H1606" s="6" t="str">
        <f>VLOOKUP(F1606,'Customer Info'!$A$1:$C$501,3,0)</f>
        <v>Trevino</v>
      </c>
      <c r="I1606" s="6" t="str">
        <f>VLOOKUP(F1606,Customer,5,0)</f>
        <v>Bendigo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8424</v>
      </c>
      <c r="O1606" s="2">
        <v>75</v>
      </c>
      <c r="P1606" s="8">
        <f t="shared" si="122"/>
        <v>8499</v>
      </c>
      <c r="Q1606" s="8">
        <f t="shared" si="123"/>
        <v>402</v>
      </c>
      <c r="R1606" s="2" t="s">
        <v>50</v>
      </c>
      <c r="S1606" s="24">
        <f t="shared" si="124"/>
        <v>0.05</v>
      </c>
    </row>
    <row r="1607" spans="1:19" x14ac:dyDescent="0.25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>VLOOKUP(F1607,'Customer Info'!$A:$B,2,0)</f>
        <v>Stewart</v>
      </c>
      <c r="H1607" s="6" t="str">
        <f>VLOOKUP(F1607,'Customer Info'!$A$1:$C$501,3,0)</f>
        <v>Visinsky</v>
      </c>
      <c r="I1607" s="6" t="str">
        <f>VLOOKUP(F1607,Customer,5,0)</f>
        <v>Shenyang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122100</v>
      </c>
      <c r="O1607" s="2">
        <v>54</v>
      </c>
      <c r="P1607" s="8">
        <f t="shared" si="122"/>
        <v>122154</v>
      </c>
      <c r="Q1607" s="8">
        <f t="shared" si="123"/>
        <v>11292</v>
      </c>
      <c r="R1607" s="2" t="s">
        <v>50</v>
      </c>
      <c r="S1607" s="24">
        <f t="shared" si="124"/>
        <v>0.12</v>
      </c>
    </row>
    <row r="1608" spans="1:19" x14ac:dyDescent="0.25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>VLOOKUP(F1608,'Customer Info'!$A:$B,2,0)</f>
        <v>Toby</v>
      </c>
      <c r="H1608" s="6" t="str">
        <f>VLOOKUP(F1608,'Customer Info'!$A$1:$C$501,3,0)</f>
        <v>Gnade</v>
      </c>
      <c r="I1608" s="6" t="str">
        <f>VLOOKUP(F1608,Customer,5,0)</f>
        <v>Bhopal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5103</v>
      </c>
      <c r="O1608" s="2">
        <v>93</v>
      </c>
      <c r="P1608" s="8">
        <f t="shared" si="122"/>
        <v>5196</v>
      </c>
      <c r="Q1608" s="8">
        <f t="shared" si="123"/>
        <v>280</v>
      </c>
      <c r="R1608" s="2" t="s">
        <v>28</v>
      </c>
      <c r="S1608" s="24">
        <f t="shared" si="124"/>
        <v>0.05</v>
      </c>
    </row>
    <row r="1609" spans="1:19" x14ac:dyDescent="0.25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>VLOOKUP(F1609,'Customer Info'!$A:$B,2,0)</f>
        <v>Becky</v>
      </c>
      <c r="H1609" s="6" t="str">
        <f>VLOOKUP(F1609,'Customer Info'!$A$1:$C$501,3,0)</f>
        <v>Castell</v>
      </c>
      <c r="I1609" s="6" t="str">
        <f>VLOOKUP(F1609,Customer,5,0)</f>
        <v>Berlin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8310</v>
      </c>
      <c r="O1609" s="2">
        <v>84</v>
      </c>
      <c r="P1609" s="8">
        <f t="shared" si="122"/>
        <v>8394</v>
      </c>
      <c r="Q1609" s="8">
        <f t="shared" si="123"/>
        <v>540</v>
      </c>
      <c r="R1609" s="2" t="s">
        <v>50</v>
      </c>
      <c r="S1609" s="24">
        <f t="shared" si="124"/>
        <v>0.05</v>
      </c>
    </row>
    <row r="1610" spans="1:19" x14ac:dyDescent="0.25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>VLOOKUP(F1610,'Customer Info'!$A:$B,2,0)</f>
        <v>John</v>
      </c>
      <c r="H1610" s="6" t="str">
        <f>VLOOKUP(F1610,'Customer Info'!$A$1:$C$501,3,0)</f>
        <v>Huston</v>
      </c>
      <c r="I1610" s="6" t="str">
        <f>VLOOKUP(F1610,Customer,5,0)</f>
        <v>Jena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3036</v>
      </c>
      <c r="O1610" s="2">
        <v>67</v>
      </c>
      <c r="P1610" s="8">
        <f t="shared" si="122"/>
        <v>3103</v>
      </c>
      <c r="Q1610" s="8">
        <f t="shared" si="123"/>
        <v>252</v>
      </c>
      <c r="R1610" s="2" t="s">
        <v>28</v>
      </c>
      <c r="S1610" s="24">
        <f t="shared" si="124"/>
        <v>0.02</v>
      </c>
    </row>
    <row r="1611" spans="1:19" x14ac:dyDescent="0.25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>VLOOKUP(F1611,'Customer Info'!$A:$B,2,0)</f>
        <v>Brooke</v>
      </c>
      <c r="H1611" s="6" t="str">
        <f>VLOOKUP(F1611,'Customer Info'!$A$1:$C$501,3,0)</f>
        <v>Gillingham</v>
      </c>
      <c r="I1611" s="6" t="str">
        <f>VLOOKUP(F1611,Customer,5,0)</f>
        <v>Weimar</v>
      </c>
      <c r="J1611" s="2">
        <v>127</v>
      </c>
      <c r="K1611" s="2">
        <v>116</v>
      </c>
      <c r="L1611" s="2">
        <v>1</v>
      </c>
      <c r="M1611" s="7">
        <f t="shared" ref="M1611:M1674" si="125">K1611*L1611</f>
        <v>116</v>
      </c>
      <c r="N1611" s="7">
        <f t="shared" ref="N1611:N1674" si="126">J1611*L1611</f>
        <v>127</v>
      </c>
      <c r="O1611" s="2">
        <v>30</v>
      </c>
      <c r="P1611" s="8">
        <f t="shared" ref="P1611:P1674" si="127">N1611+O1611</f>
        <v>157</v>
      </c>
      <c r="Q1611" s="8">
        <f t="shared" ref="Q1611:Q1674" si="128">N1611-M1611</f>
        <v>11</v>
      </c>
      <c r="R1611" s="2" t="s">
        <v>50</v>
      </c>
      <c r="S1611" s="24">
        <f t="shared" ref="S1611:S1674" si="129">VLOOKUP(N1611,$T$1:$U$7,2,TRUE)</f>
        <v>0.02</v>
      </c>
    </row>
    <row r="1612" spans="1:19" x14ac:dyDescent="0.25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>VLOOKUP(F1612,'Customer Info'!$A:$B,2,0)</f>
        <v>Rachel</v>
      </c>
      <c r="H1612" s="6" t="str">
        <f>VLOOKUP(F1612,'Customer Info'!$A$1:$C$501,3,0)</f>
        <v>Payne</v>
      </c>
      <c r="I1612" s="6" t="str">
        <f>VLOOKUP(F1612,Customer,5,0)</f>
        <v>Fuzhou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8">
        <f t="shared" si="127"/>
        <v>19125</v>
      </c>
      <c r="Q1612" s="8">
        <f t="shared" si="128"/>
        <v>360</v>
      </c>
      <c r="R1612" s="2" t="s">
        <v>50</v>
      </c>
      <c r="S1612" s="24">
        <f t="shared" si="129"/>
        <v>0.05</v>
      </c>
    </row>
    <row r="1613" spans="1:19" x14ac:dyDescent="0.25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>VLOOKUP(F1613,'Customer Info'!$A:$B,2,0)</f>
        <v>Darren</v>
      </c>
      <c r="H1613" s="6" t="str">
        <f>VLOOKUP(F1613,'Customer Info'!$A$1:$C$501,3,0)</f>
        <v>Powers</v>
      </c>
      <c r="I1613" s="6" t="str">
        <f>VLOOKUP(F1613,Customer,5,0)</f>
        <v>Depok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8">
        <f t="shared" si="127"/>
        <v>214</v>
      </c>
      <c r="Q1613" s="8">
        <f t="shared" si="128"/>
        <v>15</v>
      </c>
      <c r="R1613" s="2" t="s">
        <v>50</v>
      </c>
      <c r="S1613" s="24">
        <f t="shared" si="129"/>
        <v>0.02</v>
      </c>
    </row>
    <row r="1614" spans="1:19" x14ac:dyDescent="0.25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>VLOOKUP(F1614,'Customer Info'!$A:$B,2,0)</f>
        <v>Logan</v>
      </c>
      <c r="H1614" s="6" t="str">
        <f>VLOOKUP(F1614,'Customer Info'!$A$1:$C$501,3,0)</f>
        <v>Currie</v>
      </c>
      <c r="I1614" s="6" t="str">
        <f>VLOOKUP(F1614,Customer,5,0)</f>
        <v>Amravati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8">
        <f t="shared" si="127"/>
        <v>4955</v>
      </c>
      <c r="Q1614" s="8">
        <f t="shared" si="128"/>
        <v>231</v>
      </c>
      <c r="R1614" s="2" t="s">
        <v>28</v>
      </c>
      <c r="S1614" s="24">
        <f t="shared" si="129"/>
        <v>0.02</v>
      </c>
    </row>
    <row r="1615" spans="1:19" x14ac:dyDescent="0.25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>VLOOKUP(F1615,'Customer Info'!$A:$B,2,0)</f>
        <v>Cari</v>
      </c>
      <c r="H1615" s="6" t="str">
        <f>VLOOKUP(F1615,'Customer Info'!$A$1:$C$501,3,0)</f>
        <v>MacIntyre</v>
      </c>
      <c r="I1615" s="6" t="str">
        <f>VLOOKUP(F1615,Customer,5,0)</f>
        <v>Freiburg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8">
        <f t="shared" si="127"/>
        <v>15650</v>
      </c>
      <c r="Q1615" s="8">
        <f t="shared" si="128"/>
        <v>595</v>
      </c>
      <c r="R1615" s="2" t="s">
        <v>50</v>
      </c>
      <c r="S1615" s="24">
        <f t="shared" si="129"/>
        <v>0.05</v>
      </c>
    </row>
    <row r="1616" spans="1:19" x14ac:dyDescent="0.25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>VLOOKUP(F1616,'Customer Info'!$A:$B,2,0)</f>
        <v>Dave</v>
      </c>
      <c r="H1616" s="6" t="str">
        <f>VLOOKUP(F1616,'Customer Info'!$A$1:$C$501,3,0)</f>
        <v>Hallsten</v>
      </c>
      <c r="I1616" s="6" t="str">
        <f>VLOOKUP(F1616,Customer,5,0)</f>
        <v>Melbourne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14142</v>
      </c>
      <c r="O1616" s="2">
        <v>85</v>
      </c>
      <c r="P1616" s="8">
        <f t="shared" si="127"/>
        <v>14227</v>
      </c>
      <c r="Q1616" s="8">
        <f t="shared" si="128"/>
        <v>1173</v>
      </c>
      <c r="R1616" s="2" t="s">
        <v>50</v>
      </c>
      <c r="S1616" s="24">
        <f t="shared" si="129"/>
        <v>0.05</v>
      </c>
    </row>
    <row r="1617" spans="1:19" x14ac:dyDescent="0.25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>VLOOKUP(F1617,'Customer Info'!$A:$B,2,0)</f>
        <v>Thomas</v>
      </c>
      <c r="H1617" s="6" t="str">
        <f>VLOOKUP(F1617,'Customer Info'!$A$1:$C$501,3,0)</f>
        <v>Brumley</v>
      </c>
      <c r="I1617" s="6" t="str">
        <f>VLOOKUP(F1617,Customer,5,0)</f>
        <v>Launceston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3822</v>
      </c>
      <c r="O1617" s="2">
        <v>90</v>
      </c>
      <c r="P1617" s="8">
        <f t="shared" si="127"/>
        <v>3912</v>
      </c>
      <c r="Q1617" s="8">
        <f t="shared" si="128"/>
        <v>252</v>
      </c>
      <c r="R1617" s="2" t="s">
        <v>50</v>
      </c>
      <c r="S1617" s="24">
        <f t="shared" si="129"/>
        <v>0.02</v>
      </c>
    </row>
    <row r="1618" spans="1:19" x14ac:dyDescent="0.25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>VLOOKUP(F1618,'Customer Info'!$A:$B,2,0)</f>
        <v>Charles</v>
      </c>
      <c r="H1618" s="6" t="str">
        <f>VLOOKUP(F1618,'Customer Info'!$A$1:$C$501,3,0)</f>
        <v>Sheldon</v>
      </c>
      <c r="I1618" s="6" t="str">
        <f>VLOOKUP(F1618,Customer,5,0)</f>
        <v>Jakarta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5920</v>
      </c>
      <c r="O1618" s="2">
        <v>77</v>
      </c>
      <c r="P1618" s="8">
        <f t="shared" si="127"/>
        <v>5997</v>
      </c>
      <c r="Q1618" s="8">
        <f t="shared" si="128"/>
        <v>650</v>
      </c>
      <c r="R1618" s="2" t="s">
        <v>28</v>
      </c>
      <c r="S1618" s="24">
        <f t="shared" si="129"/>
        <v>0.05</v>
      </c>
    </row>
    <row r="1619" spans="1:19" x14ac:dyDescent="0.25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>VLOOKUP(F1619,'Customer Info'!$A:$B,2,0)</f>
        <v>Filia</v>
      </c>
      <c r="H1619" s="6" t="str">
        <f>VLOOKUP(F1619,'Customer Info'!$A$1:$C$501,3,0)</f>
        <v>McAdams</v>
      </c>
      <c r="I1619" s="6" t="str">
        <f>VLOOKUP(F1619,Customer,5,0)</f>
        <v>Lucknow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72114</v>
      </c>
      <c r="O1619" s="2">
        <v>85</v>
      </c>
      <c r="P1619" s="8">
        <f t="shared" si="127"/>
        <v>72199</v>
      </c>
      <c r="Q1619" s="8">
        <f t="shared" si="128"/>
        <v>4058</v>
      </c>
      <c r="R1619" s="2" t="s">
        <v>28</v>
      </c>
      <c r="S1619" s="24">
        <f t="shared" si="129"/>
        <v>0.09</v>
      </c>
    </row>
    <row r="1620" spans="1:19" x14ac:dyDescent="0.25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>VLOOKUP(F1620,'Customer Info'!$A:$B,2,0)</f>
        <v>Logan</v>
      </c>
      <c r="H1620" s="6" t="str">
        <f>VLOOKUP(F1620,'Customer Info'!$A$1:$C$501,3,0)</f>
        <v>Currie</v>
      </c>
      <c r="I1620" s="6" t="str">
        <f>VLOOKUP(F1620,Customer,5,0)</f>
        <v>Anshan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207</v>
      </c>
      <c r="O1620" s="2">
        <v>10</v>
      </c>
      <c r="P1620" s="8">
        <f t="shared" si="127"/>
        <v>217</v>
      </c>
      <c r="Q1620" s="8">
        <f t="shared" si="128"/>
        <v>15</v>
      </c>
      <c r="R1620" s="2" t="s">
        <v>28</v>
      </c>
      <c r="S1620" s="24">
        <f t="shared" si="129"/>
        <v>0.02</v>
      </c>
    </row>
    <row r="1621" spans="1:19" x14ac:dyDescent="0.25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>VLOOKUP(F1621,'Customer Info'!$A:$B,2,0)</f>
        <v>Quincy</v>
      </c>
      <c r="H1621" s="6" t="str">
        <f>VLOOKUP(F1621,'Customer Info'!$A$1:$C$501,3,0)</f>
        <v>Jones</v>
      </c>
      <c r="I1621" s="6" t="str">
        <f>VLOOKUP(F1621,Customer,5,0)</f>
        <v>Gold Coast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39666</v>
      </c>
      <c r="O1621" s="2">
        <v>70</v>
      </c>
      <c r="P1621" s="8">
        <f t="shared" si="127"/>
        <v>39736</v>
      </c>
      <c r="Q1621" s="8">
        <f t="shared" si="128"/>
        <v>4008</v>
      </c>
      <c r="R1621" s="2" t="s">
        <v>50</v>
      </c>
      <c r="S1621" s="24">
        <f t="shared" si="129"/>
        <v>7.0000000000000007E-2</v>
      </c>
    </row>
    <row r="1622" spans="1:19" x14ac:dyDescent="0.25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>VLOOKUP(F1622,'Customer Info'!$A:$B,2,0)</f>
        <v>Anemone</v>
      </c>
      <c r="H1622" s="6" t="str">
        <f>VLOOKUP(F1622,'Customer Info'!$A$1:$C$501,3,0)</f>
        <v>Ratner</v>
      </c>
      <c r="I1622" s="6" t="str">
        <f>VLOOKUP(F1622,Customer,5,0)</f>
        <v>Berlin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978</v>
      </c>
      <c r="O1622" s="2">
        <v>54</v>
      </c>
      <c r="P1622" s="8">
        <f t="shared" si="127"/>
        <v>1032</v>
      </c>
      <c r="Q1622" s="8">
        <f t="shared" si="128"/>
        <v>56</v>
      </c>
      <c r="R1622" s="2" t="s">
        <v>28</v>
      </c>
      <c r="S1622" s="24">
        <f t="shared" si="129"/>
        <v>0.02</v>
      </c>
    </row>
    <row r="1623" spans="1:19" x14ac:dyDescent="0.25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>VLOOKUP(F1623,'Customer Info'!$A:$B,2,0)</f>
        <v>Brian</v>
      </c>
      <c r="H1623" s="6" t="str">
        <f>VLOOKUP(F1623,'Customer Info'!$A$1:$C$501,3,0)</f>
        <v>Dahlen</v>
      </c>
      <c r="I1623" s="6" t="str">
        <f>VLOOKUP(F1623,Customer,5,0)</f>
        <v>Shantou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11840</v>
      </c>
      <c r="O1623" s="2">
        <v>63</v>
      </c>
      <c r="P1623" s="8">
        <f t="shared" si="127"/>
        <v>11903</v>
      </c>
      <c r="Q1623" s="8">
        <f t="shared" si="128"/>
        <v>1300</v>
      </c>
      <c r="R1623" s="2" t="s">
        <v>50</v>
      </c>
      <c r="S1623" s="24">
        <f t="shared" si="129"/>
        <v>0.05</v>
      </c>
    </row>
    <row r="1624" spans="1:19" x14ac:dyDescent="0.25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>VLOOKUP(F1624,'Customer Info'!$A:$B,2,0)</f>
        <v>Sara</v>
      </c>
      <c r="H1624" s="6" t="str">
        <f>VLOOKUP(F1624,'Customer Info'!$A$1:$C$501,3,0)</f>
        <v>Luxemburg</v>
      </c>
      <c r="I1624" s="6" t="str">
        <f>VLOOKUP(F1624,Customer,5,0)</f>
        <v>Luoyang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25344</v>
      </c>
      <c r="O1624" s="2">
        <v>46</v>
      </c>
      <c r="P1624" s="8">
        <f t="shared" si="127"/>
        <v>25390</v>
      </c>
      <c r="Q1624" s="8">
        <f t="shared" si="128"/>
        <v>1878</v>
      </c>
      <c r="R1624" s="2" t="s">
        <v>28</v>
      </c>
      <c r="S1624" s="24">
        <f t="shared" si="129"/>
        <v>7.0000000000000007E-2</v>
      </c>
    </row>
    <row r="1625" spans="1:19" x14ac:dyDescent="0.25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>VLOOKUP(F1625,'Customer Info'!$A:$B,2,0)</f>
        <v>Patricia</v>
      </c>
      <c r="H1625" s="6" t="str">
        <f>VLOOKUP(F1625,'Customer Info'!$A$1:$C$501,3,0)</f>
        <v>Hirasaki</v>
      </c>
      <c r="I1625" s="6" t="str">
        <f>VLOOKUP(F1625,Customer,5,0)</f>
        <v>Pimpri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12120</v>
      </c>
      <c r="O1625" s="2">
        <v>54</v>
      </c>
      <c r="P1625" s="8">
        <f t="shared" si="127"/>
        <v>12174</v>
      </c>
      <c r="Q1625" s="8">
        <f t="shared" si="128"/>
        <v>116</v>
      </c>
      <c r="R1625" s="2" t="s">
        <v>26</v>
      </c>
      <c r="S1625" s="24">
        <f t="shared" si="129"/>
        <v>0.05</v>
      </c>
    </row>
    <row r="1626" spans="1:19" x14ac:dyDescent="0.25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>VLOOKUP(F1626,'Customer Info'!$A:$B,2,0)</f>
        <v>Michelle</v>
      </c>
      <c r="H1626" s="6" t="str">
        <f>VLOOKUP(F1626,'Customer Info'!$A$1:$C$501,3,0)</f>
        <v>Arnett</v>
      </c>
      <c r="I1626" s="6" t="str">
        <f>VLOOKUP(F1626,Customer,5,0)</f>
        <v>Yancheng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556</v>
      </c>
      <c r="O1626" s="2">
        <v>30</v>
      </c>
      <c r="P1626" s="8">
        <f t="shared" si="127"/>
        <v>586</v>
      </c>
      <c r="Q1626" s="8">
        <f t="shared" si="128"/>
        <v>36</v>
      </c>
      <c r="R1626" s="2" t="s">
        <v>50</v>
      </c>
      <c r="S1626" s="24">
        <f t="shared" si="129"/>
        <v>0.02</v>
      </c>
    </row>
    <row r="1627" spans="1:19" x14ac:dyDescent="0.25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>VLOOKUP(F1627,'Customer Info'!$A:$B,2,0)</f>
        <v>Rachel</v>
      </c>
      <c r="H1627" s="6" t="str">
        <f>VLOOKUP(F1627,'Customer Info'!$A$1:$C$501,3,0)</f>
        <v>Payne</v>
      </c>
      <c r="I1627" s="6" t="str">
        <f>VLOOKUP(F1627,Customer,5,0)</f>
        <v>Caloundra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14464</v>
      </c>
      <c r="O1627" s="2">
        <v>72</v>
      </c>
      <c r="P1627" s="8">
        <f t="shared" si="127"/>
        <v>14536</v>
      </c>
      <c r="Q1627" s="8">
        <f t="shared" si="128"/>
        <v>958</v>
      </c>
      <c r="R1627" s="2" t="s">
        <v>28</v>
      </c>
      <c r="S1627" s="24">
        <f t="shared" si="129"/>
        <v>0.05</v>
      </c>
    </row>
    <row r="1628" spans="1:19" x14ac:dyDescent="0.25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>VLOOKUP(F1628,'Customer Info'!$A:$B,2,0)</f>
        <v>Art</v>
      </c>
      <c r="H1628" s="6" t="str">
        <f>VLOOKUP(F1628,'Customer Info'!$A$1:$C$501,3,0)</f>
        <v>Foster</v>
      </c>
      <c r="I1628" s="6" t="str">
        <f>VLOOKUP(F1628,Customer,5,0)</f>
        <v>Devonport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166146</v>
      </c>
      <c r="O1628" s="2">
        <v>82</v>
      </c>
      <c r="P1628" s="8">
        <f t="shared" si="127"/>
        <v>166228</v>
      </c>
      <c r="Q1628" s="8">
        <f t="shared" si="128"/>
        <v>12450</v>
      </c>
      <c r="R1628" s="2" t="s">
        <v>26</v>
      </c>
      <c r="S1628" s="24">
        <f t="shared" si="129"/>
        <v>0.12</v>
      </c>
    </row>
    <row r="1629" spans="1:19" x14ac:dyDescent="0.25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>VLOOKUP(F1629,'Customer Info'!$A:$B,2,0)</f>
        <v>Yana</v>
      </c>
      <c r="H1629" s="6" t="str">
        <f>VLOOKUP(F1629,'Customer Info'!$A$1:$C$501,3,0)</f>
        <v>Sorensen</v>
      </c>
      <c r="I1629" s="6" t="str">
        <f>VLOOKUP(F1629,Customer,5,0)</f>
        <v>Hangzhou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11924</v>
      </c>
      <c r="O1629" s="2">
        <v>60</v>
      </c>
      <c r="P1629" s="8">
        <f t="shared" si="127"/>
        <v>11984</v>
      </c>
      <c r="Q1629" s="8">
        <f t="shared" si="128"/>
        <v>444</v>
      </c>
      <c r="R1629" s="2" t="s">
        <v>50</v>
      </c>
      <c r="S1629" s="24">
        <f t="shared" si="129"/>
        <v>0.05</v>
      </c>
    </row>
    <row r="1630" spans="1:19" x14ac:dyDescent="0.25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>VLOOKUP(F1630,'Customer Info'!$A:$B,2,0)</f>
        <v>Rachel</v>
      </c>
      <c r="H1630" s="6" t="str">
        <f>VLOOKUP(F1630,'Customer Info'!$A$1:$C$501,3,0)</f>
        <v>Payne</v>
      </c>
      <c r="I1630" s="6" t="str">
        <f>VLOOKUP(F1630,Customer,5,0)</f>
        <v>Mianyang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6999</v>
      </c>
      <c r="O1630" s="2">
        <v>65</v>
      </c>
      <c r="P1630" s="8">
        <f t="shared" si="127"/>
        <v>7064</v>
      </c>
      <c r="Q1630" s="8">
        <f t="shared" si="128"/>
        <v>819</v>
      </c>
      <c r="R1630" s="2" t="s">
        <v>28</v>
      </c>
      <c r="S1630" s="24">
        <f t="shared" si="129"/>
        <v>0.05</v>
      </c>
    </row>
    <row r="1631" spans="1:19" x14ac:dyDescent="0.25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>VLOOKUP(F1631,'Customer Info'!$A:$B,2,0)</f>
        <v>Benjamin</v>
      </c>
      <c r="H1631" s="6" t="str">
        <f>VLOOKUP(F1631,'Customer Info'!$A$1:$C$501,3,0)</f>
        <v>Patterson</v>
      </c>
      <c r="I1631" s="6" t="str">
        <f>VLOOKUP(F1631,Customer,5,0)</f>
        <v>Wollongong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4577</v>
      </c>
      <c r="O1631" s="2">
        <v>22</v>
      </c>
      <c r="P1631" s="8">
        <f t="shared" si="127"/>
        <v>4599</v>
      </c>
      <c r="Q1631" s="8">
        <f t="shared" si="128"/>
        <v>292</v>
      </c>
      <c r="R1631" s="2" t="s">
        <v>50</v>
      </c>
      <c r="S1631" s="24">
        <f t="shared" si="129"/>
        <v>0.02</v>
      </c>
    </row>
    <row r="1632" spans="1:19" x14ac:dyDescent="0.25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>VLOOKUP(F1632,'Customer Info'!$A:$B,2,0)</f>
        <v>Dianna</v>
      </c>
      <c r="H1632" s="6" t="str">
        <f>VLOOKUP(F1632,'Customer Info'!$A$1:$C$501,3,0)</f>
        <v>Wilson</v>
      </c>
      <c r="I1632" s="6" t="str">
        <f>VLOOKUP(F1632,Customer,5,0)</f>
        <v>Gold Coast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1925</v>
      </c>
      <c r="O1632" s="2">
        <v>32</v>
      </c>
      <c r="P1632" s="8">
        <f t="shared" si="127"/>
        <v>1957</v>
      </c>
      <c r="Q1632" s="8">
        <f t="shared" si="128"/>
        <v>91</v>
      </c>
      <c r="R1632" s="2" t="s">
        <v>50</v>
      </c>
      <c r="S1632" s="24">
        <f t="shared" si="129"/>
        <v>0.02</v>
      </c>
    </row>
    <row r="1633" spans="1:19" x14ac:dyDescent="0.25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>VLOOKUP(F1633,'Customer Info'!$A:$B,2,0)</f>
        <v>Ben</v>
      </c>
      <c r="H1633" s="6" t="str">
        <f>VLOOKUP(F1633,'Customer Info'!$A$1:$C$501,3,0)</f>
        <v>Wallace</v>
      </c>
      <c r="I1633" s="6" t="str">
        <f>VLOOKUP(F1633,Customer,5,0)</f>
        <v>Shanghai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10390</v>
      </c>
      <c r="O1633" s="2">
        <v>49</v>
      </c>
      <c r="P1633" s="8">
        <f t="shared" si="127"/>
        <v>10439</v>
      </c>
      <c r="Q1633" s="8">
        <f t="shared" si="128"/>
        <v>1035</v>
      </c>
      <c r="R1633" s="2" t="s">
        <v>50</v>
      </c>
      <c r="S1633" s="24">
        <f t="shared" si="129"/>
        <v>0.05</v>
      </c>
    </row>
    <row r="1634" spans="1:19" x14ac:dyDescent="0.25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>VLOOKUP(F1634,'Customer Info'!$A:$B,2,0)</f>
        <v>Andrew</v>
      </c>
      <c r="H1634" s="6" t="str">
        <f>VLOOKUP(F1634,'Customer Info'!$A$1:$C$501,3,0)</f>
        <v>Gjertsen</v>
      </c>
      <c r="I1634" s="6" t="str">
        <f>VLOOKUP(F1634,Customer,5,0)</f>
        <v>Hamburg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386</v>
      </c>
      <c r="O1634" s="2">
        <v>30</v>
      </c>
      <c r="P1634" s="8">
        <f t="shared" si="127"/>
        <v>416</v>
      </c>
      <c r="Q1634" s="8">
        <f t="shared" si="128"/>
        <v>40</v>
      </c>
      <c r="R1634" s="2" t="s">
        <v>50</v>
      </c>
      <c r="S1634" s="24">
        <f t="shared" si="129"/>
        <v>0.02</v>
      </c>
    </row>
    <row r="1635" spans="1:19" x14ac:dyDescent="0.25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>VLOOKUP(F1635,'Customer Info'!$A:$B,2,0)</f>
        <v>Sylvia</v>
      </c>
      <c r="H1635" s="6" t="str">
        <f>VLOOKUP(F1635,'Customer Info'!$A$1:$C$501,3,0)</f>
        <v>Foulston</v>
      </c>
      <c r="I1635" s="6" t="str">
        <f>VLOOKUP(F1635,Customer,5,0)</f>
        <v>Ludwigsburg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420</v>
      </c>
      <c r="O1635" s="2">
        <v>30</v>
      </c>
      <c r="P1635" s="8">
        <f t="shared" si="127"/>
        <v>450</v>
      </c>
      <c r="Q1635" s="8">
        <f t="shared" si="128"/>
        <v>9</v>
      </c>
      <c r="R1635" s="2" t="s">
        <v>28</v>
      </c>
      <c r="S1635" s="24">
        <f t="shared" si="129"/>
        <v>0.02</v>
      </c>
    </row>
    <row r="1636" spans="1:19" x14ac:dyDescent="0.25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>VLOOKUP(F1636,'Customer Info'!$A:$B,2,0)</f>
        <v>Troy</v>
      </c>
      <c r="H1636" s="6" t="str">
        <f>VLOOKUP(F1636,'Customer Info'!$A$1:$C$501,3,0)</f>
        <v>Blackwell</v>
      </c>
      <c r="I1636" s="6" t="str">
        <f>VLOOKUP(F1636,Customer,5,0)</f>
        <v>Krefeld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46494</v>
      </c>
      <c r="O1636" s="2">
        <v>97</v>
      </c>
      <c r="P1636" s="8">
        <f t="shared" si="127"/>
        <v>46591</v>
      </c>
      <c r="Q1636" s="8">
        <f t="shared" si="128"/>
        <v>4648</v>
      </c>
      <c r="R1636" s="2" t="s">
        <v>28</v>
      </c>
      <c r="S1636" s="24">
        <f t="shared" si="129"/>
        <v>7.0000000000000007E-2</v>
      </c>
    </row>
    <row r="1637" spans="1:19" x14ac:dyDescent="0.25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>VLOOKUP(F1637,'Customer Info'!$A:$B,2,0)</f>
        <v>Max</v>
      </c>
      <c r="H1637" s="6" t="str">
        <f>VLOOKUP(F1637,'Customer Info'!$A$1:$C$501,3,0)</f>
        <v>Ludwig</v>
      </c>
      <c r="I1637" s="6" t="str">
        <f>VLOOKUP(F1637,Customer,5,0)</f>
        <v>Newcastle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1321</v>
      </c>
      <c r="O1637" s="2">
        <v>38</v>
      </c>
      <c r="P1637" s="8">
        <f t="shared" si="127"/>
        <v>1359</v>
      </c>
      <c r="Q1637" s="8">
        <f t="shared" si="128"/>
        <v>110</v>
      </c>
      <c r="R1637" s="2" t="s">
        <v>28</v>
      </c>
      <c r="S1637" s="24">
        <f t="shared" si="129"/>
        <v>0.02</v>
      </c>
    </row>
    <row r="1638" spans="1:19" x14ac:dyDescent="0.25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>VLOOKUP(F1638,'Customer Info'!$A:$B,2,0)</f>
        <v>Andrew</v>
      </c>
      <c r="H1638" s="6" t="str">
        <f>VLOOKUP(F1638,'Customer Info'!$A$1:$C$501,3,0)</f>
        <v>Gjertsen</v>
      </c>
      <c r="I1638" s="6" t="str">
        <f>VLOOKUP(F1638,Customer,5,0)</f>
        <v>Hamburg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22974</v>
      </c>
      <c r="O1638" s="2">
        <v>20</v>
      </c>
      <c r="P1638" s="8">
        <f t="shared" si="127"/>
        <v>22994</v>
      </c>
      <c r="Q1638" s="8">
        <f t="shared" si="128"/>
        <v>1896</v>
      </c>
      <c r="R1638" s="2" t="s">
        <v>28</v>
      </c>
      <c r="S1638" s="24">
        <f t="shared" si="129"/>
        <v>0.05</v>
      </c>
    </row>
    <row r="1639" spans="1:19" x14ac:dyDescent="0.25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>VLOOKUP(F1639,'Customer Info'!$A:$B,2,0)</f>
        <v>Linda</v>
      </c>
      <c r="H1639" s="6" t="str">
        <f>VLOOKUP(F1639,'Customer Info'!$A$1:$C$501,3,0)</f>
        <v>Southworth</v>
      </c>
      <c r="I1639" s="6" t="str">
        <f>VLOOKUP(F1639,Customer,5,0)</f>
        <v>Brisbane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27072</v>
      </c>
      <c r="O1639" s="2">
        <v>96</v>
      </c>
      <c r="P1639" s="8">
        <f t="shared" si="127"/>
        <v>27168</v>
      </c>
      <c r="Q1639" s="8">
        <f t="shared" si="128"/>
        <v>1024</v>
      </c>
      <c r="R1639" s="2" t="s">
        <v>28</v>
      </c>
      <c r="S1639" s="24">
        <f t="shared" si="129"/>
        <v>7.0000000000000007E-2</v>
      </c>
    </row>
    <row r="1640" spans="1:19" x14ac:dyDescent="0.25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>VLOOKUP(F1640,'Customer Info'!$A:$B,2,0)</f>
        <v>Robert</v>
      </c>
      <c r="H1640" s="6" t="str">
        <f>VLOOKUP(F1640,'Customer Info'!$A$1:$C$501,3,0)</f>
        <v>Waldorf</v>
      </c>
      <c r="I1640" s="6" t="str">
        <f>VLOOKUP(F1640,Customer,5,0)</f>
        <v>Emden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6304</v>
      </c>
      <c r="O1640" s="2">
        <v>79</v>
      </c>
      <c r="P1640" s="8">
        <f t="shared" si="127"/>
        <v>6383</v>
      </c>
      <c r="Q1640" s="8">
        <f t="shared" si="128"/>
        <v>180</v>
      </c>
      <c r="R1640" s="2" t="s">
        <v>28</v>
      </c>
      <c r="S1640" s="24">
        <f t="shared" si="129"/>
        <v>0.05</v>
      </c>
    </row>
    <row r="1641" spans="1:19" x14ac:dyDescent="0.25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>VLOOKUP(F1641,'Customer Info'!$A:$B,2,0)</f>
        <v>Claire</v>
      </c>
      <c r="H1641" s="6" t="str">
        <f>VLOOKUP(F1641,'Customer Info'!$A$1:$C$501,3,0)</f>
        <v>Gute</v>
      </c>
      <c r="I1641" s="6" t="str">
        <f>VLOOKUP(F1641,Customer,5,0)</f>
        <v>Shenzhen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189</v>
      </c>
      <c r="O1641" s="2">
        <v>10</v>
      </c>
      <c r="P1641" s="8">
        <f t="shared" si="127"/>
        <v>199</v>
      </c>
      <c r="Q1641" s="8">
        <f t="shared" si="128"/>
        <v>12</v>
      </c>
      <c r="R1641" s="2" t="s">
        <v>50</v>
      </c>
      <c r="S1641" s="24">
        <f t="shared" si="129"/>
        <v>0.02</v>
      </c>
    </row>
    <row r="1642" spans="1:19" x14ac:dyDescent="0.25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>VLOOKUP(F1642,'Customer Info'!$A:$B,2,0)</f>
        <v>Victor</v>
      </c>
      <c r="H1642" s="6" t="str">
        <f>VLOOKUP(F1642,'Customer Info'!$A$1:$C$501,3,0)</f>
        <v>Preis</v>
      </c>
      <c r="I1642" s="6" t="str">
        <f>VLOOKUP(F1642,Customer,5,0)</f>
        <v>Melbourne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3302</v>
      </c>
      <c r="O1642" s="2">
        <v>33</v>
      </c>
      <c r="P1642" s="8">
        <f t="shared" si="127"/>
        <v>3335</v>
      </c>
      <c r="Q1642" s="8">
        <f t="shared" si="128"/>
        <v>94</v>
      </c>
      <c r="R1642" s="2" t="s">
        <v>28</v>
      </c>
      <c r="S1642" s="24">
        <f t="shared" si="129"/>
        <v>0.02</v>
      </c>
    </row>
    <row r="1643" spans="1:19" x14ac:dyDescent="0.25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>VLOOKUP(F1643,'Customer Info'!$A:$B,2,0)</f>
        <v>Ivan</v>
      </c>
      <c r="H1643" s="6" t="str">
        <f>VLOOKUP(F1643,'Customer Info'!$A$1:$C$501,3,0)</f>
        <v>Gibson</v>
      </c>
      <c r="I1643" s="6" t="str">
        <f>VLOOKUP(F1643,Customer,5,0)</f>
        <v>Perth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856</v>
      </c>
      <c r="O1643" s="2">
        <v>24</v>
      </c>
      <c r="P1643" s="8">
        <f t="shared" si="127"/>
        <v>880</v>
      </c>
      <c r="Q1643" s="8">
        <f t="shared" si="128"/>
        <v>56</v>
      </c>
      <c r="R1643" s="2" t="s">
        <v>28</v>
      </c>
      <c r="S1643" s="24">
        <f t="shared" si="129"/>
        <v>0.02</v>
      </c>
    </row>
    <row r="1644" spans="1:19" x14ac:dyDescent="0.25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>VLOOKUP(F1644,'Customer Info'!$A:$B,2,0)</f>
        <v>Erica</v>
      </c>
      <c r="H1644" s="6" t="str">
        <f>VLOOKUP(F1644,'Customer Info'!$A$1:$C$501,3,0)</f>
        <v>Hackney</v>
      </c>
      <c r="I1644" s="6" t="str">
        <f>VLOOKUP(F1644,Customer,5,0)</f>
        <v>Adelaide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8091</v>
      </c>
      <c r="O1644" s="2">
        <v>91</v>
      </c>
      <c r="P1644" s="8">
        <f t="shared" si="127"/>
        <v>8182</v>
      </c>
      <c r="Q1644" s="8">
        <f t="shared" si="128"/>
        <v>597</v>
      </c>
      <c r="R1644" s="2" t="s">
        <v>28</v>
      </c>
      <c r="S1644" s="24">
        <f t="shared" si="129"/>
        <v>0.05</v>
      </c>
    </row>
    <row r="1645" spans="1:19" x14ac:dyDescent="0.25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>VLOOKUP(F1645,'Customer Info'!$A:$B,2,0)</f>
        <v>Dave</v>
      </c>
      <c r="H1645" s="6" t="str">
        <f>VLOOKUP(F1645,'Customer Info'!$A$1:$C$501,3,0)</f>
        <v>Hallsten</v>
      </c>
      <c r="I1645" s="6" t="str">
        <f>VLOOKUP(F1645,Customer,5,0)</f>
        <v>Melbourne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6272</v>
      </c>
      <c r="O1645" s="2">
        <v>73</v>
      </c>
      <c r="P1645" s="8">
        <f t="shared" si="127"/>
        <v>6345</v>
      </c>
      <c r="Q1645" s="8">
        <f t="shared" si="128"/>
        <v>292</v>
      </c>
      <c r="R1645" s="2" t="s">
        <v>28</v>
      </c>
      <c r="S1645" s="24">
        <f t="shared" si="129"/>
        <v>0.05</v>
      </c>
    </row>
    <row r="1646" spans="1:19" x14ac:dyDescent="0.25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>VLOOKUP(F1646,'Customer Info'!$A:$B,2,0)</f>
        <v>Troy</v>
      </c>
      <c r="H1646" s="6" t="str">
        <f>VLOOKUP(F1646,'Customer Info'!$A$1:$C$501,3,0)</f>
        <v>Blackwell</v>
      </c>
      <c r="I1646" s="6" t="str">
        <f>VLOOKUP(F1646,Customer,5,0)</f>
        <v>Akola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11628</v>
      </c>
      <c r="O1646" s="2">
        <v>53</v>
      </c>
      <c r="P1646" s="8">
        <f t="shared" si="127"/>
        <v>11681</v>
      </c>
      <c r="Q1646" s="8">
        <f t="shared" si="128"/>
        <v>960</v>
      </c>
      <c r="R1646" s="2" t="s">
        <v>28</v>
      </c>
      <c r="S1646" s="24">
        <f t="shared" si="129"/>
        <v>0.05</v>
      </c>
    </row>
    <row r="1647" spans="1:19" x14ac:dyDescent="0.25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>VLOOKUP(F1647,'Customer Info'!$A:$B,2,0)</f>
        <v>Julie</v>
      </c>
      <c r="H1647" s="6" t="str">
        <f>VLOOKUP(F1647,'Customer Info'!$A$1:$C$501,3,0)</f>
        <v>Creighton</v>
      </c>
      <c r="I1647" s="6" t="str">
        <f>VLOOKUP(F1647,Customer,5,0)</f>
        <v>Bandung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60</v>
      </c>
      <c r="O1647" s="2">
        <v>10</v>
      </c>
      <c r="P1647" s="8">
        <f t="shared" si="127"/>
        <v>70</v>
      </c>
      <c r="Q1647" s="8">
        <f t="shared" si="128"/>
        <v>4</v>
      </c>
      <c r="R1647" s="2" t="s">
        <v>28</v>
      </c>
      <c r="S1647" s="24">
        <f t="shared" si="129"/>
        <v>0.02</v>
      </c>
    </row>
    <row r="1648" spans="1:19" x14ac:dyDescent="0.25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>VLOOKUP(F1648,'Customer Info'!$A:$B,2,0)</f>
        <v>Bradley</v>
      </c>
      <c r="H1648" s="6" t="str">
        <f>VLOOKUP(F1648,'Customer Info'!$A$1:$C$501,3,0)</f>
        <v>Nguyen</v>
      </c>
      <c r="I1648" s="6" t="str">
        <f>VLOOKUP(F1648,Customer,5,0)</f>
        <v>Shenzhen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36072</v>
      </c>
      <c r="O1648" s="2">
        <v>40</v>
      </c>
      <c r="P1648" s="8">
        <f t="shared" si="127"/>
        <v>36112</v>
      </c>
      <c r="Q1648" s="8">
        <f t="shared" si="128"/>
        <v>2010</v>
      </c>
      <c r="R1648" s="2" t="s">
        <v>50</v>
      </c>
      <c r="S1648" s="24">
        <f t="shared" si="129"/>
        <v>7.0000000000000007E-2</v>
      </c>
    </row>
    <row r="1649" spans="1:19" x14ac:dyDescent="0.25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>VLOOKUP(F1649,'Customer Info'!$A:$B,2,0)</f>
        <v>Maureen</v>
      </c>
      <c r="H1649" s="6" t="str">
        <f>VLOOKUP(F1649,'Customer Info'!$A$1:$C$501,3,0)</f>
        <v>Fritzler</v>
      </c>
      <c r="I1649" s="6" t="str">
        <f>VLOOKUP(F1649,Customer,5,0)</f>
        <v>BadenBaden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5556</v>
      </c>
      <c r="O1649" s="2">
        <v>100</v>
      </c>
      <c r="P1649" s="8">
        <f t="shared" si="127"/>
        <v>5656</v>
      </c>
      <c r="Q1649" s="8">
        <f t="shared" si="128"/>
        <v>410</v>
      </c>
      <c r="R1649" s="2" t="s">
        <v>50</v>
      </c>
      <c r="S1649" s="24">
        <f t="shared" si="129"/>
        <v>0.05</v>
      </c>
    </row>
    <row r="1650" spans="1:19" x14ac:dyDescent="0.25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>VLOOKUP(F1650,'Customer Info'!$A:$B,2,0)</f>
        <v>Sarah</v>
      </c>
      <c r="H1650" s="6" t="str">
        <f>VLOOKUP(F1650,'Customer Info'!$A$1:$C$501,3,0)</f>
        <v>Foster</v>
      </c>
      <c r="I1650" s="6" t="str">
        <f>VLOOKUP(F1650,Customer,5,0)</f>
        <v>Harbin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468</v>
      </c>
      <c r="O1650" s="2">
        <v>10</v>
      </c>
      <c r="P1650" s="8">
        <f t="shared" si="127"/>
        <v>478</v>
      </c>
      <c r="Q1650" s="8">
        <f t="shared" si="128"/>
        <v>24</v>
      </c>
      <c r="R1650" s="2" t="s">
        <v>50</v>
      </c>
      <c r="S1650" s="24">
        <f t="shared" si="129"/>
        <v>0.02</v>
      </c>
    </row>
    <row r="1651" spans="1:19" x14ac:dyDescent="0.25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>VLOOKUP(F1651,'Customer Info'!$A:$B,2,0)</f>
        <v>Cassandra</v>
      </c>
      <c r="H1651" s="6" t="str">
        <f>VLOOKUP(F1651,'Customer Info'!$A$1:$C$501,3,0)</f>
        <v>Brandow</v>
      </c>
      <c r="I1651" s="6" t="str">
        <f>VLOOKUP(F1651,Customer,5,0)</f>
        <v>Hamburg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2229</v>
      </c>
      <c r="O1651" s="2">
        <v>33</v>
      </c>
      <c r="P1651" s="8">
        <f t="shared" si="127"/>
        <v>2262</v>
      </c>
      <c r="Q1651" s="8">
        <f t="shared" si="128"/>
        <v>147</v>
      </c>
      <c r="R1651" s="2" t="s">
        <v>28</v>
      </c>
      <c r="S1651" s="24">
        <f t="shared" si="129"/>
        <v>0.02</v>
      </c>
    </row>
    <row r="1652" spans="1:19" x14ac:dyDescent="0.25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>VLOOKUP(F1652,'Customer Info'!$A:$B,2,0)</f>
        <v>Brad</v>
      </c>
      <c r="H1652" s="6" t="str">
        <f>VLOOKUP(F1652,'Customer Info'!$A$1:$C$501,3,0)</f>
        <v>Eason</v>
      </c>
      <c r="I1652" s="6" t="str">
        <f>VLOOKUP(F1652,Customer,5,0)</f>
        <v>Bogor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10035</v>
      </c>
      <c r="O1652" s="2">
        <v>69</v>
      </c>
      <c r="P1652" s="8">
        <f t="shared" si="127"/>
        <v>10104</v>
      </c>
      <c r="Q1652" s="8">
        <f t="shared" si="128"/>
        <v>840</v>
      </c>
      <c r="R1652" s="2" t="s">
        <v>26</v>
      </c>
      <c r="S1652" s="24">
        <f t="shared" si="129"/>
        <v>0.05</v>
      </c>
    </row>
    <row r="1653" spans="1:19" x14ac:dyDescent="0.25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>VLOOKUP(F1653,'Customer Info'!$A:$B,2,0)</f>
        <v>Thomas</v>
      </c>
      <c r="H1653" s="6" t="str">
        <f>VLOOKUP(F1653,'Customer Info'!$A$1:$C$501,3,0)</f>
        <v>Brumley</v>
      </c>
      <c r="I1653" s="6" t="str">
        <f>VLOOKUP(F1653,Customer,5,0)</f>
        <v>Launceston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4577</v>
      </c>
      <c r="O1653" s="2">
        <v>36</v>
      </c>
      <c r="P1653" s="8">
        <f t="shared" si="127"/>
        <v>4613</v>
      </c>
      <c r="Q1653" s="8">
        <f t="shared" si="128"/>
        <v>297</v>
      </c>
      <c r="R1653" s="2" t="s">
        <v>28</v>
      </c>
      <c r="S1653" s="24">
        <f t="shared" si="129"/>
        <v>0.02</v>
      </c>
    </row>
    <row r="1654" spans="1:19" x14ac:dyDescent="0.25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>VLOOKUP(F1654,'Customer Info'!$A:$B,2,0)</f>
        <v>Bryan</v>
      </c>
      <c r="H1654" s="6" t="str">
        <f>VLOOKUP(F1654,'Customer Info'!$A$1:$C$501,3,0)</f>
        <v>Spruell</v>
      </c>
      <c r="I1654" s="6" t="str">
        <f>VLOOKUP(F1654,Customer,5,0)</f>
        <v>Bekasi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17934</v>
      </c>
      <c r="O1654" s="2">
        <v>38</v>
      </c>
      <c r="P1654" s="8">
        <f t="shared" si="127"/>
        <v>17972</v>
      </c>
      <c r="Q1654" s="8">
        <f t="shared" si="128"/>
        <v>1632</v>
      </c>
      <c r="R1654" s="2" t="s">
        <v>28</v>
      </c>
      <c r="S1654" s="24">
        <f t="shared" si="129"/>
        <v>0.05</v>
      </c>
    </row>
    <row r="1655" spans="1:19" x14ac:dyDescent="0.25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>VLOOKUP(F1655,'Customer Info'!$A:$B,2,0)</f>
        <v>Adam</v>
      </c>
      <c r="H1655" s="6" t="str">
        <f>VLOOKUP(F1655,'Customer Info'!$A$1:$C$501,3,0)</f>
        <v>Bellavance</v>
      </c>
      <c r="I1655" s="6" t="str">
        <f>VLOOKUP(F1655,Customer,5,0)</f>
        <v>Medan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4359</v>
      </c>
      <c r="O1655" s="2">
        <v>32</v>
      </c>
      <c r="P1655" s="8">
        <f t="shared" si="127"/>
        <v>4391</v>
      </c>
      <c r="Q1655" s="8">
        <f t="shared" si="128"/>
        <v>126</v>
      </c>
      <c r="R1655" s="2" t="s">
        <v>28</v>
      </c>
      <c r="S1655" s="24">
        <f t="shared" si="129"/>
        <v>0.02</v>
      </c>
    </row>
    <row r="1656" spans="1:19" x14ac:dyDescent="0.25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>VLOOKUP(F1656,'Customer Info'!$A:$B,2,0)</f>
        <v>Cassandra</v>
      </c>
      <c r="H1656" s="6" t="str">
        <f>VLOOKUP(F1656,'Customer Info'!$A$1:$C$501,3,0)</f>
        <v>Brandow</v>
      </c>
      <c r="I1656" s="6" t="str">
        <f>VLOOKUP(F1656,Customer,5,0)</f>
        <v>Hamburg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7200</v>
      </c>
      <c r="O1656" s="2">
        <v>32</v>
      </c>
      <c r="P1656" s="8">
        <f t="shared" si="127"/>
        <v>7232</v>
      </c>
      <c r="Q1656" s="8">
        <f t="shared" si="128"/>
        <v>528</v>
      </c>
      <c r="R1656" s="2" t="s">
        <v>56</v>
      </c>
      <c r="S1656" s="24">
        <f t="shared" si="129"/>
        <v>0.05</v>
      </c>
    </row>
    <row r="1657" spans="1:19" x14ac:dyDescent="0.25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>VLOOKUP(F1657,'Customer Info'!$A:$B,2,0)</f>
        <v>Cari</v>
      </c>
      <c r="H1657" s="6" t="str">
        <f>VLOOKUP(F1657,'Customer Info'!$A$1:$C$501,3,0)</f>
        <v>Schnelling</v>
      </c>
      <c r="I1657" s="6" t="str">
        <f>VLOOKUP(F1657,Customer,5,0)</f>
        <v>Agra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73</v>
      </c>
      <c r="O1657" s="2">
        <v>10</v>
      </c>
      <c r="P1657" s="8">
        <f t="shared" si="127"/>
        <v>83</v>
      </c>
      <c r="Q1657" s="8">
        <f t="shared" si="128"/>
        <v>8</v>
      </c>
      <c r="R1657" s="2" t="s">
        <v>28</v>
      </c>
      <c r="S1657" s="24">
        <f t="shared" si="129"/>
        <v>0.02</v>
      </c>
    </row>
    <row r="1658" spans="1:19" x14ac:dyDescent="0.25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>VLOOKUP(F1658,'Customer Info'!$A:$B,2,0)</f>
        <v>Giulietta</v>
      </c>
      <c r="H1658" s="6" t="str">
        <f>VLOOKUP(F1658,'Customer Info'!$A$1:$C$501,3,0)</f>
        <v>Weimer</v>
      </c>
      <c r="I1658" s="6" t="str">
        <f>VLOOKUP(F1658,Customer,5,0)</f>
        <v>Suihua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1530</v>
      </c>
      <c r="O1658" s="2">
        <v>87</v>
      </c>
      <c r="P1658" s="8">
        <f t="shared" si="127"/>
        <v>1617</v>
      </c>
      <c r="Q1658" s="8">
        <f t="shared" si="128"/>
        <v>128</v>
      </c>
      <c r="R1658" s="2" t="s">
        <v>56</v>
      </c>
      <c r="S1658" s="24">
        <f t="shared" si="129"/>
        <v>0.02</v>
      </c>
    </row>
    <row r="1659" spans="1:19" x14ac:dyDescent="0.25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>VLOOKUP(F1659,'Customer Info'!$A:$B,2,0)</f>
        <v>Emily</v>
      </c>
      <c r="H1659" s="6" t="str">
        <f>VLOOKUP(F1659,'Customer Info'!$A$1:$C$501,3,0)</f>
        <v>Burns</v>
      </c>
      <c r="I1659" s="6" t="str">
        <f>VLOOKUP(F1659,Customer,5,0)</f>
        <v>Adelaide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3054</v>
      </c>
      <c r="O1659" s="2">
        <v>52</v>
      </c>
      <c r="P1659" s="8">
        <f t="shared" si="127"/>
        <v>3106</v>
      </c>
      <c r="Q1659" s="8">
        <f t="shared" si="128"/>
        <v>333</v>
      </c>
      <c r="R1659" s="2" t="s">
        <v>50</v>
      </c>
      <c r="S1659" s="24">
        <f t="shared" si="129"/>
        <v>0.02</v>
      </c>
    </row>
    <row r="1660" spans="1:19" x14ac:dyDescent="0.25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>VLOOKUP(F1660,'Customer Info'!$A:$B,2,0)</f>
        <v>Tom</v>
      </c>
      <c r="H1660" s="6" t="str">
        <f>VLOOKUP(F1660,'Customer Info'!$A$1:$C$501,3,0)</f>
        <v>Stivers</v>
      </c>
      <c r="I1660" s="6" t="str">
        <f>VLOOKUP(F1660,Customer,5,0)</f>
        <v>Guangzhou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8361</v>
      </c>
      <c r="O1660" s="2">
        <v>59</v>
      </c>
      <c r="P1660" s="8">
        <f t="shared" si="127"/>
        <v>8420</v>
      </c>
      <c r="Q1660" s="8">
        <f t="shared" si="128"/>
        <v>318</v>
      </c>
      <c r="R1660" s="2" t="s">
        <v>50</v>
      </c>
      <c r="S1660" s="24">
        <f t="shared" si="129"/>
        <v>0.05</v>
      </c>
    </row>
    <row r="1661" spans="1:19" x14ac:dyDescent="0.25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>VLOOKUP(F1661,'Customer Info'!$A:$B,2,0)</f>
        <v>Patricia</v>
      </c>
      <c r="H1661" s="6" t="str">
        <f>VLOOKUP(F1661,'Customer Info'!$A$1:$C$501,3,0)</f>
        <v>Hirasaki</v>
      </c>
      <c r="I1661" s="6" t="str">
        <f>VLOOKUP(F1661,Customer,5,0)</f>
        <v>Pimpri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354</v>
      </c>
      <c r="O1661" s="2">
        <v>30</v>
      </c>
      <c r="P1661" s="8">
        <f t="shared" si="127"/>
        <v>384</v>
      </c>
      <c r="Q1661" s="8">
        <f t="shared" si="128"/>
        <v>16</v>
      </c>
      <c r="R1661" s="2" t="s">
        <v>28</v>
      </c>
      <c r="S1661" s="24">
        <f t="shared" si="129"/>
        <v>0.02</v>
      </c>
    </row>
    <row r="1662" spans="1:19" x14ac:dyDescent="0.25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>VLOOKUP(F1662,'Customer Info'!$A:$B,2,0)</f>
        <v>Brian</v>
      </c>
      <c r="H1662" s="6" t="str">
        <f>VLOOKUP(F1662,'Customer Info'!$A$1:$C$501,3,0)</f>
        <v>DeCherney</v>
      </c>
      <c r="I1662" s="6" t="str">
        <f>VLOOKUP(F1662,Customer,5,0)</f>
        <v>Kendari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11436</v>
      </c>
      <c r="O1662" s="2">
        <v>73</v>
      </c>
      <c r="P1662" s="8">
        <f t="shared" si="127"/>
        <v>11509</v>
      </c>
      <c r="Q1662" s="8">
        <f t="shared" si="128"/>
        <v>648</v>
      </c>
      <c r="R1662" s="2" t="s">
        <v>50</v>
      </c>
      <c r="S1662" s="24">
        <f t="shared" si="129"/>
        <v>0.05</v>
      </c>
    </row>
    <row r="1663" spans="1:19" x14ac:dyDescent="0.25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>VLOOKUP(F1663,'Customer Info'!$A:$B,2,0)</f>
        <v>Marina</v>
      </c>
      <c r="H1663" s="6" t="str">
        <f>VLOOKUP(F1663,'Customer Info'!$A$1:$C$501,3,0)</f>
        <v>Lichtenstein</v>
      </c>
      <c r="I1663" s="6" t="str">
        <f>VLOOKUP(F1663,Customer,5,0)</f>
        <v>Denpasar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1390</v>
      </c>
      <c r="O1663" s="2">
        <v>95</v>
      </c>
      <c r="P1663" s="8">
        <f t="shared" si="127"/>
        <v>1485</v>
      </c>
      <c r="Q1663" s="8">
        <f t="shared" si="128"/>
        <v>68</v>
      </c>
      <c r="R1663" s="2" t="s">
        <v>28</v>
      </c>
      <c r="S1663" s="24">
        <f t="shared" si="129"/>
        <v>0.02</v>
      </c>
    </row>
    <row r="1664" spans="1:19" x14ac:dyDescent="0.25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>VLOOKUP(F1664,'Customer Info'!$A:$B,2,0)</f>
        <v>Tamara</v>
      </c>
      <c r="H1664" s="6" t="str">
        <f>VLOOKUP(F1664,'Customer Info'!$A$1:$C$501,3,0)</f>
        <v>Chand</v>
      </c>
      <c r="I1664" s="6" t="str">
        <f>VLOOKUP(F1664,Customer,5,0)</f>
        <v>Canberra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8950</v>
      </c>
      <c r="O1664" s="2">
        <v>58</v>
      </c>
      <c r="P1664" s="8">
        <f t="shared" si="127"/>
        <v>9008</v>
      </c>
      <c r="Q1664" s="8">
        <f t="shared" si="128"/>
        <v>420</v>
      </c>
      <c r="R1664" s="2" t="s">
        <v>50</v>
      </c>
      <c r="S1664" s="24">
        <f t="shared" si="129"/>
        <v>0.05</v>
      </c>
    </row>
    <row r="1665" spans="1:19" x14ac:dyDescent="0.25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>VLOOKUP(F1665,'Customer Info'!$A:$B,2,0)</f>
        <v>Emily</v>
      </c>
      <c r="H1665" s="6" t="str">
        <f>VLOOKUP(F1665,'Customer Info'!$A$1:$C$501,3,0)</f>
        <v>Burns</v>
      </c>
      <c r="I1665" s="6" t="str">
        <f>VLOOKUP(F1665,Customer,5,0)</f>
        <v>Adelaide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1318</v>
      </c>
      <c r="O1665" s="2">
        <v>33</v>
      </c>
      <c r="P1665" s="8">
        <f t="shared" si="127"/>
        <v>1351</v>
      </c>
      <c r="Q1665" s="8">
        <f t="shared" si="128"/>
        <v>109</v>
      </c>
      <c r="R1665" s="2" t="s">
        <v>50</v>
      </c>
      <c r="S1665" s="24">
        <f t="shared" si="129"/>
        <v>0.02</v>
      </c>
    </row>
    <row r="1666" spans="1:19" x14ac:dyDescent="0.25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>VLOOKUP(F1666,'Customer Info'!$A:$B,2,0)</f>
        <v>Ritsa</v>
      </c>
      <c r="H1666" s="6" t="str">
        <f>VLOOKUP(F1666,'Customer Info'!$A$1:$C$501,3,0)</f>
        <v>Hightower</v>
      </c>
      <c r="I1666" s="6" t="str">
        <f>VLOOKUP(F1666,Customer,5,0)</f>
        <v>Hamburg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5764</v>
      </c>
      <c r="O1666" s="2">
        <v>50</v>
      </c>
      <c r="P1666" s="8">
        <f t="shared" si="127"/>
        <v>5814</v>
      </c>
      <c r="Q1666" s="8">
        <f t="shared" si="128"/>
        <v>324</v>
      </c>
      <c r="R1666" s="2" t="s">
        <v>28</v>
      </c>
      <c r="S1666" s="24">
        <f t="shared" si="129"/>
        <v>0.05</v>
      </c>
    </row>
    <row r="1667" spans="1:19" x14ac:dyDescent="0.25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>VLOOKUP(F1667,'Customer Info'!$A:$B,2,0)</f>
        <v>Steven</v>
      </c>
      <c r="H1667" s="6" t="str">
        <f>VLOOKUP(F1667,'Customer Info'!$A$1:$C$501,3,0)</f>
        <v>Cartwright</v>
      </c>
      <c r="I1667" s="6" t="str">
        <f>VLOOKUP(F1667,Customer,5,0)</f>
        <v>Newcastle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114984</v>
      </c>
      <c r="O1667" s="2">
        <v>52</v>
      </c>
      <c r="P1667" s="8">
        <f t="shared" si="127"/>
        <v>115036</v>
      </c>
      <c r="Q1667" s="8">
        <f t="shared" si="128"/>
        <v>9492</v>
      </c>
      <c r="R1667" s="2" t="s">
        <v>50</v>
      </c>
      <c r="S1667" s="24">
        <f t="shared" si="129"/>
        <v>0.12</v>
      </c>
    </row>
    <row r="1668" spans="1:19" x14ac:dyDescent="0.25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>VLOOKUP(F1668,'Customer Info'!$A:$B,2,0)</f>
        <v>Mike</v>
      </c>
      <c r="H1668" s="6" t="str">
        <f>VLOOKUP(F1668,'Customer Info'!$A$1:$C$501,3,0)</f>
        <v>Vittorini</v>
      </c>
      <c r="I1668" s="6" t="str">
        <f>VLOOKUP(F1668,Customer,5,0)</f>
        <v>Naihati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1058</v>
      </c>
      <c r="O1668" s="2">
        <v>59</v>
      </c>
      <c r="P1668" s="8">
        <f t="shared" si="127"/>
        <v>1117</v>
      </c>
      <c r="Q1668" s="8">
        <f t="shared" si="128"/>
        <v>69</v>
      </c>
      <c r="R1668" s="2" t="s">
        <v>28</v>
      </c>
      <c r="S1668" s="24">
        <f t="shared" si="129"/>
        <v>0.02</v>
      </c>
    </row>
    <row r="1669" spans="1:19" x14ac:dyDescent="0.25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>VLOOKUP(F1669,'Customer Info'!$A:$B,2,0)</f>
        <v>Pauline</v>
      </c>
      <c r="H1669" s="6" t="str">
        <f>VLOOKUP(F1669,'Customer Info'!$A$1:$C$501,3,0)</f>
        <v>Chand</v>
      </c>
      <c r="I1669" s="6" t="str">
        <f>VLOOKUP(F1669,Customer,5,0)</f>
        <v>Perth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15382</v>
      </c>
      <c r="O1669" s="2">
        <v>21</v>
      </c>
      <c r="P1669" s="8">
        <f t="shared" si="127"/>
        <v>15403</v>
      </c>
      <c r="Q1669" s="8">
        <f t="shared" si="128"/>
        <v>872</v>
      </c>
      <c r="R1669" s="2" t="s">
        <v>26</v>
      </c>
      <c r="S1669" s="24">
        <f t="shared" si="129"/>
        <v>0.05</v>
      </c>
    </row>
    <row r="1670" spans="1:19" x14ac:dyDescent="0.25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>VLOOKUP(F1670,'Customer Info'!$A:$B,2,0)</f>
        <v>Craig</v>
      </c>
      <c r="H1670" s="6" t="str">
        <f>VLOOKUP(F1670,'Customer Info'!$A$1:$C$501,3,0)</f>
        <v>Leslie</v>
      </c>
      <c r="I1670" s="6" t="str">
        <f>VLOOKUP(F1670,Customer,5,0)</f>
        <v>Wetzlar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1774</v>
      </c>
      <c r="O1670" s="2">
        <v>54</v>
      </c>
      <c r="P1670" s="8">
        <f t="shared" si="127"/>
        <v>1828</v>
      </c>
      <c r="Q1670" s="8">
        <f t="shared" si="128"/>
        <v>132</v>
      </c>
      <c r="R1670" s="2" t="s">
        <v>28</v>
      </c>
      <c r="S1670" s="24">
        <f t="shared" si="129"/>
        <v>0.02</v>
      </c>
    </row>
    <row r="1671" spans="1:19" x14ac:dyDescent="0.25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>VLOOKUP(F1671,'Customer Info'!$A:$B,2,0)</f>
        <v>Julia</v>
      </c>
      <c r="H1671" s="6" t="str">
        <f>VLOOKUP(F1671,'Customer Info'!$A$1:$C$501,3,0)</f>
        <v>Dunbar</v>
      </c>
      <c r="I1671" s="6" t="str">
        <f>VLOOKUP(F1671,Customer,5,0)</f>
        <v>Cologne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645</v>
      </c>
      <c r="O1671" s="2">
        <v>67</v>
      </c>
      <c r="P1671" s="8">
        <f t="shared" si="127"/>
        <v>712</v>
      </c>
      <c r="Q1671" s="8">
        <f t="shared" si="128"/>
        <v>80</v>
      </c>
      <c r="R1671" s="2" t="s">
        <v>28</v>
      </c>
      <c r="S1671" s="24">
        <f t="shared" si="129"/>
        <v>0.02</v>
      </c>
    </row>
    <row r="1672" spans="1:19" x14ac:dyDescent="0.25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>VLOOKUP(F1672,'Customer Info'!$A:$B,2,0)</f>
        <v>Michael</v>
      </c>
      <c r="H1672" s="6" t="str">
        <f>VLOOKUP(F1672,'Customer Info'!$A$1:$C$501,3,0)</f>
        <v>Nguyen</v>
      </c>
      <c r="I1672" s="6" t="str">
        <f>VLOOKUP(F1672,Customer,5,0)</f>
        <v>Berlin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23073</v>
      </c>
      <c r="O1672" s="2">
        <v>47</v>
      </c>
      <c r="P1672" s="8">
        <f t="shared" si="127"/>
        <v>23120</v>
      </c>
      <c r="Q1672" s="8">
        <f t="shared" si="128"/>
        <v>1308</v>
      </c>
      <c r="R1672" s="2" t="s">
        <v>56</v>
      </c>
      <c r="S1672" s="24">
        <f t="shared" si="129"/>
        <v>0.05</v>
      </c>
    </row>
    <row r="1673" spans="1:19" x14ac:dyDescent="0.25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>VLOOKUP(F1673,'Customer Info'!$A:$B,2,0)</f>
        <v>Bradley</v>
      </c>
      <c r="H1673" s="6" t="str">
        <f>VLOOKUP(F1673,'Customer Info'!$A$1:$C$501,3,0)</f>
        <v>Nguyen</v>
      </c>
      <c r="I1673" s="6" t="str">
        <f>VLOOKUP(F1673,Customer,5,0)</f>
        <v>Shenzhen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19011</v>
      </c>
      <c r="O1673" s="2">
        <v>55</v>
      </c>
      <c r="P1673" s="8">
        <f t="shared" si="127"/>
        <v>19066</v>
      </c>
      <c r="Q1673" s="8">
        <f t="shared" si="128"/>
        <v>366</v>
      </c>
      <c r="R1673" s="2" t="s">
        <v>28</v>
      </c>
      <c r="S1673" s="24">
        <f t="shared" si="129"/>
        <v>0.05</v>
      </c>
    </row>
    <row r="1674" spans="1:19" x14ac:dyDescent="0.25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>VLOOKUP(F1674,'Customer Info'!$A:$B,2,0)</f>
        <v>Carlos</v>
      </c>
      <c r="H1674" s="6" t="str">
        <f>VLOOKUP(F1674,'Customer Info'!$A$1:$C$501,3,0)</f>
        <v>Soltero</v>
      </c>
      <c r="I1674" s="6" t="str">
        <f>VLOOKUP(F1674,Customer,5,0)</f>
        <v>Wodonga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6492</v>
      </c>
      <c r="O1674" s="2">
        <v>53</v>
      </c>
      <c r="P1674" s="8">
        <f t="shared" si="127"/>
        <v>6545</v>
      </c>
      <c r="Q1674" s="8">
        <f t="shared" si="128"/>
        <v>308</v>
      </c>
      <c r="R1674" s="2" t="s">
        <v>28</v>
      </c>
      <c r="S1674" s="24">
        <f t="shared" si="129"/>
        <v>0.05</v>
      </c>
    </row>
    <row r="1675" spans="1:19" x14ac:dyDescent="0.25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>VLOOKUP(F1675,'Customer Info'!$A:$B,2,0)</f>
        <v>Kean</v>
      </c>
      <c r="H1675" s="6" t="str">
        <f>VLOOKUP(F1675,'Customer Info'!$A$1:$C$501,3,0)</f>
        <v>Takahito</v>
      </c>
      <c r="I1675" s="6" t="str">
        <f>VLOOKUP(F1675,Customer,5,0)</f>
        <v>Jakarta</v>
      </c>
      <c r="J1675" s="2">
        <v>90</v>
      </c>
      <c r="K1675" s="2">
        <v>81</v>
      </c>
      <c r="L1675" s="2">
        <v>2</v>
      </c>
      <c r="M1675" s="7">
        <f t="shared" ref="M1675:M1738" si="130">K1675*L1675</f>
        <v>162</v>
      </c>
      <c r="N1675" s="7">
        <f t="shared" ref="N1675:N1738" si="131">J1675*L1675</f>
        <v>180</v>
      </c>
      <c r="O1675" s="2">
        <v>10</v>
      </c>
      <c r="P1675" s="8">
        <f t="shared" ref="P1675:P1738" si="132">N1675+O1675</f>
        <v>190</v>
      </c>
      <c r="Q1675" s="8">
        <f t="shared" ref="Q1675:Q1738" si="133">N1675-M1675</f>
        <v>18</v>
      </c>
      <c r="R1675" s="2" t="s">
        <v>26</v>
      </c>
      <c r="S1675" s="24">
        <f t="shared" ref="S1675:S1738" si="134">VLOOKUP(N1675,$T$1:$U$7,2,TRUE)</f>
        <v>0.02</v>
      </c>
    </row>
    <row r="1676" spans="1:19" x14ac:dyDescent="0.25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>VLOOKUP(F1676,'Customer Info'!$A:$B,2,0)</f>
        <v>Emily</v>
      </c>
      <c r="H1676" s="6" t="str">
        <f>VLOOKUP(F1676,'Customer Info'!$A$1:$C$501,3,0)</f>
        <v>Ducich</v>
      </c>
      <c r="I1676" s="6" t="str">
        <f>VLOOKUP(F1676,Customer,5,0)</f>
        <v>Lohne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8">
        <f t="shared" si="132"/>
        <v>146990</v>
      </c>
      <c r="Q1676" s="8">
        <f t="shared" si="133"/>
        <v>12330</v>
      </c>
      <c r="R1676" s="2" t="s">
        <v>56</v>
      </c>
      <c r="S1676" s="24">
        <f t="shared" si="134"/>
        <v>0.12</v>
      </c>
    </row>
    <row r="1677" spans="1:19" x14ac:dyDescent="0.25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>VLOOKUP(F1677,'Customer Info'!$A:$B,2,0)</f>
        <v>Alice</v>
      </c>
      <c r="H1677" s="6" t="str">
        <f>VLOOKUP(F1677,'Customer Info'!$A$1:$C$501,3,0)</f>
        <v>McCarthy</v>
      </c>
      <c r="I1677" s="6" t="str">
        <f>VLOOKUP(F1677,Customer,5,0)</f>
        <v>Berlin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8">
        <f t="shared" si="132"/>
        <v>5640</v>
      </c>
      <c r="Q1677" s="8">
        <f t="shared" si="133"/>
        <v>264</v>
      </c>
      <c r="R1677" s="2" t="s">
        <v>28</v>
      </c>
      <c r="S1677" s="24">
        <f t="shared" si="134"/>
        <v>0.05</v>
      </c>
    </row>
    <row r="1678" spans="1:19" x14ac:dyDescent="0.25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>VLOOKUP(F1678,'Customer Info'!$A:$B,2,0)</f>
        <v>Justin</v>
      </c>
      <c r="H1678" s="6" t="str">
        <f>VLOOKUP(F1678,'Customer Info'!$A$1:$C$501,3,0)</f>
        <v>Hirsh</v>
      </c>
      <c r="I1678" s="6" t="str">
        <f>VLOOKUP(F1678,Customer,5,0)</f>
        <v>Shangzhi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8">
        <f t="shared" si="132"/>
        <v>447</v>
      </c>
      <c r="Q1678" s="8">
        <f t="shared" si="133"/>
        <v>18</v>
      </c>
      <c r="R1678" s="2" t="s">
        <v>28</v>
      </c>
      <c r="S1678" s="24">
        <f t="shared" si="134"/>
        <v>0.02</v>
      </c>
    </row>
    <row r="1679" spans="1:19" x14ac:dyDescent="0.25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>VLOOKUP(F1679,'Customer Info'!$A:$B,2,0)</f>
        <v>Tamara</v>
      </c>
      <c r="H1679" s="6" t="str">
        <f>VLOOKUP(F1679,'Customer Info'!$A$1:$C$501,3,0)</f>
        <v>Willingham</v>
      </c>
      <c r="I1679" s="6" t="str">
        <f>VLOOKUP(F1679,Customer,5,0)</f>
        <v>Sindelfingen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8">
        <f t="shared" si="132"/>
        <v>64314</v>
      </c>
      <c r="Q1679" s="8">
        <f t="shared" si="133"/>
        <v>5400</v>
      </c>
      <c r="R1679" s="2" t="s">
        <v>50</v>
      </c>
      <c r="S1679" s="24">
        <f t="shared" si="134"/>
        <v>0.09</v>
      </c>
    </row>
    <row r="1680" spans="1:19" x14ac:dyDescent="0.25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>VLOOKUP(F1680,'Customer Info'!$A:$B,2,0)</f>
        <v>Anemone</v>
      </c>
      <c r="H1680" s="6" t="str">
        <f>VLOOKUP(F1680,'Customer Info'!$A$1:$C$501,3,0)</f>
        <v>Ratner</v>
      </c>
      <c r="I1680" s="6" t="str">
        <f>VLOOKUP(F1680,Customer,5,0)</f>
        <v>Pune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374</v>
      </c>
      <c r="O1680" s="2">
        <v>30</v>
      </c>
      <c r="P1680" s="8">
        <f t="shared" si="132"/>
        <v>404</v>
      </c>
      <c r="Q1680" s="8">
        <f t="shared" si="133"/>
        <v>22</v>
      </c>
      <c r="R1680" s="2" t="s">
        <v>28</v>
      </c>
      <c r="S1680" s="24">
        <f t="shared" si="134"/>
        <v>0.02</v>
      </c>
    </row>
    <row r="1681" spans="1:19" x14ac:dyDescent="0.25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>VLOOKUP(F1681,'Customer Info'!$A:$B,2,0)</f>
        <v>Alice</v>
      </c>
      <c r="H1681" s="6" t="str">
        <f>VLOOKUP(F1681,'Customer Info'!$A$1:$C$501,3,0)</f>
        <v>McCarthy</v>
      </c>
      <c r="I1681" s="6" t="str">
        <f>VLOOKUP(F1681,Customer,5,0)</f>
        <v>Berlin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17544</v>
      </c>
      <c r="O1681" s="2">
        <v>21</v>
      </c>
      <c r="P1681" s="8">
        <f t="shared" si="132"/>
        <v>17565</v>
      </c>
      <c r="Q1681" s="8">
        <f t="shared" si="133"/>
        <v>1902</v>
      </c>
      <c r="R1681" s="2" t="s">
        <v>28</v>
      </c>
      <c r="S1681" s="24">
        <f t="shared" si="134"/>
        <v>0.05</v>
      </c>
    </row>
    <row r="1682" spans="1:19" x14ac:dyDescent="0.25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>VLOOKUP(F1682,'Customer Info'!$A:$B,2,0)</f>
        <v>John</v>
      </c>
      <c r="H1682" s="6" t="str">
        <f>VLOOKUP(F1682,'Customer Info'!$A$1:$C$501,3,0)</f>
        <v>Grady</v>
      </c>
      <c r="I1682" s="6" t="str">
        <f>VLOOKUP(F1682,Customer,5,0)</f>
        <v>Mianyang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3024</v>
      </c>
      <c r="O1682" s="2">
        <v>96</v>
      </c>
      <c r="P1682" s="8">
        <f t="shared" si="132"/>
        <v>3120</v>
      </c>
      <c r="Q1682" s="8">
        <f t="shared" si="133"/>
        <v>30</v>
      </c>
      <c r="R1682" s="2" t="s">
        <v>50</v>
      </c>
      <c r="S1682" s="24">
        <f t="shared" si="134"/>
        <v>0.02</v>
      </c>
    </row>
    <row r="1683" spans="1:19" x14ac:dyDescent="0.25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>VLOOKUP(F1683,'Customer Info'!$A:$B,2,0)</f>
        <v>Nick</v>
      </c>
      <c r="H1683" s="6" t="str">
        <f>VLOOKUP(F1683,'Customer Info'!$A$1:$C$501,3,0)</f>
        <v>Zandusky</v>
      </c>
      <c r="I1683" s="6" t="str">
        <f>VLOOKUP(F1683,Customer,5,0)</f>
        <v>Surabaya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248</v>
      </c>
      <c r="O1683" s="2">
        <v>10</v>
      </c>
      <c r="P1683" s="8">
        <f t="shared" si="132"/>
        <v>258</v>
      </c>
      <c r="Q1683" s="8">
        <f t="shared" si="133"/>
        <v>16</v>
      </c>
      <c r="R1683" s="2" t="s">
        <v>50</v>
      </c>
      <c r="S1683" s="24">
        <f t="shared" si="134"/>
        <v>0.02</v>
      </c>
    </row>
    <row r="1684" spans="1:19" x14ac:dyDescent="0.25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>VLOOKUP(F1684,'Customer Info'!$A:$B,2,0)</f>
        <v>Michael</v>
      </c>
      <c r="H1684" s="6" t="str">
        <f>VLOOKUP(F1684,'Customer Info'!$A$1:$C$501,3,0)</f>
        <v>Moore</v>
      </c>
      <c r="I1684" s="6" t="str">
        <f>VLOOKUP(F1684,Customer,5,0)</f>
        <v>Vadodara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3309</v>
      </c>
      <c r="O1684" s="2">
        <v>47</v>
      </c>
      <c r="P1684" s="8">
        <f t="shared" si="132"/>
        <v>3356</v>
      </c>
      <c r="Q1684" s="8">
        <f t="shared" si="133"/>
        <v>219</v>
      </c>
      <c r="R1684" s="2" t="s">
        <v>26</v>
      </c>
      <c r="S1684" s="24">
        <f t="shared" si="134"/>
        <v>0.02</v>
      </c>
    </row>
    <row r="1685" spans="1:19" x14ac:dyDescent="0.25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>VLOOKUP(F1685,'Customer Info'!$A:$B,2,0)</f>
        <v>Sarah</v>
      </c>
      <c r="H1685" s="6" t="str">
        <f>VLOOKUP(F1685,'Customer Info'!$A$1:$C$501,3,0)</f>
        <v>Bern</v>
      </c>
      <c r="I1685" s="6" t="str">
        <f>VLOOKUP(F1685,Customer,5,0)</f>
        <v>Wollongong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276</v>
      </c>
      <c r="O1685" s="2">
        <v>30</v>
      </c>
      <c r="P1685" s="8">
        <f t="shared" si="132"/>
        <v>306</v>
      </c>
      <c r="Q1685" s="8">
        <f t="shared" si="133"/>
        <v>20</v>
      </c>
      <c r="R1685" s="2" t="s">
        <v>28</v>
      </c>
      <c r="S1685" s="24">
        <f t="shared" si="134"/>
        <v>0.02</v>
      </c>
    </row>
    <row r="1686" spans="1:19" x14ac:dyDescent="0.25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>VLOOKUP(F1686,'Customer Info'!$A:$B,2,0)</f>
        <v>Jesus</v>
      </c>
      <c r="H1686" s="6" t="str">
        <f>VLOOKUP(F1686,'Customer Info'!$A$1:$C$501,3,0)</f>
        <v>Ocampo</v>
      </c>
      <c r="I1686" s="6" t="str">
        <f>VLOOKUP(F1686,Customer,5,0)</f>
        <v>Herten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912</v>
      </c>
      <c r="O1686" s="2">
        <v>32</v>
      </c>
      <c r="P1686" s="8">
        <f t="shared" si="132"/>
        <v>944</v>
      </c>
      <c r="Q1686" s="8">
        <f t="shared" si="133"/>
        <v>52</v>
      </c>
      <c r="R1686" s="2" t="s">
        <v>28</v>
      </c>
      <c r="S1686" s="24">
        <f t="shared" si="134"/>
        <v>0.02</v>
      </c>
    </row>
    <row r="1687" spans="1:19" x14ac:dyDescent="0.25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>VLOOKUP(F1687,'Customer Info'!$A:$B,2,0)</f>
        <v>Harry</v>
      </c>
      <c r="H1687" s="6" t="str">
        <f>VLOOKUP(F1687,'Customer Info'!$A$1:$C$501,3,0)</f>
        <v>Marie</v>
      </c>
      <c r="I1687" s="6" t="str">
        <f>VLOOKUP(F1687,Customer,5,0)</f>
        <v>Dortmund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720</v>
      </c>
      <c r="O1687" s="2">
        <v>30</v>
      </c>
      <c r="P1687" s="8">
        <f t="shared" si="132"/>
        <v>750</v>
      </c>
      <c r="Q1687" s="8">
        <f t="shared" si="133"/>
        <v>60</v>
      </c>
      <c r="R1687" s="2" t="s">
        <v>28</v>
      </c>
      <c r="S1687" s="24">
        <f t="shared" si="134"/>
        <v>0.02</v>
      </c>
    </row>
    <row r="1688" spans="1:19" x14ac:dyDescent="0.25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>VLOOKUP(F1688,'Customer Info'!$A:$B,2,0)</f>
        <v>Christina</v>
      </c>
      <c r="H1688" s="6" t="str">
        <f>VLOOKUP(F1688,'Customer Info'!$A$1:$C$501,3,0)</f>
        <v>VanderZanden</v>
      </c>
      <c r="I1688" s="6" t="str">
        <f>VLOOKUP(F1688,Customer,5,0)</f>
        <v>Gold Coast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12390</v>
      </c>
      <c r="O1688" s="2">
        <v>79</v>
      </c>
      <c r="P1688" s="8">
        <f t="shared" si="132"/>
        <v>12469</v>
      </c>
      <c r="Q1688" s="8">
        <f t="shared" si="133"/>
        <v>360</v>
      </c>
      <c r="R1688" s="2" t="s">
        <v>50</v>
      </c>
      <c r="S1688" s="24">
        <f t="shared" si="134"/>
        <v>0.05</v>
      </c>
    </row>
    <row r="1689" spans="1:19" x14ac:dyDescent="0.25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>VLOOKUP(F1689,'Customer Info'!$A:$B,2,0)</f>
        <v>Anemone</v>
      </c>
      <c r="H1689" s="6" t="str">
        <f>VLOOKUP(F1689,'Customer Info'!$A$1:$C$501,3,0)</f>
        <v>Ratner</v>
      </c>
      <c r="I1689" s="6" t="str">
        <f>VLOOKUP(F1689,Customer,5,0)</f>
        <v>Berlin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952</v>
      </c>
      <c r="O1689" s="2">
        <v>30</v>
      </c>
      <c r="P1689" s="8">
        <f t="shared" si="132"/>
        <v>982</v>
      </c>
      <c r="Q1689" s="8">
        <f t="shared" si="133"/>
        <v>56</v>
      </c>
      <c r="R1689" s="2" t="s">
        <v>28</v>
      </c>
      <c r="S1689" s="24">
        <f t="shared" si="134"/>
        <v>0.02</v>
      </c>
    </row>
    <row r="1690" spans="1:19" x14ac:dyDescent="0.25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>VLOOKUP(F1690,'Customer Info'!$A:$B,2,0)</f>
        <v>Pamela</v>
      </c>
      <c r="H1690" s="6" t="str">
        <f>VLOOKUP(F1690,'Customer Info'!$A$1:$C$501,3,0)</f>
        <v>Stobb</v>
      </c>
      <c r="I1690" s="6" t="str">
        <f>VLOOKUP(F1690,Customer,5,0)</f>
        <v>Berlin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7943</v>
      </c>
      <c r="O1690" s="2">
        <v>97</v>
      </c>
      <c r="P1690" s="8">
        <f t="shared" si="132"/>
        <v>8040</v>
      </c>
      <c r="Q1690" s="8">
        <f t="shared" si="133"/>
        <v>153</v>
      </c>
      <c r="R1690" s="2" t="s">
        <v>28</v>
      </c>
      <c r="S1690" s="24">
        <f t="shared" si="134"/>
        <v>0.05</v>
      </c>
    </row>
    <row r="1691" spans="1:19" x14ac:dyDescent="0.25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>VLOOKUP(F1691,'Customer Info'!$A:$B,2,0)</f>
        <v>Dan</v>
      </c>
      <c r="H1691" s="6" t="str">
        <f>VLOOKUP(F1691,'Customer Info'!$A$1:$C$501,3,0)</f>
        <v>Campbell</v>
      </c>
      <c r="I1691" s="6" t="str">
        <f>VLOOKUP(F1691,Customer,5,0)</f>
        <v>Perth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22644</v>
      </c>
      <c r="O1691" s="2">
        <v>94</v>
      </c>
      <c r="P1691" s="8">
        <f t="shared" si="132"/>
        <v>22738</v>
      </c>
      <c r="Q1691" s="8">
        <f t="shared" si="133"/>
        <v>1488</v>
      </c>
      <c r="R1691" s="2" t="s">
        <v>50</v>
      </c>
      <c r="S1691" s="24">
        <f t="shared" si="134"/>
        <v>0.05</v>
      </c>
    </row>
    <row r="1692" spans="1:19" x14ac:dyDescent="0.25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>VLOOKUP(F1692,'Customer Info'!$A:$B,2,0)</f>
        <v>Dave</v>
      </c>
      <c r="H1692" s="6" t="str">
        <f>VLOOKUP(F1692,'Customer Info'!$A$1:$C$501,3,0)</f>
        <v>Hallsten</v>
      </c>
      <c r="I1692" s="6" t="str">
        <f>VLOOKUP(F1692,Customer,5,0)</f>
        <v>Melbourne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6790</v>
      </c>
      <c r="O1692" s="2">
        <v>83</v>
      </c>
      <c r="P1692" s="8">
        <f t="shared" si="132"/>
        <v>6873</v>
      </c>
      <c r="Q1692" s="8">
        <f t="shared" si="133"/>
        <v>320</v>
      </c>
      <c r="R1692" s="2" t="s">
        <v>28</v>
      </c>
      <c r="S1692" s="24">
        <f t="shared" si="134"/>
        <v>0.05</v>
      </c>
    </row>
    <row r="1693" spans="1:19" x14ac:dyDescent="0.25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>VLOOKUP(F1693,'Customer Info'!$A:$B,2,0)</f>
        <v>Laurel</v>
      </c>
      <c r="H1693" s="6" t="str">
        <f>VLOOKUP(F1693,'Customer Info'!$A$1:$C$501,3,0)</f>
        <v>Beltran</v>
      </c>
      <c r="I1693" s="6" t="str">
        <f>VLOOKUP(F1693,Customer,5,0)</f>
        <v>Wuppertal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21864</v>
      </c>
      <c r="O1693" s="2">
        <v>51</v>
      </c>
      <c r="P1693" s="8">
        <f t="shared" si="132"/>
        <v>21915</v>
      </c>
      <c r="Q1693" s="8">
        <f t="shared" si="133"/>
        <v>1232</v>
      </c>
      <c r="R1693" s="2" t="s">
        <v>26</v>
      </c>
      <c r="S1693" s="24">
        <f t="shared" si="134"/>
        <v>0.05</v>
      </c>
    </row>
    <row r="1694" spans="1:19" x14ac:dyDescent="0.25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>VLOOKUP(F1694,'Customer Info'!$A:$B,2,0)</f>
        <v>Tim</v>
      </c>
      <c r="H1694" s="6" t="str">
        <f>VLOOKUP(F1694,'Customer Info'!$A$1:$C$501,3,0)</f>
        <v>Brockman</v>
      </c>
      <c r="I1694" s="6" t="str">
        <f>VLOOKUP(F1694,Customer,5,0)</f>
        <v>Toowoomba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3136</v>
      </c>
      <c r="O1694" s="2">
        <v>74</v>
      </c>
      <c r="P1694" s="8">
        <f t="shared" si="132"/>
        <v>3210</v>
      </c>
      <c r="Q1694" s="8">
        <f t="shared" si="133"/>
        <v>146</v>
      </c>
      <c r="R1694" s="2" t="s">
        <v>28</v>
      </c>
      <c r="S1694" s="24">
        <f t="shared" si="134"/>
        <v>0.02</v>
      </c>
    </row>
    <row r="1695" spans="1:19" x14ac:dyDescent="0.25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>VLOOKUP(F1695,'Customer Info'!$A:$B,2,0)</f>
        <v>Mick</v>
      </c>
      <c r="H1695" s="6" t="str">
        <f>VLOOKUP(F1695,'Customer Info'!$A$1:$C$501,3,0)</f>
        <v>Brown</v>
      </c>
      <c r="I1695" s="6" t="str">
        <f>VLOOKUP(F1695,Customer,5,0)</f>
        <v>Shenzhen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4950</v>
      </c>
      <c r="O1695" s="2">
        <v>50</v>
      </c>
      <c r="P1695" s="8">
        <f t="shared" si="132"/>
        <v>5000</v>
      </c>
      <c r="Q1695" s="8">
        <f t="shared" si="133"/>
        <v>192</v>
      </c>
      <c r="R1695" s="2" t="s">
        <v>50</v>
      </c>
      <c r="S1695" s="24">
        <f t="shared" si="134"/>
        <v>0.02</v>
      </c>
    </row>
    <row r="1696" spans="1:19" x14ac:dyDescent="0.25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>VLOOKUP(F1696,'Customer Info'!$A:$B,2,0)</f>
        <v>Fred</v>
      </c>
      <c r="H1696" s="6" t="str">
        <f>VLOOKUP(F1696,'Customer Info'!$A$1:$C$501,3,0)</f>
        <v>Wasserman</v>
      </c>
      <c r="I1696" s="6" t="str">
        <f>VLOOKUP(F1696,Customer,5,0)</f>
        <v>Willich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126</v>
      </c>
      <c r="O1696" s="2">
        <v>10</v>
      </c>
      <c r="P1696" s="8">
        <f t="shared" si="132"/>
        <v>136</v>
      </c>
      <c r="Q1696" s="8">
        <f t="shared" si="133"/>
        <v>8</v>
      </c>
      <c r="R1696" s="2" t="s">
        <v>28</v>
      </c>
      <c r="S1696" s="24">
        <f t="shared" si="134"/>
        <v>0.02</v>
      </c>
    </row>
    <row r="1697" spans="1:19" x14ac:dyDescent="0.25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>VLOOKUP(F1697,'Customer Info'!$A:$B,2,0)</f>
        <v>Alice</v>
      </c>
      <c r="H1697" s="6" t="str">
        <f>VLOOKUP(F1697,'Customer Info'!$A$1:$C$501,3,0)</f>
        <v>McCarthy</v>
      </c>
      <c r="I1697" s="6" t="str">
        <f>VLOOKUP(F1697,Customer,5,0)</f>
        <v>Berlin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405</v>
      </c>
      <c r="O1697" s="2">
        <v>10</v>
      </c>
      <c r="P1697" s="8">
        <f t="shared" si="132"/>
        <v>415</v>
      </c>
      <c r="Q1697" s="8">
        <f t="shared" si="133"/>
        <v>20</v>
      </c>
      <c r="R1697" s="2" t="s">
        <v>28</v>
      </c>
      <c r="S1697" s="24">
        <f t="shared" si="134"/>
        <v>0.02</v>
      </c>
    </row>
    <row r="1698" spans="1:19" x14ac:dyDescent="0.25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>VLOOKUP(F1698,'Customer Info'!$A:$B,2,0)</f>
        <v>Natalie</v>
      </c>
      <c r="H1698" s="6" t="str">
        <f>VLOOKUP(F1698,'Customer Info'!$A$1:$C$501,3,0)</f>
        <v>Webber</v>
      </c>
      <c r="I1698" s="6" t="str">
        <f>VLOOKUP(F1698,Customer,5,0)</f>
        <v>Ningbo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106130</v>
      </c>
      <c r="O1698" s="2">
        <v>39</v>
      </c>
      <c r="P1698" s="8">
        <f t="shared" si="132"/>
        <v>106169</v>
      </c>
      <c r="Q1698" s="8">
        <f t="shared" si="133"/>
        <v>3055</v>
      </c>
      <c r="R1698" s="2" t="s">
        <v>26</v>
      </c>
      <c r="S1698" s="24">
        <f t="shared" si="134"/>
        <v>0.12</v>
      </c>
    </row>
    <row r="1699" spans="1:19" x14ac:dyDescent="0.25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>VLOOKUP(F1699,'Customer Info'!$A:$B,2,0)</f>
        <v>Becky</v>
      </c>
      <c r="H1699" s="6" t="str">
        <f>VLOOKUP(F1699,'Customer Info'!$A$1:$C$501,3,0)</f>
        <v>Pak</v>
      </c>
      <c r="I1699" s="6" t="str">
        <f>VLOOKUP(F1699,Customer,5,0)</f>
        <v>Geelong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1060</v>
      </c>
      <c r="O1699" s="2">
        <v>43</v>
      </c>
      <c r="P1699" s="8">
        <f t="shared" si="132"/>
        <v>1103</v>
      </c>
      <c r="Q1699" s="8">
        <f t="shared" si="133"/>
        <v>96</v>
      </c>
      <c r="R1699" s="2" t="s">
        <v>28</v>
      </c>
      <c r="S1699" s="24">
        <f t="shared" si="134"/>
        <v>0.02</v>
      </c>
    </row>
    <row r="1700" spans="1:19" x14ac:dyDescent="0.25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>VLOOKUP(F1700,'Customer Info'!$A:$B,2,0)</f>
        <v>Brad</v>
      </c>
      <c r="H1700" s="6" t="str">
        <f>VLOOKUP(F1700,'Customer Info'!$A$1:$C$501,3,0)</f>
        <v>Thomas</v>
      </c>
      <c r="I1700" s="6" t="str">
        <f>VLOOKUP(F1700,Customer,5,0)</f>
        <v>Udaipur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8972</v>
      </c>
      <c r="O1700" s="2">
        <v>60</v>
      </c>
      <c r="P1700" s="8">
        <f t="shared" si="132"/>
        <v>9032</v>
      </c>
      <c r="Q1700" s="8">
        <f t="shared" si="133"/>
        <v>972</v>
      </c>
      <c r="R1700" s="2" t="s">
        <v>28</v>
      </c>
      <c r="S1700" s="24">
        <f t="shared" si="134"/>
        <v>0.05</v>
      </c>
    </row>
    <row r="1701" spans="1:19" x14ac:dyDescent="0.25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>VLOOKUP(F1701,'Customer Info'!$A:$B,2,0)</f>
        <v>Randy</v>
      </c>
      <c r="H1701" s="6" t="str">
        <f>VLOOKUP(F1701,'Customer Info'!$A$1:$C$501,3,0)</f>
        <v>Bradley</v>
      </c>
      <c r="I1701" s="6" t="str">
        <f>VLOOKUP(F1701,Customer,5,0)</f>
        <v>Wollongong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1650</v>
      </c>
      <c r="O1701" s="2">
        <v>30</v>
      </c>
      <c r="P1701" s="8">
        <f t="shared" si="132"/>
        <v>1680</v>
      </c>
      <c r="Q1701" s="8">
        <f t="shared" si="133"/>
        <v>160</v>
      </c>
      <c r="R1701" s="2" t="s">
        <v>28</v>
      </c>
      <c r="S1701" s="24">
        <f t="shared" si="134"/>
        <v>0.02</v>
      </c>
    </row>
    <row r="1702" spans="1:19" x14ac:dyDescent="0.25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>VLOOKUP(F1702,'Customer Info'!$A:$B,2,0)</f>
        <v>Debra</v>
      </c>
      <c r="H1702" s="6" t="str">
        <f>VLOOKUP(F1702,'Customer Info'!$A$1:$C$501,3,0)</f>
        <v>Catini</v>
      </c>
      <c r="I1702" s="6" t="str">
        <f>VLOOKUP(F1702,Customer,5,0)</f>
        <v>Brisbane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11812</v>
      </c>
      <c r="O1702" s="2">
        <v>96</v>
      </c>
      <c r="P1702" s="8">
        <f t="shared" si="132"/>
        <v>11908</v>
      </c>
      <c r="Q1702" s="8">
        <f t="shared" si="133"/>
        <v>1280</v>
      </c>
      <c r="R1702" s="2" t="s">
        <v>56</v>
      </c>
      <c r="S1702" s="24">
        <f t="shared" si="134"/>
        <v>0.05</v>
      </c>
    </row>
    <row r="1703" spans="1:19" x14ac:dyDescent="0.25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>VLOOKUP(F1703,'Customer Info'!$A:$B,2,0)</f>
        <v>Bill</v>
      </c>
      <c r="H1703" s="6" t="str">
        <f>VLOOKUP(F1703,'Customer Info'!$A$1:$C$501,3,0)</f>
        <v>Donatelli</v>
      </c>
      <c r="I1703" s="6" t="str">
        <f>VLOOKUP(F1703,Customer,5,0)</f>
        <v>Kamarhati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2064</v>
      </c>
      <c r="O1703" s="2">
        <v>51</v>
      </c>
      <c r="P1703" s="8">
        <f t="shared" si="132"/>
        <v>2115</v>
      </c>
      <c r="Q1703" s="8">
        <f t="shared" si="133"/>
        <v>172</v>
      </c>
      <c r="R1703" s="2" t="s">
        <v>28</v>
      </c>
      <c r="S1703" s="24">
        <f t="shared" si="134"/>
        <v>0.02</v>
      </c>
    </row>
    <row r="1704" spans="1:19" x14ac:dyDescent="0.25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>VLOOKUP(F1704,'Customer Info'!$A:$B,2,0)</f>
        <v>Alex</v>
      </c>
      <c r="H1704" s="6" t="str">
        <f>VLOOKUP(F1704,'Customer Info'!$A$1:$C$501,3,0)</f>
        <v>Grayson</v>
      </c>
      <c r="I1704" s="6" t="str">
        <f>VLOOKUP(F1704,Customer,5,0)</f>
        <v>Anyang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6747</v>
      </c>
      <c r="O1704" s="2">
        <v>100</v>
      </c>
      <c r="P1704" s="8">
        <f t="shared" si="132"/>
        <v>6847</v>
      </c>
      <c r="Q1704" s="8">
        <f t="shared" si="133"/>
        <v>441</v>
      </c>
      <c r="R1704" s="2" t="s">
        <v>28</v>
      </c>
      <c r="S1704" s="24">
        <f t="shared" si="134"/>
        <v>0.05</v>
      </c>
    </row>
    <row r="1705" spans="1:19" x14ac:dyDescent="0.25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>VLOOKUP(F1705,'Customer Info'!$A:$B,2,0)</f>
        <v>Sheri</v>
      </c>
      <c r="H1705" s="6" t="str">
        <f>VLOOKUP(F1705,'Customer Info'!$A$1:$C$501,3,0)</f>
        <v>Gordon</v>
      </c>
      <c r="I1705" s="6" t="str">
        <f>VLOOKUP(F1705,Customer,5,0)</f>
        <v>Bogor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2044</v>
      </c>
      <c r="O1705" s="2">
        <v>34</v>
      </c>
      <c r="P1705" s="8">
        <f t="shared" si="132"/>
        <v>2078</v>
      </c>
      <c r="Q1705" s="8">
        <f t="shared" si="133"/>
        <v>136</v>
      </c>
      <c r="R1705" s="2" t="s">
        <v>26</v>
      </c>
      <c r="S1705" s="24">
        <f t="shared" si="134"/>
        <v>0.02</v>
      </c>
    </row>
    <row r="1706" spans="1:19" x14ac:dyDescent="0.25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>VLOOKUP(F1706,'Customer Info'!$A:$B,2,0)</f>
        <v>Sarah</v>
      </c>
      <c r="H1706" s="6" t="str">
        <f>VLOOKUP(F1706,'Customer Info'!$A$1:$C$501,3,0)</f>
        <v>Foster</v>
      </c>
      <c r="I1706" s="6" t="str">
        <f>VLOOKUP(F1706,Customer,5,0)</f>
        <v>Harbin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1155</v>
      </c>
      <c r="O1706" s="2">
        <v>30</v>
      </c>
      <c r="P1706" s="8">
        <f t="shared" si="132"/>
        <v>1185</v>
      </c>
      <c r="Q1706" s="8">
        <f t="shared" si="133"/>
        <v>112</v>
      </c>
      <c r="R1706" s="2" t="s">
        <v>28</v>
      </c>
      <c r="S1706" s="24">
        <f t="shared" si="134"/>
        <v>0.02</v>
      </c>
    </row>
    <row r="1707" spans="1:19" x14ac:dyDescent="0.25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>VLOOKUP(F1707,'Customer Info'!$A:$B,2,0)</f>
        <v>Sanjit</v>
      </c>
      <c r="H1707" s="6" t="str">
        <f>VLOOKUP(F1707,'Customer Info'!$A$1:$C$501,3,0)</f>
        <v>Jacobs</v>
      </c>
      <c r="I1707" s="6" t="str">
        <f>VLOOKUP(F1707,Customer,5,0)</f>
        <v>Munich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2228</v>
      </c>
      <c r="O1707" s="2">
        <v>27</v>
      </c>
      <c r="P1707" s="8">
        <f t="shared" si="132"/>
        <v>2255</v>
      </c>
      <c r="Q1707" s="8">
        <f t="shared" si="133"/>
        <v>85</v>
      </c>
      <c r="R1707" s="2" t="s">
        <v>28</v>
      </c>
      <c r="S1707" s="24">
        <f t="shared" si="134"/>
        <v>0.02</v>
      </c>
    </row>
    <row r="1708" spans="1:19" x14ac:dyDescent="0.25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>VLOOKUP(F1708,'Customer Info'!$A:$B,2,0)</f>
        <v>Robert</v>
      </c>
      <c r="H1708" s="6" t="str">
        <f>VLOOKUP(F1708,'Customer Info'!$A$1:$C$501,3,0)</f>
        <v>Dilbeck</v>
      </c>
      <c r="I1708" s="6" t="str">
        <f>VLOOKUP(F1708,Customer,5,0)</f>
        <v>Melton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1358</v>
      </c>
      <c r="O1708" s="2">
        <v>58</v>
      </c>
      <c r="P1708" s="8">
        <f t="shared" si="132"/>
        <v>1416</v>
      </c>
      <c r="Q1708" s="8">
        <f t="shared" si="133"/>
        <v>64</v>
      </c>
      <c r="R1708" s="2" t="s">
        <v>28</v>
      </c>
      <c r="S1708" s="24">
        <f t="shared" si="134"/>
        <v>0.02</v>
      </c>
    </row>
    <row r="1709" spans="1:19" x14ac:dyDescent="0.25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>VLOOKUP(F1709,'Customer Info'!$A:$B,2,0)</f>
        <v>Laurel</v>
      </c>
      <c r="H1709" s="6" t="str">
        <f>VLOOKUP(F1709,'Customer Info'!$A$1:$C$501,3,0)</f>
        <v>Workman</v>
      </c>
      <c r="I1709" s="6" t="str">
        <f>VLOOKUP(F1709,Customer,5,0)</f>
        <v>Leipzig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2178</v>
      </c>
      <c r="O1709" s="2">
        <v>75</v>
      </c>
      <c r="P1709" s="8">
        <f t="shared" si="132"/>
        <v>2253</v>
      </c>
      <c r="Q1709" s="8">
        <f t="shared" si="133"/>
        <v>240</v>
      </c>
      <c r="R1709" s="2" t="s">
        <v>28</v>
      </c>
      <c r="S1709" s="24">
        <f t="shared" si="134"/>
        <v>0.02</v>
      </c>
    </row>
    <row r="1710" spans="1:19" x14ac:dyDescent="0.25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>VLOOKUP(F1710,'Customer Info'!$A:$B,2,0)</f>
        <v>Adrian</v>
      </c>
      <c r="H1710" s="6" t="str">
        <f>VLOOKUP(F1710,'Customer Info'!$A$1:$C$501,3,0)</f>
        <v>Barton</v>
      </c>
      <c r="I1710" s="6" t="str">
        <f>VLOOKUP(F1710,Customer,5,0)</f>
        <v>Wetzlar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42165</v>
      </c>
      <c r="O1710" s="2">
        <v>60</v>
      </c>
      <c r="P1710" s="8">
        <f t="shared" si="132"/>
        <v>42225</v>
      </c>
      <c r="Q1710" s="8">
        <f t="shared" si="133"/>
        <v>3160</v>
      </c>
      <c r="R1710" s="2" t="s">
        <v>50</v>
      </c>
      <c r="S1710" s="24">
        <f t="shared" si="134"/>
        <v>7.0000000000000007E-2</v>
      </c>
    </row>
    <row r="1711" spans="1:19" x14ac:dyDescent="0.25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>VLOOKUP(F1711,'Customer Info'!$A:$B,2,0)</f>
        <v>Ted</v>
      </c>
      <c r="H1711" s="6" t="str">
        <f>VLOOKUP(F1711,'Customer Info'!$A$1:$C$501,3,0)</f>
        <v>Trevino</v>
      </c>
      <c r="I1711" s="6" t="str">
        <f>VLOOKUP(F1711,Customer,5,0)</f>
        <v>Gold Coast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3668</v>
      </c>
      <c r="O1711" s="2">
        <v>27</v>
      </c>
      <c r="P1711" s="8">
        <f t="shared" si="132"/>
        <v>3695</v>
      </c>
      <c r="Q1711" s="8">
        <f t="shared" si="133"/>
        <v>236</v>
      </c>
      <c r="R1711" s="2" t="s">
        <v>50</v>
      </c>
      <c r="S1711" s="24">
        <f t="shared" si="134"/>
        <v>0.02</v>
      </c>
    </row>
    <row r="1712" spans="1:19" x14ac:dyDescent="0.25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>VLOOKUP(F1712,'Customer Info'!$A:$B,2,0)</f>
        <v>Sylvia</v>
      </c>
      <c r="H1712" s="6" t="str">
        <f>VLOOKUP(F1712,'Customer Info'!$A$1:$C$501,3,0)</f>
        <v>Foulston</v>
      </c>
      <c r="I1712" s="6" t="str">
        <f>VLOOKUP(F1712,Customer,5,0)</f>
        <v>Ludwigsburg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112</v>
      </c>
      <c r="O1712" s="2">
        <v>10</v>
      </c>
      <c r="P1712" s="8">
        <f t="shared" si="132"/>
        <v>122</v>
      </c>
      <c r="Q1712" s="8">
        <f t="shared" si="133"/>
        <v>4</v>
      </c>
      <c r="R1712" s="2" t="s">
        <v>50</v>
      </c>
      <c r="S1712" s="24">
        <f t="shared" si="134"/>
        <v>0.02</v>
      </c>
    </row>
    <row r="1713" spans="1:19" x14ac:dyDescent="0.25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>VLOOKUP(F1713,'Customer Info'!$A:$B,2,0)</f>
        <v>Tom</v>
      </c>
      <c r="H1713" s="6" t="str">
        <f>VLOOKUP(F1713,'Customer Info'!$A$1:$C$501,3,0)</f>
        <v>Boeckenhauer</v>
      </c>
      <c r="I1713" s="6" t="str">
        <f>VLOOKUP(F1713,Customer,5,0)</f>
        <v>Neunkirchen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2043</v>
      </c>
      <c r="O1713" s="2">
        <v>77</v>
      </c>
      <c r="P1713" s="8">
        <f t="shared" si="132"/>
        <v>2120</v>
      </c>
      <c r="Q1713" s="8">
        <f t="shared" si="133"/>
        <v>117</v>
      </c>
      <c r="R1713" s="2" t="s">
        <v>50</v>
      </c>
      <c r="S1713" s="24">
        <f t="shared" si="134"/>
        <v>0.02</v>
      </c>
    </row>
    <row r="1714" spans="1:19" x14ac:dyDescent="0.25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>VLOOKUP(F1714,'Customer Info'!$A:$B,2,0)</f>
        <v>Adam</v>
      </c>
      <c r="H1714" s="6" t="str">
        <f>VLOOKUP(F1714,'Customer Info'!$A$1:$C$501,3,0)</f>
        <v>Bellavance</v>
      </c>
      <c r="I1714" s="6" t="str">
        <f>VLOOKUP(F1714,Customer,5,0)</f>
        <v>Medan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639</v>
      </c>
      <c r="O1714" s="2">
        <v>10</v>
      </c>
      <c r="P1714" s="8">
        <f t="shared" si="132"/>
        <v>649</v>
      </c>
      <c r="Q1714" s="8">
        <f t="shared" si="133"/>
        <v>63</v>
      </c>
      <c r="R1714" s="2" t="s">
        <v>50</v>
      </c>
      <c r="S1714" s="24">
        <f t="shared" si="134"/>
        <v>0.02</v>
      </c>
    </row>
    <row r="1715" spans="1:19" x14ac:dyDescent="0.25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>VLOOKUP(F1715,'Customer Info'!$A:$B,2,0)</f>
        <v>Nicole</v>
      </c>
      <c r="H1715" s="6" t="str">
        <f>VLOOKUP(F1715,'Customer Info'!$A$1:$C$501,3,0)</f>
        <v>Fjeld</v>
      </c>
      <c r="I1715" s="6" t="str">
        <f>VLOOKUP(F1715,Customer,5,0)</f>
        <v>Berlin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1176</v>
      </c>
      <c r="O1715" s="2">
        <v>71</v>
      </c>
      <c r="P1715" s="8">
        <f t="shared" si="132"/>
        <v>1247</v>
      </c>
      <c r="Q1715" s="8">
        <f t="shared" si="133"/>
        <v>108</v>
      </c>
      <c r="R1715" s="2" t="s">
        <v>28</v>
      </c>
      <c r="S1715" s="24">
        <f t="shared" si="134"/>
        <v>0.02</v>
      </c>
    </row>
    <row r="1716" spans="1:19" x14ac:dyDescent="0.25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>VLOOKUP(F1716,'Customer Info'!$A:$B,2,0)</f>
        <v>Hunter</v>
      </c>
      <c r="H1716" s="6" t="str">
        <f>VLOOKUP(F1716,'Customer Info'!$A$1:$C$501,3,0)</f>
        <v>Glantz</v>
      </c>
      <c r="I1716" s="6" t="str">
        <f>VLOOKUP(F1716,Customer,5,0)</f>
        <v>Panihati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387</v>
      </c>
      <c r="O1716" s="2">
        <v>30</v>
      </c>
      <c r="P1716" s="8">
        <f t="shared" si="132"/>
        <v>417</v>
      </c>
      <c r="Q1716" s="8">
        <f t="shared" si="133"/>
        <v>33</v>
      </c>
      <c r="R1716" s="2" t="s">
        <v>28</v>
      </c>
      <c r="S1716" s="24">
        <f t="shared" si="134"/>
        <v>0.02</v>
      </c>
    </row>
    <row r="1717" spans="1:19" x14ac:dyDescent="0.25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>VLOOKUP(F1717,'Customer Info'!$A:$B,2,0)</f>
        <v>John</v>
      </c>
      <c r="H1717" s="6" t="str">
        <f>VLOOKUP(F1717,'Customer Info'!$A$1:$C$501,3,0)</f>
        <v>Castell</v>
      </c>
      <c r="I1717" s="6" t="str">
        <f>VLOOKUP(F1717,Customer,5,0)</f>
        <v>Jakarta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12505</v>
      </c>
      <c r="O1717" s="2">
        <v>57</v>
      </c>
      <c r="P1717" s="8">
        <f t="shared" si="132"/>
        <v>12562</v>
      </c>
      <c r="Q1717" s="8">
        <f t="shared" si="133"/>
        <v>700</v>
      </c>
      <c r="R1717" s="2" t="s">
        <v>28</v>
      </c>
      <c r="S1717" s="24">
        <f t="shared" si="134"/>
        <v>0.05</v>
      </c>
    </row>
    <row r="1718" spans="1:19" x14ac:dyDescent="0.25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>VLOOKUP(F1718,'Customer Info'!$A:$B,2,0)</f>
        <v>Maureen</v>
      </c>
      <c r="H1718" s="6" t="str">
        <f>VLOOKUP(F1718,'Customer Info'!$A$1:$C$501,3,0)</f>
        <v>Gastineau</v>
      </c>
      <c r="I1718" s="6" t="str">
        <f>VLOOKUP(F1718,Customer,5,0)</f>
        <v>Melton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7943</v>
      </c>
      <c r="O1718" s="2">
        <v>39</v>
      </c>
      <c r="P1718" s="8">
        <f t="shared" si="132"/>
        <v>7982</v>
      </c>
      <c r="Q1718" s="8">
        <f t="shared" si="133"/>
        <v>153</v>
      </c>
      <c r="R1718" s="2" t="s">
        <v>26</v>
      </c>
      <c r="S1718" s="24">
        <f t="shared" si="134"/>
        <v>0.05</v>
      </c>
    </row>
    <row r="1719" spans="1:19" x14ac:dyDescent="0.25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>VLOOKUP(F1719,'Customer Info'!$A:$B,2,0)</f>
        <v>Brenda</v>
      </c>
      <c r="H1719" s="6" t="str">
        <f>VLOOKUP(F1719,'Customer Info'!$A$1:$C$501,3,0)</f>
        <v>Bowman</v>
      </c>
      <c r="I1719" s="6" t="str">
        <f>VLOOKUP(F1719,Customer,5,0)</f>
        <v>Perth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30306</v>
      </c>
      <c r="O1719" s="2">
        <v>89</v>
      </c>
      <c r="P1719" s="8">
        <f t="shared" si="132"/>
        <v>30395</v>
      </c>
      <c r="Q1719" s="8">
        <f t="shared" si="133"/>
        <v>2502</v>
      </c>
      <c r="R1719" s="2" t="s">
        <v>50</v>
      </c>
      <c r="S1719" s="24">
        <f t="shared" si="134"/>
        <v>7.0000000000000007E-2</v>
      </c>
    </row>
    <row r="1720" spans="1:19" x14ac:dyDescent="0.25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>VLOOKUP(F1720,'Customer Info'!$A:$B,2,0)</f>
        <v>Gary</v>
      </c>
      <c r="H1720" s="6" t="str">
        <f>VLOOKUP(F1720,'Customer Info'!$A$1:$C$501,3,0)</f>
        <v>Mitchum</v>
      </c>
      <c r="I1720" s="6" t="str">
        <f>VLOOKUP(F1720,Customer,5,0)</f>
        <v>Mildura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542</v>
      </c>
      <c r="O1720" s="2">
        <v>87</v>
      </c>
      <c r="P1720" s="8">
        <f t="shared" si="132"/>
        <v>629</v>
      </c>
      <c r="Q1720" s="8">
        <f t="shared" si="133"/>
        <v>50</v>
      </c>
      <c r="R1720" s="2" t="s">
        <v>28</v>
      </c>
      <c r="S1720" s="24">
        <f t="shared" si="134"/>
        <v>0.02</v>
      </c>
    </row>
    <row r="1721" spans="1:19" x14ac:dyDescent="0.25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>VLOOKUP(F1721,'Customer Info'!$A:$B,2,0)</f>
        <v>Darrin</v>
      </c>
      <c r="H1721" s="6" t="str">
        <f>VLOOKUP(F1721,'Customer Info'!$A$1:$C$501,3,0)</f>
        <v>Sayre</v>
      </c>
      <c r="I1721" s="6" t="str">
        <f>VLOOKUP(F1721,Customer,5,0)</f>
        <v>Duisburg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260</v>
      </c>
      <c r="O1721" s="2">
        <v>30</v>
      </c>
      <c r="P1721" s="8">
        <f t="shared" si="132"/>
        <v>290</v>
      </c>
      <c r="Q1721" s="8">
        <f t="shared" si="133"/>
        <v>16</v>
      </c>
      <c r="R1721" s="2" t="s">
        <v>28</v>
      </c>
      <c r="S1721" s="24">
        <f t="shared" si="134"/>
        <v>0.02</v>
      </c>
    </row>
    <row r="1722" spans="1:19" x14ac:dyDescent="0.25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>VLOOKUP(F1722,'Customer Info'!$A:$B,2,0)</f>
        <v>Hilary</v>
      </c>
      <c r="H1722" s="6" t="str">
        <f>VLOOKUP(F1722,'Customer Info'!$A$1:$C$501,3,0)</f>
        <v>Holden</v>
      </c>
      <c r="I1722" s="6" t="str">
        <f>VLOOKUP(F1722,Customer,5,0)</f>
        <v>Mysore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5916</v>
      </c>
      <c r="O1722" s="2">
        <v>26</v>
      </c>
      <c r="P1722" s="8">
        <f t="shared" si="132"/>
        <v>5942</v>
      </c>
      <c r="Q1722" s="8">
        <f t="shared" si="133"/>
        <v>430</v>
      </c>
      <c r="R1722" s="2" t="s">
        <v>50</v>
      </c>
      <c r="S1722" s="24">
        <f t="shared" si="134"/>
        <v>0.05</v>
      </c>
    </row>
    <row r="1723" spans="1:19" x14ac:dyDescent="0.25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>VLOOKUP(F1723,'Customer Info'!$A:$B,2,0)</f>
        <v>Tom</v>
      </c>
      <c r="H1723" s="6" t="str">
        <f>VLOOKUP(F1723,'Customer Info'!$A$1:$C$501,3,0)</f>
        <v>Stivers</v>
      </c>
      <c r="I1723" s="6" t="str">
        <f>VLOOKUP(F1723,Customer,5,0)</f>
        <v>Guangzhou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3136</v>
      </c>
      <c r="O1723" s="2">
        <v>65</v>
      </c>
      <c r="P1723" s="8">
        <f t="shared" si="132"/>
        <v>3201</v>
      </c>
      <c r="Q1723" s="8">
        <f t="shared" si="133"/>
        <v>146</v>
      </c>
      <c r="R1723" s="2" t="s">
        <v>50</v>
      </c>
      <c r="S1723" s="24">
        <f t="shared" si="134"/>
        <v>0.02</v>
      </c>
    </row>
    <row r="1724" spans="1:19" x14ac:dyDescent="0.25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>VLOOKUP(F1724,'Customer Info'!$A:$B,2,0)</f>
        <v>Fred</v>
      </c>
      <c r="H1724" s="6" t="str">
        <f>VLOOKUP(F1724,'Customer Info'!$A$1:$C$501,3,0)</f>
        <v>Wasserman</v>
      </c>
      <c r="I1724" s="6" t="str">
        <f>VLOOKUP(F1724,Customer,5,0)</f>
        <v>Willich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5394</v>
      </c>
      <c r="O1724" s="2">
        <v>51</v>
      </c>
      <c r="P1724" s="8">
        <f t="shared" si="132"/>
        <v>5445</v>
      </c>
      <c r="Q1724" s="8">
        <f t="shared" si="133"/>
        <v>444</v>
      </c>
      <c r="R1724" s="2" t="s">
        <v>28</v>
      </c>
      <c r="S1724" s="24">
        <f t="shared" si="134"/>
        <v>0.05</v>
      </c>
    </row>
    <row r="1725" spans="1:19" x14ac:dyDescent="0.25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>VLOOKUP(F1725,'Customer Info'!$A:$B,2,0)</f>
        <v>Barry</v>
      </c>
      <c r="H1725" s="6" t="str">
        <f>VLOOKUP(F1725,'Customer Info'!$A$1:$C$501,3,0)</f>
        <v>Franzšsisch</v>
      </c>
      <c r="I1725" s="6" t="str">
        <f>VLOOKUP(F1725,Customer,5,0)</f>
        <v>Bendigo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7932</v>
      </c>
      <c r="O1725" s="2">
        <v>38</v>
      </c>
      <c r="P1725" s="8">
        <f t="shared" si="132"/>
        <v>7970</v>
      </c>
      <c r="Q1725" s="8">
        <f t="shared" si="133"/>
        <v>300</v>
      </c>
      <c r="R1725" s="2" t="s">
        <v>50</v>
      </c>
      <c r="S1725" s="24">
        <f t="shared" si="134"/>
        <v>0.05</v>
      </c>
    </row>
    <row r="1726" spans="1:19" x14ac:dyDescent="0.25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>VLOOKUP(F1726,'Customer Info'!$A:$B,2,0)</f>
        <v>Sanjit</v>
      </c>
      <c r="H1726" s="6" t="str">
        <f>VLOOKUP(F1726,'Customer Info'!$A$1:$C$501,3,0)</f>
        <v>Jacobs</v>
      </c>
      <c r="I1726" s="6" t="str">
        <f>VLOOKUP(F1726,Customer,5,0)</f>
        <v>Munich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47760</v>
      </c>
      <c r="O1726" s="2">
        <v>63</v>
      </c>
      <c r="P1726" s="8">
        <f t="shared" si="132"/>
        <v>47823</v>
      </c>
      <c r="Q1726" s="8">
        <f t="shared" si="133"/>
        <v>3510</v>
      </c>
      <c r="R1726" s="2" t="s">
        <v>50</v>
      </c>
      <c r="S1726" s="24">
        <f t="shared" si="134"/>
        <v>7.0000000000000007E-2</v>
      </c>
    </row>
    <row r="1727" spans="1:19" x14ac:dyDescent="0.25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>VLOOKUP(F1727,'Customer Info'!$A:$B,2,0)</f>
        <v>Shirley</v>
      </c>
      <c r="H1727" s="6" t="str">
        <f>VLOOKUP(F1727,'Customer Info'!$A$1:$C$501,3,0)</f>
        <v>Schmidt</v>
      </c>
      <c r="I1727" s="6" t="str">
        <f>VLOOKUP(F1727,Customer,5,0)</f>
        <v>Bijapur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2730</v>
      </c>
      <c r="O1727" s="2">
        <v>25</v>
      </c>
      <c r="P1727" s="8">
        <f t="shared" si="132"/>
        <v>2755</v>
      </c>
      <c r="Q1727" s="8">
        <f t="shared" si="133"/>
        <v>247</v>
      </c>
      <c r="R1727" s="2" t="s">
        <v>28</v>
      </c>
      <c r="S1727" s="24">
        <f t="shared" si="134"/>
        <v>0.02</v>
      </c>
    </row>
    <row r="1728" spans="1:19" x14ac:dyDescent="0.25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>VLOOKUP(F1728,'Customer Info'!$A:$B,2,0)</f>
        <v>Craig</v>
      </c>
      <c r="H1728" s="6" t="str">
        <f>VLOOKUP(F1728,'Customer Info'!$A$1:$C$501,3,0)</f>
        <v>Leslie</v>
      </c>
      <c r="I1728" s="6" t="str">
        <f>VLOOKUP(F1728,Customer,5,0)</f>
        <v>Wetzlar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2631</v>
      </c>
      <c r="O1728" s="2">
        <v>40</v>
      </c>
      <c r="P1728" s="8">
        <f t="shared" si="132"/>
        <v>2671</v>
      </c>
      <c r="Q1728" s="8">
        <f t="shared" si="133"/>
        <v>267</v>
      </c>
      <c r="R1728" s="2" t="s">
        <v>50</v>
      </c>
      <c r="S1728" s="24">
        <f t="shared" si="134"/>
        <v>0.02</v>
      </c>
    </row>
    <row r="1729" spans="1:19" x14ac:dyDescent="0.25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>VLOOKUP(F1729,'Customer Info'!$A:$B,2,0)</f>
        <v>Mick</v>
      </c>
      <c r="H1729" s="6" t="str">
        <f>VLOOKUP(F1729,'Customer Info'!$A$1:$C$501,3,0)</f>
        <v>Crebagga</v>
      </c>
      <c r="I1729" s="6" t="str">
        <f>VLOOKUP(F1729,Customer,5,0)</f>
        <v>Banjarmasin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16758</v>
      </c>
      <c r="O1729" s="2">
        <v>96</v>
      </c>
      <c r="P1729" s="8">
        <f t="shared" si="132"/>
        <v>16854</v>
      </c>
      <c r="Q1729" s="8">
        <f t="shared" si="133"/>
        <v>636</v>
      </c>
      <c r="R1729" s="2" t="s">
        <v>50</v>
      </c>
      <c r="S1729" s="24">
        <f t="shared" si="134"/>
        <v>0.05</v>
      </c>
    </row>
    <row r="1730" spans="1:19" x14ac:dyDescent="0.25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>VLOOKUP(F1730,'Customer Info'!$A:$B,2,0)</f>
        <v>Philisse</v>
      </c>
      <c r="H1730" s="6" t="str">
        <f>VLOOKUP(F1730,'Customer Info'!$A$1:$C$501,3,0)</f>
        <v>Overcash</v>
      </c>
      <c r="I1730" s="6" t="str">
        <f>VLOOKUP(F1730,Customer,5,0)</f>
        <v>Potsdam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1906</v>
      </c>
      <c r="O1730" s="2">
        <v>80</v>
      </c>
      <c r="P1730" s="8">
        <f t="shared" si="132"/>
        <v>1986</v>
      </c>
      <c r="Q1730" s="8">
        <f t="shared" si="133"/>
        <v>108</v>
      </c>
      <c r="R1730" s="2" t="s">
        <v>28</v>
      </c>
      <c r="S1730" s="24">
        <f t="shared" si="134"/>
        <v>0.02</v>
      </c>
    </row>
    <row r="1731" spans="1:19" x14ac:dyDescent="0.25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>VLOOKUP(F1731,'Customer Info'!$A:$B,2,0)</f>
        <v>Brad</v>
      </c>
      <c r="H1731" s="6" t="str">
        <f>VLOOKUP(F1731,'Customer Info'!$A$1:$C$501,3,0)</f>
        <v>Thomas</v>
      </c>
      <c r="I1731" s="6" t="str">
        <f>VLOOKUP(F1731,Customer,5,0)</f>
        <v>Udaipur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6426</v>
      </c>
      <c r="O1731" s="2">
        <v>24</v>
      </c>
      <c r="P1731" s="8">
        <f t="shared" si="132"/>
        <v>6450</v>
      </c>
      <c r="Q1731" s="8">
        <f t="shared" si="133"/>
        <v>413</v>
      </c>
      <c r="R1731" s="2" t="s">
        <v>50</v>
      </c>
      <c r="S1731" s="24">
        <f t="shared" si="134"/>
        <v>0.05</v>
      </c>
    </row>
    <row r="1732" spans="1:19" x14ac:dyDescent="0.25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>VLOOKUP(F1732,'Customer Info'!$A:$B,2,0)</f>
        <v>Sylvia</v>
      </c>
      <c r="H1732" s="6" t="str">
        <f>VLOOKUP(F1732,'Customer Info'!$A$1:$C$501,3,0)</f>
        <v>Foulston</v>
      </c>
      <c r="I1732" s="6" t="str">
        <f>VLOOKUP(F1732,Customer,5,0)</f>
        <v>Ludwigsburg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3341</v>
      </c>
      <c r="O1732" s="2">
        <v>48</v>
      </c>
      <c r="P1732" s="8">
        <f t="shared" si="132"/>
        <v>3389</v>
      </c>
      <c r="Q1732" s="8">
        <f t="shared" si="133"/>
        <v>189</v>
      </c>
      <c r="R1732" s="2" t="s">
        <v>28</v>
      </c>
      <c r="S1732" s="24">
        <f t="shared" si="134"/>
        <v>0.02</v>
      </c>
    </row>
    <row r="1733" spans="1:19" x14ac:dyDescent="0.25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>VLOOKUP(F1733,'Customer Info'!$A:$B,2,0)</f>
        <v>Eileen</v>
      </c>
      <c r="H1733" s="6" t="str">
        <f>VLOOKUP(F1733,'Customer Info'!$A$1:$C$501,3,0)</f>
        <v>Kiefer</v>
      </c>
      <c r="I1733" s="6" t="str">
        <f>VLOOKUP(F1733,Customer,5,0)</f>
        <v>Cologne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7725</v>
      </c>
      <c r="O1733" s="2">
        <v>98</v>
      </c>
      <c r="P1733" s="8">
        <f t="shared" si="132"/>
        <v>7823</v>
      </c>
      <c r="Q1733" s="8">
        <f t="shared" si="133"/>
        <v>295</v>
      </c>
      <c r="R1733" s="2" t="s">
        <v>28</v>
      </c>
      <c r="S1733" s="24">
        <f t="shared" si="134"/>
        <v>0.05</v>
      </c>
    </row>
    <row r="1734" spans="1:19" x14ac:dyDescent="0.25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>VLOOKUP(F1734,'Customer Info'!$A:$B,2,0)</f>
        <v>Erica</v>
      </c>
      <c r="H1734" s="6" t="str">
        <f>VLOOKUP(F1734,'Customer Info'!$A$1:$C$501,3,0)</f>
        <v>Hernandez</v>
      </c>
      <c r="I1734" s="6" t="str">
        <f>VLOOKUP(F1734,Customer,5,0)</f>
        <v>Gold Coast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1022</v>
      </c>
      <c r="O1734" s="2">
        <v>61</v>
      </c>
      <c r="P1734" s="8">
        <f t="shared" si="132"/>
        <v>1083</v>
      </c>
      <c r="Q1734" s="8">
        <f t="shared" si="133"/>
        <v>68</v>
      </c>
      <c r="R1734" s="2" t="s">
        <v>28</v>
      </c>
      <c r="S1734" s="24">
        <f t="shared" si="134"/>
        <v>0.02</v>
      </c>
    </row>
    <row r="1735" spans="1:19" x14ac:dyDescent="0.25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>VLOOKUP(F1735,'Customer Info'!$A:$B,2,0)</f>
        <v>Darrin</v>
      </c>
      <c r="H1735" s="6" t="str">
        <f>VLOOKUP(F1735,'Customer Info'!$A$1:$C$501,3,0)</f>
        <v>Martin</v>
      </c>
      <c r="I1735" s="6" t="str">
        <f>VLOOKUP(F1735,Customer,5,0)</f>
        <v>Berlin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28084</v>
      </c>
      <c r="O1735" s="2">
        <v>26</v>
      </c>
      <c r="P1735" s="8">
        <f t="shared" si="132"/>
        <v>28110</v>
      </c>
      <c r="Q1735" s="8">
        <f t="shared" si="133"/>
        <v>1340</v>
      </c>
      <c r="R1735" s="2" t="s">
        <v>28</v>
      </c>
      <c r="S1735" s="24">
        <f t="shared" si="134"/>
        <v>7.0000000000000007E-2</v>
      </c>
    </row>
    <row r="1736" spans="1:19" x14ac:dyDescent="0.25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>VLOOKUP(F1736,'Customer Info'!$A:$B,2,0)</f>
        <v>Thomas</v>
      </c>
      <c r="H1736" s="6" t="str">
        <f>VLOOKUP(F1736,'Customer Info'!$A$1:$C$501,3,0)</f>
        <v>Seio</v>
      </c>
      <c r="I1736" s="6" t="str">
        <f>VLOOKUP(F1736,Customer,5,0)</f>
        <v>Melbourne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366</v>
      </c>
      <c r="O1736" s="2">
        <v>30</v>
      </c>
      <c r="P1736" s="8">
        <f t="shared" si="132"/>
        <v>396</v>
      </c>
      <c r="Q1736" s="8">
        <f t="shared" si="133"/>
        <v>30</v>
      </c>
      <c r="R1736" s="2" t="s">
        <v>50</v>
      </c>
      <c r="S1736" s="24">
        <f t="shared" si="134"/>
        <v>0.02</v>
      </c>
    </row>
    <row r="1737" spans="1:19" x14ac:dyDescent="0.25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>VLOOKUP(F1737,'Customer Info'!$A:$B,2,0)</f>
        <v>Peter</v>
      </c>
      <c r="H1737" s="6" t="str">
        <f>VLOOKUP(F1737,'Customer Info'!$A$1:$C$501,3,0)</f>
        <v>BŸhler</v>
      </c>
      <c r="I1737" s="6" t="str">
        <f>VLOOKUP(F1737,Customer,5,0)</f>
        <v>Wolfsburg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3535</v>
      </c>
      <c r="O1737" s="2">
        <v>71</v>
      </c>
      <c r="P1737" s="8">
        <f t="shared" si="132"/>
        <v>3606</v>
      </c>
      <c r="Q1737" s="8">
        <f t="shared" si="133"/>
        <v>294</v>
      </c>
      <c r="R1737" s="2" t="s">
        <v>56</v>
      </c>
      <c r="S1737" s="24">
        <f t="shared" si="134"/>
        <v>0.02</v>
      </c>
    </row>
    <row r="1738" spans="1:19" x14ac:dyDescent="0.25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>VLOOKUP(F1738,'Customer Info'!$A:$B,2,0)</f>
        <v>Dave</v>
      </c>
      <c r="H1738" s="6" t="str">
        <f>VLOOKUP(F1738,'Customer Info'!$A$1:$C$501,3,0)</f>
        <v>Hallsten</v>
      </c>
      <c r="I1738" s="6" t="str">
        <f>VLOOKUP(F1738,Customer,5,0)</f>
        <v>Coimbatore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8912</v>
      </c>
      <c r="O1738" s="2">
        <v>41</v>
      </c>
      <c r="P1738" s="8">
        <f t="shared" si="132"/>
        <v>8953</v>
      </c>
      <c r="Q1738" s="8">
        <f t="shared" si="133"/>
        <v>340</v>
      </c>
      <c r="R1738" s="2" t="s">
        <v>28</v>
      </c>
      <c r="S1738" s="24">
        <f t="shared" si="134"/>
        <v>0.05</v>
      </c>
    </row>
    <row r="1739" spans="1:19" x14ac:dyDescent="0.25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>VLOOKUP(F1739,'Customer Info'!$A:$B,2,0)</f>
        <v>Julia</v>
      </c>
      <c r="H1739" s="6" t="str">
        <f>VLOOKUP(F1739,'Customer Info'!$A$1:$C$501,3,0)</f>
        <v>Barnett</v>
      </c>
      <c r="I1739" s="6" t="str">
        <f>VLOOKUP(F1739,Customer,5,0)</f>
        <v>Zhuhai</v>
      </c>
      <c r="J1739" s="2">
        <v>1533</v>
      </c>
      <c r="K1739" s="2">
        <v>1406</v>
      </c>
      <c r="L1739" s="2">
        <v>2</v>
      </c>
      <c r="M1739" s="7">
        <f t="shared" ref="M1739:M1802" si="135">K1739*L1739</f>
        <v>2812</v>
      </c>
      <c r="N1739" s="7">
        <f t="shared" ref="N1739:N1802" si="136">J1739*L1739</f>
        <v>3066</v>
      </c>
      <c r="O1739" s="2">
        <v>22</v>
      </c>
      <c r="P1739" s="8">
        <f t="shared" ref="P1739:P1802" si="137">N1739+O1739</f>
        <v>3088</v>
      </c>
      <c r="Q1739" s="8">
        <f t="shared" ref="Q1739:Q1802" si="138">N1739-M1739</f>
        <v>254</v>
      </c>
      <c r="R1739" s="2" t="s">
        <v>56</v>
      </c>
      <c r="S1739" s="24">
        <f t="shared" ref="S1739:S1802" si="139">VLOOKUP(N1739,$T$1:$U$7,2,TRUE)</f>
        <v>0.02</v>
      </c>
    </row>
    <row r="1740" spans="1:19" x14ac:dyDescent="0.25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>VLOOKUP(F1740,'Customer Info'!$A:$B,2,0)</f>
        <v>Evan</v>
      </c>
      <c r="H1740" s="6" t="str">
        <f>VLOOKUP(F1740,'Customer Info'!$A$1:$C$501,3,0)</f>
        <v>Bailliet</v>
      </c>
      <c r="I1740" s="6" t="str">
        <f>VLOOKUP(F1740,Customer,5,0)</f>
        <v>Brisbane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8">
        <f t="shared" si="137"/>
        <v>2684</v>
      </c>
      <c r="Q1740" s="8">
        <f t="shared" si="138"/>
        <v>216</v>
      </c>
      <c r="R1740" s="2" t="s">
        <v>28</v>
      </c>
      <c r="S1740" s="24">
        <f t="shared" si="139"/>
        <v>0.02</v>
      </c>
    </row>
    <row r="1741" spans="1:19" x14ac:dyDescent="0.25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>VLOOKUP(F1741,'Customer Info'!$A:$B,2,0)</f>
        <v>Gary</v>
      </c>
      <c r="H1741" s="6" t="str">
        <f>VLOOKUP(F1741,'Customer Info'!$A$1:$C$501,3,0)</f>
        <v>Mitchum</v>
      </c>
      <c r="I1741" s="6" t="str">
        <f>VLOOKUP(F1741,Customer,5,0)</f>
        <v>Mildura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8">
        <f t="shared" si="137"/>
        <v>286</v>
      </c>
      <c r="Q1741" s="8">
        <f t="shared" si="138"/>
        <v>20</v>
      </c>
      <c r="R1741" s="2" t="s">
        <v>50</v>
      </c>
      <c r="S1741" s="24">
        <f t="shared" si="139"/>
        <v>0.02</v>
      </c>
    </row>
    <row r="1742" spans="1:19" x14ac:dyDescent="0.25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>VLOOKUP(F1742,'Customer Info'!$A:$B,2,0)</f>
        <v>Roger</v>
      </c>
      <c r="H1742" s="6" t="str">
        <f>VLOOKUP(F1742,'Customer Info'!$A$1:$C$501,3,0)</f>
        <v>Barcio</v>
      </c>
      <c r="I1742" s="6" t="str">
        <f>VLOOKUP(F1742,Customer,5,0)</f>
        <v>Bremen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8">
        <f t="shared" si="137"/>
        <v>50337</v>
      </c>
      <c r="Q1742" s="8">
        <f t="shared" si="138"/>
        <v>2804</v>
      </c>
      <c r="R1742" s="2" t="s">
        <v>28</v>
      </c>
      <c r="S1742" s="24">
        <f t="shared" si="139"/>
        <v>0.09</v>
      </c>
    </row>
    <row r="1743" spans="1:19" x14ac:dyDescent="0.25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>VLOOKUP(F1743,'Customer Info'!$A:$B,2,0)</f>
        <v>Kristina</v>
      </c>
      <c r="H1743" s="6" t="str">
        <f>VLOOKUP(F1743,'Customer Info'!$A$1:$C$501,3,0)</f>
        <v>Nunn</v>
      </c>
      <c r="I1743" s="6" t="str">
        <f>VLOOKUP(F1743,Customer,5,0)</f>
        <v>Sydney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8">
        <f t="shared" si="137"/>
        <v>190</v>
      </c>
      <c r="Q1743" s="8">
        <f t="shared" si="138"/>
        <v>15</v>
      </c>
      <c r="R1743" s="2" t="s">
        <v>28</v>
      </c>
      <c r="S1743" s="24">
        <f t="shared" si="139"/>
        <v>0.02</v>
      </c>
    </row>
    <row r="1744" spans="1:19" x14ac:dyDescent="0.25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>VLOOKUP(F1744,'Customer Info'!$A:$B,2,0)</f>
        <v>Adam</v>
      </c>
      <c r="H1744" s="6" t="str">
        <f>VLOOKUP(F1744,'Customer Info'!$A$1:$C$501,3,0)</f>
        <v>Bellavance</v>
      </c>
      <c r="I1744" s="6" t="str">
        <f>VLOOKUP(F1744,Customer,5,0)</f>
        <v>Medan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6576</v>
      </c>
      <c r="O1744" s="2">
        <v>87</v>
      </c>
      <c r="P1744" s="8">
        <f t="shared" si="137"/>
        <v>6663</v>
      </c>
      <c r="Q1744" s="8">
        <f t="shared" si="138"/>
        <v>494</v>
      </c>
      <c r="R1744" s="2" t="s">
        <v>28</v>
      </c>
      <c r="S1744" s="24">
        <f t="shared" si="139"/>
        <v>0.05</v>
      </c>
    </row>
    <row r="1745" spans="1:19" x14ac:dyDescent="0.25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>VLOOKUP(F1745,'Customer Info'!$A:$B,2,0)</f>
        <v>Max</v>
      </c>
      <c r="H1745" s="6" t="str">
        <f>VLOOKUP(F1745,'Customer Info'!$A$1:$C$501,3,0)</f>
        <v>Ludwig</v>
      </c>
      <c r="I1745" s="6" t="str">
        <f>VLOOKUP(F1745,Customer,5,0)</f>
        <v>Cirebon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2636</v>
      </c>
      <c r="O1745" s="2">
        <v>94</v>
      </c>
      <c r="P1745" s="8">
        <f t="shared" si="137"/>
        <v>2730</v>
      </c>
      <c r="Q1745" s="8">
        <f t="shared" si="138"/>
        <v>218</v>
      </c>
      <c r="R1745" s="2" t="s">
        <v>26</v>
      </c>
      <c r="S1745" s="24">
        <f t="shared" si="139"/>
        <v>0.02</v>
      </c>
    </row>
    <row r="1746" spans="1:19" x14ac:dyDescent="0.25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>VLOOKUP(F1746,'Customer Info'!$A:$B,2,0)</f>
        <v>Delfina</v>
      </c>
      <c r="H1746" s="6" t="str">
        <f>VLOOKUP(F1746,'Customer Info'!$A$1:$C$501,3,0)</f>
        <v>Latchford</v>
      </c>
      <c r="I1746" s="6" t="str">
        <f>VLOOKUP(F1746,Customer,5,0)</f>
        <v>Yogyakarta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2772</v>
      </c>
      <c r="O1746" s="2">
        <v>80</v>
      </c>
      <c r="P1746" s="8">
        <f t="shared" si="137"/>
        <v>2852</v>
      </c>
      <c r="Q1746" s="8">
        <f t="shared" si="138"/>
        <v>104</v>
      </c>
      <c r="R1746" s="2" t="s">
        <v>28</v>
      </c>
      <c r="S1746" s="24">
        <f t="shared" si="139"/>
        <v>0.02</v>
      </c>
    </row>
    <row r="1747" spans="1:19" x14ac:dyDescent="0.25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>VLOOKUP(F1747,'Customer Info'!$A:$B,2,0)</f>
        <v>Craig</v>
      </c>
      <c r="H1747" s="6" t="str">
        <f>VLOOKUP(F1747,'Customer Info'!$A$1:$C$501,3,0)</f>
        <v>Carreira</v>
      </c>
      <c r="I1747" s="6" t="str">
        <f>VLOOKUP(F1747,Customer,5,0)</f>
        <v>Worms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330</v>
      </c>
      <c r="O1747" s="2">
        <v>30</v>
      </c>
      <c r="P1747" s="8">
        <f t="shared" si="137"/>
        <v>360</v>
      </c>
      <c r="Q1747" s="8">
        <f t="shared" si="138"/>
        <v>32</v>
      </c>
      <c r="R1747" s="2" t="s">
        <v>50</v>
      </c>
      <c r="S1747" s="24">
        <f t="shared" si="139"/>
        <v>0.02</v>
      </c>
    </row>
    <row r="1748" spans="1:19" x14ac:dyDescent="0.25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>VLOOKUP(F1748,'Customer Info'!$A:$B,2,0)</f>
        <v>Laurel</v>
      </c>
      <c r="H1748" s="6" t="str">
        <f>VLOOKUP(F1748,'Customer Info'!$A$1:$C$501,3,0)</f>
        <v>Beltran</v>
      </c>
      <c r="I1748" s="6" t="str">
        <f>VLOOKUP(F1748,Customer,5,0)</f>
        <v>Wuppertal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1482</v>
      </c>
      <c r="O1748" s="2">
        <v>75</v>
      </c>
      <c r="P1748" s="8">
        <f t="shared" si="137"/>
        <v>1557</v>
      </c>
      <c r="Q1748" s="8">
        <f t="shared" si="138"/>
        <v>29</v>
      </c>
      <c r="R1748" s="2" t="s">
        <v>28</v>
      </c>
      <c r="S1748" s="24">
        <f t="shared" si="139"/>
        <v>0.02</v>
      </c>
    </row>
    <row r="1749" spans="1:19" x14ac:dyDescent="0.25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>VLOOKUP(F1749,'Customer Info'!$A:$B,2,0)</f>
        <v>Jack</v>
      </c>
      <c r="H1749" s="6" t="str">
        <f>VLOOKUP(F1749,'Customer Info'!$A$1:$C$501,3,0)</f>
        <v>Lebron</v>
      </c>
      <c r="I1749" s="6" t="str">
        <f>VLOOKUP(F1749,Customer,5,0)</f>
        <v>Erftstadt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35364</v>
      </c>
      <c r="O1749" s="2">
        <v>25</v>
      </c>
      <c r="P1749" s="8">
        <f t="shared" si="137"/>
        <v>35389</v>
      </c>
      <c r="Q1749" s="8">
        <f t="shared" si="138"/>
        <v>1638</v>
      </c>
      <c r="R1749" s="2" t="s">
        <v>28</v>
      </c>
      <c r="S1749" s="24">
        <f t="shared" si="139"/>
        <v>7.0000000000000007E-2</v>
      </c>
    </row>
    <row r="1750" spans="1:19" x14ac:dyDescent="0.25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>VLOOKUP(F1750,'Customer Info'!$A:$B,2,0)</f>
        <v>Becky</v>
      </c>
      <c r="H1750" s="6" t="str">
        <f>VLOOKUP(F1750,'Customer Info'!$A$1:$C$501,3,0)</f>
        <v>Pak</v>
      </c>
      <c r="I1750" s="6" t="str">
        <f>VLOOKUP(F1750,Customer,5,0)</f>
        <v>Geelong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786</v>
      </c>
      <c r="O1750" s="2">
        <v>27</v>
      </c>
      <c r="P1750" s="8">
        <f t="shared" si="137"/>
        <v>813</v>
      </c>
      <c r="Q1750" s="8">
        <f t="shared" si="138"/>
        <v>38</v>
      </c>
      <c r="R1750" s="2" t="s">
        <v>50</v>
      </c>
      <c r="S1750" s="24">
        <f t="shared" si="139"/>
        <v>0.02</v>
      </c>
    </row>
    <row r="1751" spans="1:19" x14ac:dyDescent="0.25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>VLOOKUP(F1751,'Customer Info'!$A:$B,2,0)</f>
        <v>Heather</v>
      </c>
      <c r="H1751" s="6" t="str">
        <f>VLOOKUP(F1751,'Customer Info'!$A$1:$C$501,3,0)</f>
        <v>Kirkland</v>
      </c>
      <c r="I1751" s="6" t="str">
        <f>VLOOKUP(F1751,Customer,5,0)</f>
        <v>Luoyang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4911</v>
      </c>
      <c r="O1751" s="2">
        <v>38</v>
      </c>
      <c r="P1751" s="8">
        <f t="shared" si="137"/>
        <v>4949</v>
      </c>
      <c r="Q1751" s="8">
        <f t="shared" si="138"/>
        <v>138</v>
      </c>
      <c r="R1751" s="2" t="s">
        <v>28</v>
      </c>
      <c r="S1751" s="24">
        <f t="shared" si="139"/>
        <v>0.02</v>
      </c>
    </row>
    <row r="1752" spans="1:19" x14ac:dyDescent="0.25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>VLOOKUP(F1752,'Customer Info'!$A:$B,2,0)</f>
        <v>Rachel</v>
      </c>
      <c r="H1752" s="6" t="str">
        <f>VLOOKUP(F1752,'Customer Info'!$A$1:$C$501,3,0)</f>
        <v>Payne</v>
      </c>
      <c r="I1752" s="6" t="str">
        <f>VLOOKUP(F1752,Customer,5,0)</f>
        <v>Raipur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1125</v>
      </c>
      <c r="O1752" s="2">
        <v>43</v>
      </c>
      <c r="P1752" s="8">
        <f t="shared" si="137"/>
        <v>1168</v>
      </c>
      <c r="Q1752" s="8">
        <f t="shared" si="138"/>
        <v>85</v>
      </c>
      <c r="R1752" s="2" t="s">
        <v>26</v>
      </c>
      <c r="S1752" s="24">
        <f t="shared" si="139"/>
        <v>0.02</v>
      </c>
    </row>
    <row r="1753" spans="1:19" x14ac:dyDescent="0.25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>VLOOKUP(F1753,'Customer Info'!$A:$B,2,0)</f>
        <v>Laurel</v>
      </c>
      <c r="H1753" s="6" t="str">
        <f>VLOOKUP(F1753,'Customer Info'!$A$1:$C$501,3,0)</f>
        <v>Elliston</v>
      </c>
      <c r="I1753" s="6" t="str">
        <f>VLOOKUP(F1753,Customer,5,0)</f>
        <v>Tasikmalaya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4704</v>
      </c>
      <c r="O1753" s="2">
        <v>30</v>
      </c>
      <c r="P1753" s="8">
        <f t="shared" si="137"/>
        <v>4734</v>
      </c>
      <c r="Q1753" s="8">
        <f t="shared" si="138"/>
        <v>343</v>
      </c>
      <c r="R1753" s="2" t="s">
        <v>28</v>
      </c>
      <c r="S1753" s="24">
        <f t="shared" si="139"/>
        <v>0.02</v>
      </c>
    </row>
    <row r="1754" spans="1:19" x14ac:dyDescent="0.25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>VLOOKUP(F1754,'Customer Info'!$A:$B,2,0)</f>
        <v>Sanjit</v>
      </c>
      <c r="H1754" s="6" t="str">
        <f>VLOOKUP(F1754,'Customer Info'!$A$1:$C$501,3,0)</f>
        <v>Jacobs</v>
      </c>
      <c r="I1754" s="6" t="str">
        <f>VLOOKUP(F1754,Customer,5,0)</f>
        <v>Munich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8255</v>
      </c>
      <c r="O1754" s="2">
        <v>67</v>
      </c>
      <c r="P1754" s="8">
        <f t="shared" si="137"/>
        <v>8322</v>
      </c>
      <c r="Q1754" s="8">
        <f t="shared" si="138"/>
        <v>235</v>
      </c>
      <c r="R1754" s="2" t="s">
        <v>28</v>
      </c>
      <c r="S1754" s="24">
        <f t="shared" si="139"/>
        <v>0.05</v>
      </c>
    </row>
    <row r="1755" spans="1:19" x14ac:dyDescent="0.25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>VLOOKUP(F1755,'Customer Info'!$A:$B,2,0)</f>
        <v>Thomas</v>
      </c>
      <c r="H1755" s="6" t="str">
        <f>VLOOKUP(F1755,'Customer Info'!$A$1:$C$501,3,0)</f>
        <v>Seio</v>
      </c>
      <c r="I1755" s="6" t="str">
        <f>VLOOKUP(F1755,Customer,5,0)</f>
        <v>Melbourne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26214</v>
      </c>
      <c r="O1755" s="2">
        <v>73</v>
      </c>
      <c r="P1755" s="8">
        <f t="shared" si="137"/>
        <v>26287</v>
      </c>
      <c r="Q1755" s="8">
        <f t="shared" si="138"/>
        <v>1728</v>
      </c>
      <c r="R1755" s="2" t="s">
        <v>28</v>
      </c>
      <c r="S1755" s="24">
        <f t="shared" si="139"/>
        <v>7.0000000000000007E-2</v>
      </c>
    </row>
    <row r="1756" spans="1:19" x14ac:dyDescent="0.25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>VLOOKUP(F1756,'Customer Info'!$A:$B,2,0)</f>
        <v>Max</v>
      </c>
      <c r="H1756" s="6" t="str">
        <f>VLOOKUP(F1756,'Customer Info'!$A$1:$C$501,3,0)</f>
        <v>Ludwig</v>
      </c>
      <c r="I1756" s="6" t="str">
        <f>VLOOKUP(F1756,Customer,5,0)</f>
        <v>Cirebon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7254</v>
      </c>
      <c r="O1756" s="2">
        <v>99</v>
      </c>
      <c r="P1756" s="8">
        <f t="shared" si="137"/>
        <v>7353</v>
      </c>
      <c r="Q1756" s="8">
        <f t="shared" si="138"/>
        <v>408</v>
      </c>
      <c r="R1756" s="2" t="s">
        <v>50</v>
      </c>
      <c r="S1756" s="24">
        <f t="shared" si="139"/>
        <v>0.05</v>
      </c>
    </row>
    <row r="1757" spans="1:19" x14ac:dyDescent="0.25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>VLOOKUP(F1757,'Customer Info'!$A:$B,2,0)</f>
        <v>Cathy</v>
      </c>
      <c r="H1757" s="6" t="str">
        <f>VLOOKUP(F1757,'Customer Info'!$A$1:$C$501,3,0)</f>
        <v>Hwang</v>
      </c>
      <c r="I1757" s="6" t="str">
        <f>VLOOKUP(F1757,Customer,5,0)</f>
        <v>Ballarat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7620</v>
      </c>
      <c r="O1757" s="2">
        <v>87</v>
      </c>
      <c r="P1757" s="8">
        <f t="shared" si="137"/>
        <v>7707</v>
      </c>
      <c r="Q1757" s="8">
        <f t="shared" si="138"/>
        <v>429</v>
      </c>
      <c r="R1757" s="2" t="s">
        <v>28</v>
      </c>
      <c r="S1757" s="24">
        <f t="shared" si="139"/>
        <v>0.05</v>
      </c>
    </row>
    <row r="1758" spans="1:19" x14ac:dyDescent="0.25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>VLOOKUP(F1758,'Customer Info'!$A:$B,2,0)</f>
        <v>Erica</v>
      </c>
      <c r="H1758" s="6" t="str">
        <f>VLOOKUP(F1758,'Customer Info'!$A$1:$C$501,3,0)</f>
        <v>Smith</v>
      </c>
      <c r="I1758" s="6" t="str">
        <f>VLOOKUP(F1758,Customer,5,0)</f>
        <v>Halle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666</v>
      </c>
      <c r="O1758" s="2">
        <v>35</v>
      </c>
      <c r="P1758" s="8">
        <f t="shared" si="137"/>
        <v>701</v>
      </c>
      <c r="Q1758" s="8">
        <f t="shared" si="138"/>
        <v>25</v>
      </c>
      <c r="R1758" s="2" t="s">
        <v>28</v>
      </c>
      <c r="S1758" s="24">
        <f t="shared" si="139"/>
        <v>0.02</v>
      </c>
    </row>
    <row r="1759" spans="1:19" x14ac:dyDescent="0.25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>VLOOKUP(F1759,'Customer Info'!$A:$B,2,0)</f>
        <v>Sheri</v>
      </c>
      <c r="H1759" s="6" t="str">
        <f>VLOOKUP(F1759,'Customer Info'!$A$1:$C$501,3,0)</f>
        <v>Gordon</v>
      </c>
      <c r="I1759" s="6" t="str">
        <f>VLOOKUP(F1759,Customer,5,0)</f>
        <v>Bogor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1032</v>
      </c>
      <c r="O1759" s="2">
        <v>91</v>
      </c>
      <c r="P1759" s="8">
        <f t="shared" si="137"/>
        <v>1123</v>
      </c>
      <c r="Q1759" s="8">
        <f t="shared" si="138"/>
        <v>86</v>
      </c>
      <c r="R1759" s="2" t="s">
        <v>28</v>
      </c>
      <c r="S1759" s="24">
        <f t="shared" si="139"/>
        <v>0.02</v>
      </c>
    </row>
    <row r="1760" spans="1:19" x14ac:dyDescent="0.25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>VLOOKUP(F1760,'Customer Info'!$A:$B,2,0)</f>
        <v>David</v>
      </c>
      <c r="H1760" s="6" t="str">
        <f>VLOOKUP(F1760,'Customer Info'!$A$1:$C$501,3,0)</f>
        <v>Smith</v>
      </c>
      <c r="I1760" s="6" t="str">
        <f>VLOOKUP(F1760,Customer,5,0)</f>
        <v>Surat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520</v>
      </c>
      <c r="O1760" s="2">
        <v>59</v>
      </c>
      <c r="P1760" s="8">
        <f t="shared" si="137"/>
        <v>579</v>
      </c>
      <c r="Q1760" s="8">
        <f t="shared" si="138"/>
        <v>43</v>
      </c>
      <c r="R1760" s="2" t="s">
        <v>28</v>
      </c>
      <c r="S1760" s="24">
        <f t="shared" si="139"/>
        <v>0.02</v>
      </c>
    </row>
    <row r="1761" spans="1:19" x14ac:dyDescent="0.25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>VLOOKUP(F1761,'Customer Info'!$A:$B,2,0)</f>
        <v>Vivek</v>
      </c>
      <c r="H1761" s="6" t="str">
        <f>VLOOKUP(F1761,'Customer Info'!$A$1:$C$501,3,0)</f>
        <v>Sundaresam</v>
      </c>
      <c r="I1761" s="6" t="str">
        <f>VLOOKUP(F1761,Customer,5,0)</f>
        <v>Hamburg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3756</v>
      </c>
      <c r="O1761" s="2">
        <v>74</v>
      </c>
      <c r="P1761" s="8">
        <f t="shared" si="137"/>
        <v>3830</v>
      </c>
      <c r="Q1761" s="8">
        <f t="shared" si="138"/>
        <v>402</v>
      </c>
      <c r="R1761" s="2" t="s">
        <v>50</v>
      </c>
      <c r="S1761" s="24">
        <f t="shared" si="139"/>
        <v>0.02</v>
      </c>
    </row>
    <row r="1762" spans="1:19" x14ac:dyDescent="0.25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>VLOOKUP(F1762,'Customer Info'!$A:$B,2,0)</f>
        <v>Harold</v>
      </c>
      <c r="H1762" s="6" t="str">
        <f>VLOOKUP(F1762,'Customer Info'!$A$1:$C$501,3,0)</f>
        <v>Dahlen</v>
      </c>
      <c r="I1762" s="6" t="str">
        <f>VLOOKUP(F1762,Customer,5,0)</f>
        <v>Jakarta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1618</v>
      </c>
      <c r="O1762" s="2">
        <v>67</v>
      </c>
      <c r="P1762" s="8">
        <f t="shared" si="137"/>
        <v>1685</v>
      </c>
      <c r="Q1762" s="8">
        <f t="shared" si="138"/>
        <v>78</v>
      </c>
      <c r="R1762" s="2" t="s">
        <v>50</v>
      </c>
      <c r="S1762" s="24">
        <f t="shared" si="139"/>
        <v>0.02</v>
      </c>
    </row>
    <row r="1763" spans="1:19" x14ac:dyDescent="0.25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>VLOOKUP(F1763,'Customer Info'!$A:$B,2,0)</f>
        <v>Thomas</v>
      </c>
      <c r="H1763" s="6" t="str">
        <f>VLOOKUP(F1763,'Customer Info'!$A$1:$C$501,3,0)</f>
        <v>Boland</v>
      </c>
      <c r="I1763" s="6" t="str">
        <f>VLOOKUP(F1763,Customer,5,0)</f>
        <v>Surabaya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8160</v>
      </c>
      <c r="O1763" s="2">
        <v>67</v>
      </c>
      <c r="P1763" s="8">
        <f t="shared" si="137"/>
        <v>8227</v>
      </c>
      <c r="Q1763" s="8">
        <f t="shared" si="138"/>
        <v>685</v>
      </c>
      <c r="R1763" s="2" t="s">
        <v>28</v>
      </c>
      <c r="S1763" s="24">
        <f t="shared" si="139"/>
        <v>0.05</v>
      </c>
    </row>
    <row r="1764" spans="1:19" x14ac:dyDescent="0.25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>VLOOKUP(F1764,'Customer Info'!$A:$B,2,0)</f>
        <v>Eric</v>
      </c>
      <c r="H1764" s="6" t="str">
        <f>VLOOKUP(F1764,'Customer Info'!$A$1:$C$501,3,0)</f>
        <v>Barreto</v>
      </c>
      <c r="I1764" s="6" t="str">
        <f>VLOOKUP(F1764,Customer,5,0)</f>
        <v>Liaoyang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1670</v>
      </c>
      <c r="O1764" s="2">
        <v>28</v>
      </c>
      <c r="P1764" s="8">
        <f t="shared" si="137"/>
        <v>1698</v>
      </c>
      <c r="Q1764" s="8">
        <f t="shared" si="138"/>
        <v>78</v>
      </c>
      <c r="R1764" s="2" t="s">
        <v>28</v>
      </c>
      <c r="S1764" s="24">
        <f t="shared" si="139"/>
        <v>0.02</v>
      </c>
    </row>
    <row r="1765" spans="1:19" x14ac:dyDescent="0.25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>VLOOKUP(F1765,'Customer Info'!$A:$B,2,0)</f>
        <v>Debra</v>
      </c>
      <c r="H1765" s="6" t="str">
        <f>VLOOKUP(F1765,'Customer Info'!$A$1:$C$501,3,0)</f>
        <v>Catini</v>
      </c>
      <c r="I1765" s="6" t="str">
        <f>VLOOKUP(F1765,Customer,5,0)</f>
        <v>Brisbane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126</v>
      </c>
      <c r="O1765" s="2">
        <v>10</v>
      </c>
      <c r="P1765" s="8">
        <f t="shared" si="137"/>
        <v>136</v>
      </c>
      <c r="Q1765" s="8">
        <f t="shared" si="138"/>
        <v>10</v>
      </c>
      <c r="R1765" s="2" t="s">
        <v>28</v>
      </c>
      <c r="S1765" s="24">
        <f t="shared" si="139"/>
        <v>0.02</v>
      </c>
    </row>
    <row r="1766" spans="1:19" x14ac:dyDescent="0.25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>VLOOKUP(F1766,'Customer Info'!$A:$B,2,0)</f>
        <v>Darren</v>
      </c>
      <c r="H1766" s="6" t="str">
        <f>VLOOKUP(F1766,'Customer Info'!$A$1:$C$501,3,0)</f>
        <v>Budd</v>
      </c>
      <c r="I1766" s="6" t="str">
        <f>VLOOKUP(F1766,Customer,5,0)</f>
        <v>Jakarta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32104</v>
      </c>
      <c r="O1766" s="2">
        <v>68</v>
      </c>
      <c r="P1766" s="8">
        <f t="shared" si="137"/>
        <v>32172</v>
      </c>
      <c r="Q1766" s="8">
        <f t="shared" si="138"/>
        <v>1816</v>
      </c>
      <c r="R1766" s="2" t="s">
        <v>28</v>
      </c>
      <c r="S1766" s="24">
        <f t="shared" si="139"/>
        <v>7.0000000000000007E-2</v>
      </c>
    </row>
    <row r="1767" spans="1:19" x14ac:dyDescent="0.25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>VLOOKUP(F1767,'Customer Info'!$A:$B,2,0)</f>
        <v>Max</v>
      </c>
      <c r="H1767" s="6" t="str">
        <f>VLOOKUP(F1767,'Customer Info'!$A$1:$C$501,3,0)</f>
        <v>Ludwig</v>
      </c>
      <c r="I1767" s="6" t="str">
        <f>VLOOKUP(F1767,Customer,5,0)</f>
        <v>Newcastle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3224</v>
      </c>
      <c r="O1767" s="2">
        <v>33</v>
      </c>
      <c r="P1767" s="8">
        <f t="shared" si="137"/>
        <v>3257</v>
      </c>
      <c r="Q1767" s="8">
        <f t="shared" si="138"/>
        <v>323</v>
      </c>
      <c r="R1767" s="2" t="s">
        <v>28</v>
      </c>
      <c r="S1767" s="24">
        <f t="shared" si="139"/>
        <v>0.02</v>
      </c>
    </row>
    <row r="1768" spans="1:19" x14ac:dyDescent="0.25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>VLOOKUP(F1768,'Customer Info'!$A:$B,2,0)</f>
        <v>Christine</v>
      </c>
      <c r="H1768" s="6" t="str">
        <f>VLOOKUP(F1768,'Customer Info'!$A$1:$C$501,3,0)</f>
        <v>Abelman</v>
      </c>
      <c r="I1768" s="6" t="str">
        <f>VLOOKUP(F1768,Customer,5,0)</f>
        <v>Nasik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5432</v>
      </c>
      <c r="O1768" s="2">
        <v>86</v>
      </c>
      <c r="P1768" s="8">
        <f t="shared" si="137"/>
        <v>5518</v>
      </c>
      <c r="Q1768" s="8">
        <f t="shared" si="138"/>
        <v>404</v>
      </c>
      <c r="R1768" s="2" t="s">
        <v>50</v>
      </c>
      <c r="S1768" s="24">
        <f t="shared" si="139"/>
        <v>0.05</v>
      </c>
    </row>
    <row r="1769" spans="1:19" x14ac:dyDescent="0.25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>VLOOKUP(F1769,'Customer Info'!$A:$B,2,0)</f>
        <v>Philisse</v>
      </c>
      <c r="H1769" s="6" t="str">
        <f>VLOOKUP(F1769,'Customer Info'!$A$1:$C$501,3,0)</f>
        <v>Overcash</v>
      </c>
      <c r="I1769" s="6" t="str">
        <f>VLOOKUP(F1769,Customer,5,0)</f>
        <v>Potsdam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8520</v>
      </c>
      <c r="O1769" s="2">
        <v>27</v>
      </c>
      <c r="P1769" s="8">
        <f t="shared" si="137"/>
        <v>8547</v>
      </c>
      <c r="Q1769" s="8">
        <f t="shared" si="138"/>
        <v>400</v>
      </c>
      <c r="R1769" s="2" t="s">
        <v>28</v>
      </c>
      <c r="S1769" s="24">
        <f t="shared" si="139"/>
        <v>0.05</v>
      </c>
    </row>
    <row r="1770" spans="1:19" x14ac:dyDescent="0.25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>VLOOKUP(F1770,'Customer Info'!$A:$B,2,0)</f>
        <v>James</v>
      </c>
      <c r="H1770" s="6" t="str">
        <f>VLOOKUP(F1770,'Customer Info'!$A$1:$C$501,3,0)</f>
        <v>Lanier</v>
      </c>
      <c r="I1770" s="6" t="str">
        <f>VLOOKUP(F1770,Customer,5,0)</f>
        <v>Dortmund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270</v>
      </c>
      <c r="O1770" s="2">
        <v>30</v>
      </c>
      <c r="P1770" s="8">
        <f t="shared" si="137"/>
        <v>300</v>
      </c>
      <c r="Q1770" s="8">
        <f t="shared" si="138"/>
        <v>12</v>
      </c>
      <c r="R1770" s="2" t="s">
        <v>28</v>
      </c>
      <c r="S1770" s="24">
        <f t="shared" si="139"/>
        <v>0.02</v>
      </c>
    </row>
    <row r="1771" spans="1:19" x14ac:dyDescent="0.25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>VLOOKUP(F1771,'Customer Info'!$A:$B,2,0)</f>
        <v>Bobby</v>
      </c>
      <c r="H1771" s="6" t="str">
        <f>VLOOKUP(F1771,'Customer Info'!$A$1:$C$501,3,0)</f>
        <v>Odegard</v>
      </c>
      <c r="I1771" s="6" t="str">
        <f>VLOOKUP(F1771,Customer,5,0)</f>
        <v>Adelaide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810</v>
      </c>
      <c r="O1771" s="2">
        <v>30</v>
      </c>
      <c r="P1771" s="8">
        <f t="shared" si="137"/>
        <v>840</v>
      </c>
      <c r="Q1771" s="8">
        <f t="shared" si="138"/>
        <v>70</v>
      </c>
      <c r="R1771" s="2" t="s">
        <v>28</v>
      </c>
      <c r="S1771" s="24">
        <f t="shared" si="139"/>
        <v>0.02</v>
      </c>
    </row>
    <row r="1772" spans="1:19" x14ac:dyDescent="0.25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>VLOOKUP(F1772,'Customer Info'!$A:$B,2,0)</f>
        <v>Victoria</v>
      </c>
      <c r="H1772" s="6" t="str">
        <f>VLOOKUP(F1772,'Customer Info'!$A$1:$C$501,3,0)</f>
        <v>Brennan</v>
      </c>
      <c r="I1772" s="6" t="str">
        <f>VLOOKUP(F1772,Customer,5,0)</f>
        <v>Mangalore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6272</v>
      </c>
      <c r="O1772" s="2">
        <v>97</v>
      </c>
      <c r="P1772" s="8">
        <f t="shared" si="137"/>
        <v>6369</v>
      </c>
      <c r="Q1772" s="8">
        <f t="shared" si="138"/>
        <v>292</v>
      </c>
      <c r="R1772" s="2" t="s">
        <v>28</v>
      </c>
      <c r="S1772" s="24">
        <f t="shared" si="139"/>
        <v>0.05</v>
      </c>
    </row>
    <row r="1773" spans="1:19" x14ac:dyDescent="0.25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>VLOOKUP(F1773,'Customer Info'!$A:$B,2,0)</f>
        <v>Alan</v>
      </c>
      <c r="H1773" s="6" t="str">
        <f>VLOOKUP(F1773,'Customer Info'!$A$1:$C$501,3,0)</f>
        <v>Schoenberger</v>
      </c>
      <c r="I1773" s="6" t="str">
        <f>VLOOKUP(F1773,Customer,5,0)</f>
        <v>Anshan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5412</v>
      </c>
      <c r="O1773" s="2">
        <v>31</v>
      </c>
      <c r="P1773" s="8">
        <f t="shared" si="137"/>
        <v>5443</v>
      </c>
      <c r="Q1773" s="8">
        <f t="shared" si="138"/>
        <v>306</v>
      </c>
      <c r="R1773" s="2" t="s">
        <v>28</v>
      </c>
      <c r="S1773" s="24">
        <f t="shared" si="139"/>
        <v>0.05</v>
      </c>
    </row>
    <row r="1774" spans="1:19" x14ac:dyDescent="0.25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>VLOOKUP(F1774,'Customer Info'!$A:$B,2,0)</f>
        <v>Erin</v>
      </c>
      <c r="H1774" s="6" t="str">
        <f>VLOOKUP(F1774,'Customer Info'!$A$1:$C$501,3,0)</f>
        <v>Smith</v>
      </c>
      <c r="I1774" s="6" t="str">
        <f>VLOOKUP(F1774,Customer,5,0)</f>
        <v>Yuci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405</v>
      </c>
      <c r="O1774" s="2">
        <v>30</v>
      </c>
      <c r="P1774" s="8">
        <f t="shared" si="137"/>
        <v>435</v>
      </c>
      <c r="Q1774" s="8">
        <f t="shared" si="138"/>
        <v>27</v>
      </c>
      <c r="R1774" s="2" t="s">
        <v>28</v>
      </c>
      <c r="S1774" s="24">
        <f t="shared" si="139"/>
        <v>0.02</v>
      </c>
    </row>
    <row r="1775" spans="1:19" x14ac:dyDescent="0.25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>VLOOKUP(F1775,'Customer Info'!$A:$B,2,0)</f>
        <v>Xylona</v>
      </c>
      <c r="H1775" s="6" t="str">
        <f>VLOOKUP(F1775,'Customer Info'!$A$1:$C$501,3,0)</f>
        <v>Preis</v>
      </c>
      <c r="I1775" s="6" t="str">
        <f>VLOOKUP(F1775,Customer,5,0)</f>
        <v>Suining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5355</v>
      </c>
      <c r="O1775" s="2">
        <v>75</v>
      </c>
      <c r="P1775" s="8">
        <f t="shared" si="137"/>
        <v>5430</v>
      </c>
      <c r="Q1775" s="8">
        <f t="shared" si="138"/>
        <v>305</v>
      </c>
      <c r="R1775" s="2" t="s">
        <v>28</v>
      </c>
      <c r="S1775" s="24">
        <f t="shared" si="139"/>
        <v>0.05</v>
      </c>
    </row>
    <row r="1776" spans="1:19" x14ac:dyDescent="0.25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>VLOOKUP(F1776,'Customer Info'!$A:$B,2,0)</f>
        <v>Valerie</v>
      </c>
      <c r="H1776" s="6" t="str">
        <f>VLOOKUP(F1776,'Customer Info'!$A$1:$C$501,3,0)</f>
        <v>Takahito</v>
      </c>
      <c r="I1776" s="6" t="str">
        <f>VLOOKUP(F1776,Customer,5,0)</f>
        <v>Surat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875</v>
      </c>
      <c r="O1776" s="2">
        <v>30</v>
      </c>
      <c r="P1776" s="8">
        <f t="shared" si="137"/>
        <v>905</v>
      </c>
      <c r="Q1776" s="8">
        <f t="shared" si="138"/>
        <v>84</v>
      </c>
      <c r="R1776" s="2" t="s">
        <v>28</v>
      </c>
      <c r="S1776" s="24">
        <f t="shared" si="139"/>
        <v>0.02</v>
      </c>
    </row>
    <row r="1777" spans="1:19" x14ac:dyDescent="0.25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>VLOOKUP(F1777,'Customer Info'!$A:$B,2,0)</f>
        <v>Aaron</v>
      </c>
      <c r="H1777" s="6" t="str">
        <f>VLOOKUP(F1777,'Customer Info'!$A$1:$C$501,3,0)</f>
        <v>Hawkins</v>
      </c>
      <c r="I1777" s="6" t="str">
        <f>VLOOKUP(F1777,Customer,5,0)</f>
        <v>Minden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12090</v>
      </c>
      <c r="O1777" s="2">
        <v>28</v>
      </c>
      <c r="P1777" s="8">
        <f t="shared" si="137"/>
        <v>12118</v>
      </c>
      <c r="Q1777" s="8">
        <f t="shared" si="138"/>
        <v>680</v>
      </c>
      <c r="R1777" s="2" t="s">
        <v>28</v>
      </c>
      <c r="S1777" s="24">
        <f t="shared" si="139"/>
        <v>0.05</v>
      </c>
    </row>
    <row r="1778" spans="1:19" x14ac:dyDescent="0.25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>VLOOKUP(F1778,'Customer Info'!$A:$B,2,0)</f>
        <v>Peter</v>
      </c>
      <c r="H1778" s="6" t="str">
        <f>VLOOKUP(F1778,'Customer Info'!$A$1:$C$501,3,0)</f>
        <v>BŸhler</v>
      </c>
      <c r="I1778" s="6" t="str">
        <f>VLOOKUP(F1778,Customer,5,0)</f>
        <v>Dresden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9606</v>
      </c>
      <c r="O1778" s="2">
        <v>87</v>
      </c>
      <c r="P1778" s="8">
        <f t="shared" si="137"/>
        <v>9693</v>
      </c>
      <c r="Q1778" s="8">
        <f t="shared" si="138"/>
        <v>546</v>
      </c>
      <c r="R1778" s="2" t="s">
        <v>28</v>
      </c>
      <c r="S1778" s="24">
        <f t="shared" si="139"/>
        <v>0.05</v>
      </c>
    </row>
    <row r="1779" spans="1:19" x14ac:dyDescent="0.25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>VLOOKUP(F1779,'Customer Info'!$A:$B,2,0)</f>
        <v>Susan</v>
      </c>
      <c r="H1779" s="6" t="str">
        <f>VLOOKUP(F1779,'Customer Info'!$A$1:$C$501,3,0)</f>
        <v>Pistek</v>
      </c>
      <c r="I1779" s="6" t="str">
        <f>VLOOKUP(F1779,Customer,5,0)</f>
        <v>Padang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668</v>
      </c>
      <c r="O1779" s="2">
        <v>30</v>
      </c>
      <c r="P1779" s="8">
        <f t="shared" si="137"/>
        <v>698</v>
      </c>
      <c r="Q1779" s="8">
        <f t="shared" si="138"/>
        <v>60</v>
      </c>
      <c r="R1779" s="2" t="s">
        <v>28</v>
      </c>
      <c r="S1779" s="24">
        <f t="shared" si="139"/>
        <v>0.02</v>
      </c>
    </row>
    <row r="1780" spans="1:19" x14ac:dyDescent="0.25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>VLOOKUP(F1780,'Customer Info'!$A:$B,2,0)</f>
        <v>Harold</v>
      </c>
      <c r="H1780" s="6" t="str">
        <f>VLOOKUP(F1780,'Customer Info'!$A$1:$C$501,3,0)</f>
        <v>Dahlen</v>
      </c>
      <c r="I1780" s="6" t="str">
        <f>VLOOKUP(F1780,Customer,5,0)</f>
        <v>Jakarta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5991</v>
      </c>
      <c r="O1780" s="2">
        <v>34</v>
      </c>
      <c r="P1780" s="8">
        <f t="shared" si="137"/>
        <v>6025</v>
      </c>
      <c r="Q1780" s="8">
        <f t="shared" si="138"/>
        <v>543</v>
      </c>
      <c r="R1780" s="2" t="s">
        <v>28</v>
      </c>
      <c r="S1780" s="24">
        <f t="shared" si="139"/>
        <v>0.05</v>
      </c>
    </row>
    <row r="1781" spans="1:19" x14ac:dyDescent="0.25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>VLOOKUP(F1781,'Customer Info'!$A:$B,2,0)</f>
        <v>Darrin</v>
      </c>
      <c r="H1781" s="6" t="str">
        <f>VLOOKUP(F1781,'Customer Info'!$A$1:$C$501,3,0)</f>
        <v>Martin</v>
      </c>
      <c r="I1781" s="6" t="str">
        <f>VLOOKUP(F1781,Customer,5,0)</f>
        <v>Berlin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8895</v>
      </c>
      <c r="O1781" s="2">
        <v>50</v>
      </c>
      <c r="P1781" s="8">
        <f t="shared" si="137"/>
        <v>8945</v>
      </c>
      <c r="Q1781" s="8">
        <f t="shared" si="138"/>
        <v>813</v>
      </c>
      <c r="R1781" s="2" t="s">
        <v>28</v>
      </c>
      <c r="S1781" s="24">
        <f t="shared" si="139"/>
        <v>0.05</v>
      </c>
    </row>
    <row r="1782" spans="1:19" x14ac:dyDescent="0.25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>VLOOKUP(F1782,'Customer Info'!$A:$B,2,0)</f>
        <v>Rick</v>
      </c>
      <c r="H1782" s="6" t="str">
        <f>VLOOKUP(F1782,'Customer Info'!$A$1:$C$501,3,0)</f>
        <v>Duston</v>
      </c>
      <c r="I1782" s="6" t="str">
        <f>VLOOKUP(F1782,Customer,5,0)</f>
        <v>Bhiwandi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104338</v>
      </c>
      <c r="O1782" s="2">
        <v>56</v>
      </c>
      <c r="P1782" s="8">
        <f t="shared" si="137"/>
        <v>104394</v>
      </c>
      <c r="Q1782" s="8">
        <f t="shared" si="138"/>
        <v>5902</v>
      </c>
      <c r="R1782" s="2" t="s">
        <v>28</v>
      </c>
      <c r="S1782" s="24">
        <f t="shared" si="139"/>
        <v>0.12</v>
      </c>
    </row>
    <row r="1783" spans="1:19" x14ac:dyDescent="0.25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>VLOOKUP(F1783,'Customer Info'!$A:$B,2,0)</f>
        <v>Dianna</v>
      </c>
      <c r="H1783" s="6" t="str">
        <f>VLOOKUP(F1783,'Customer Info'!$A$1:$C$501,3,0)</f>
        <v>Vittorini</v>
      </c>
      <c r="I1783" s="6" t="str">
        <f>VLOOKUP(F1783,Customer,5,0)</f>
        <v>Gold Coast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6182</v>
      </c>
      <c r="O1783" s="2">
        <v>94</v>
      </c>
      <c r="P1783" s="8">
        <f t="shared" si="137"/>
        <v>6276</v>
      </c>
      <c r="Q1783" s="8">
        <f t="shared" si="138"/>
        <v>404</v>
      </c>
      <c r="R1783" s="2" t="s">
        <v>56</v>
      </c>
      <c r="S1783" s="24">
        <f t="shared" si="139"/>
        <v>0.05</v>
      </c>
    </row>
    <row r="1784" spans="1:19" x14ac:dyDescent="0.25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>VLOOKUP(F1784,'Customer Info'!$A:$B,2,0)</f>
        <v>Mike</v>
      </c>
      <c r="H1784" s="6" t="str">
        <f>VLOOKUP(F1784,'Customer Info'!$A$1:$C$501,3,0)</f>
        <v>Pelletier</v>
      </c>
      <c r="I1784" s="6" t="str">
        <f>VLOOKUP(F1784,Customer,5,0)</f>
        <v>Gorakhpur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45948</v>
      </c>
      <c r="O1784" s="2">
        <v>32</v>
      </c>
      <c r="P1784" s="8">
        <f t="shared" si="137"/>
        <v>45980</v>
      </c>
      <c r="Q1784" s="8">
        <f t="shared" si="138"/>
        <v>3792</v>
      </c>
      <c r="R1784" s="2" t="s">
        <v>28</v>
      </c>
      <c r="S1784" s="24">
        <f t="shared" si="139"/>
        <v>7.0000000000000007E-2</v>
      </c>
    </row>
    <row r="1785" spans="1:19" x14ac:dyDescent="0.25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>VLOOKUP(F1785,'Customer Info'!$A:$B,2,0)</f>
        <v>Lindsay</v>
      </c>
      <c r="H1785" s="6" t="str">
        <f>VLOOKUP(F1785,'Customer Info'!$A$1:$C$501,3,0)</f>
        <v>Shagiari</v>
      </c>
      <c r="I1785" s="6" t="str">
        <f>VLOOKUP(F1785,Customer,5,0)</f>
        <v>Canberra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378</v>
      </c>
      <c r="O1785" s="2">
        <v>10</v>
      </c>
      <c r="P1785" s="8">
        <f t="shared" si="137"/>
        <v>388</v>
      </c>
      <c r="Q1785" s="8">
        <f t="shared" si="138"/>
        <v>24</v>
      </c>
      <c r="R1785" s="2" t="s">
        <v>50</v>
      </c>
      <c r="S1785" s="24">
        <f t="shared" si="139"/>
        <v>0.02</v>
      </c>
    </row>
    <row r="1786" spans="1:19" x14ac:dyDescent="0.25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>VLOOKUP(F1786,'Customer Info'!$A:$B,2,0)</f>
        <v>Steven</v>
      </c>
      <c r="H1786" s="6" t="str">
        <f>VLOOKUP(F1786,'Customer Info'!$A$1:$C$501,3,0)</f>
        <v>Cartwright</v>
      </c>
      <c r="I1786" s="6" t="str">
        <f>VLOOKUP(F1786,Customer,5,0)</f>
        <v>Newcastle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54198</v>
      </c>
      <c r="O1786" s="2">
        <v>93</v>
      </c>
      <c r="P1786" s="8">
        <f t="shared" si="137"/>
        <v>54291</v>
      </c>
      <c r="Q1786" s="8">
        <f t="shared" si="138"/>
        <v>5406</v>
      </c>
      <c r="R1786" s="2" t="s">
        <v>50</v>
      </c>
      <c r="S1786" s="24">
        <f t="shared" si="139"/>
        <v>0.09</v>
      </c>
    </row>
    <row r="1787" spans="1:19" x14ac:dyDescent="0.25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>VLOOKUP(F1787,'Customer Info'!$A:$B,2,0)</f>
        <v>Joy</v>
      </c>
      <c r="H1787" s="6" t="str">
        <f>VLOOKUP(F1787,'Customer Info'!$A$1:$C$501,3,0)</f>
        <v>Bell</v>
      </c>
      <c r="I1787" s="6" t="str">
        <f>VLOOKUP(F1787,Customer,5,0)</f>
        <v>Tongchuan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72114</v>
      </c>
      <c r="O1787" s="2">
        <v>37</v>
      </c>
      <c r="P1787" s="8">
        <f t="shared" si="137"/>
        <v>72151</v>
      </c>
      <c r="Q1787" s="8">
        <f t="shared" si="138"/>
        <v>4058</v>
      </c>
      <c r="R1787" s="2" t="s">
        <v>28</v>
      </c>
      <c r="S1787" s="24">
        <f t="shared" si="139"/>
        <v>0.09</v>
      </c>
    </row>
    <row r="1788" spans="1:19" x14ac:dyDescent="0.25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>VLOOKUP(F1788,'Customer Info'!$A:$B,2,0)</f>
        <v>Dionis</v>
      </c>
      <c r="H1788" s="6" t="str">
        <f>VLOOKUP(F1788,'Customer Info'!$A$1:$C$501,3,0)</f>
        <v>Lloyd</v>
      </c>
      <c r="I1788" s="6" t="str">
        <f>VLOOKUP(F1788,Customer,5,0)</f>
        <v>Kamarhati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6642</v>
      </c>
      <c r="O1788" s="2">
        <v>91</v>
      </c>
      <c r="P1788" s="8">
        <f t="shared" si="137"/>
        <v>6733</v>
      </c>
      <c r="Q1788" s="8">
        <f t="shared" si="138"/>
        <v>664</v>
      </c>
      <c r="R1788" s="2" t="s">
        <v>50</v>
      </c>
      <c r="S1788" s="24">
        <f t="shared" si="139"/>
        <v>0.05</v>
      </c>
    </row>
    <row r="1789" spans="1:19" x14ac:dyDescent="0.25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>VLOOKUP(F1789,'Customer Info'!$A:$B,2,0)</f>
        <v>Christopher</v>
      </c>
      <c r="H1789" s="6" t="str">
        <f>VLOOKUP(F1789,'Customer Info'!$A$1:$C$501,3,0)</f>
        <v>Martinez</v>
      </c>
      <c r="I1789" s="6" t="str">
        <f>VLOOKUP(F1789,Customer,5,0)</f>
        <v>Qingdao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14130</v>
      </c>
      <c r="O1789" s="2">
        <v>46</v>
      </c>
      <c r="P1789" s="8">
        <f t="shared" si="137"/>
        <v>14176</v>
      </c>
      <c r="Q1789" s="8">
        <f t="shared" si="138"/>
        <v>1040</v>
      </c>
      <c r="R1789" s="2" t="s">
        <v>28</v>
      </c>
      <c r="S1789" s="24">
        <f t="shared" si="139"/>
        <v>0.05</v>
      </c>
    </row>
    <row r="1790" spans="1:19" x14ac:dyDescent="0.25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>VLOOKUP(F1790,'Customer Info'!$A:$B,2,0)</f>
        <v>Ralph</v>
      </c>
      <c r="H1790" s="6" t="str">
        <f>VLOOKUP(F1790,'Customer Info'!$A$1:$C$501,3,0)</f>
        <v>Arnett</v>
      </c>
      <c r="I1790" s="6" t="str">
        <f>VLOOKUP(F1790,Customer,5,0)</f>
        <v>Wolfsburg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166146</v>
      </c>
      <c r="O1790" s="2">
        <v>57</v>
      </c>
      <c r="P1790" s="8">
        <f t="shared" si="137"/>
        <v>166203</v>
      </c>
      <c r="Q1790" s="8">
        <f t="shared" si="138"/>
        <v>12450</v>
      </c>
      <c r="R1790" s="2" t="s">
        <v>50</v>
      </c>
      <c r="S1790" s="24">
        <f t="shared" si="139"/>
        <v>0.12</v>
      </c>
    </row>
    <row r="1791" spans="1:19" x14ac:dyDescent="0.25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>VLOOKUP(F1791,'Customer Info'!$A:$B,2,0)</f>
        <v>Daniel</v>
      </c>
      <c r="H1791" s="6" t="str">
        <f>VLOOKUP(F1791,'Customer Info'!$A$1:$C$501,3,0)</f>
        <v>Raglin</v>
      </c>
      <c r="I1791" s="6" t="str">
        <f>VLOOKUP(F1791,Customer,5,0)</f>
        <v>Gold Coast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147</v>
      </c>
      <c r="O1791" s="2">
        <v>30</v>
      </c>
      <c r="P1791" s="8">
        <f t="shared" si="137"/>
        <v>177</v>
      </c>
      <c r="Q1791" s="8">
        <f t="shared" si="138"/>
        <v>9</v>
      </c>
      <c r="R1791" s="2" t="s">
        <v>26</v>
      </c>
      <c r="S1791" s="24">
        <f t="shared" si="139"/>
        <v>0.02</v>
      </c>
    </row>
    <row r="1792" spans="1:19" x14ac:dyDescent="0.25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>VLOOKUP(F1792,'Customer Info'!$A:$B,2,0)</f>
        <v>Adrian</v>
      </c>
      <c r="H1792" s="6" t="str">
        <f>VLOOKUP(F1792,'Customer Info'!$A$1:$C$501,3,0)</f>
        <v>Barton</v>
      </c>
      <c r="I1792" s="6" t="str">
        <f>VLOOKUP(F1792,Customer,5,0)</f>
        <v>Zigong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7659</v>
      </c>
      <c r="O1792" s="2">
        <v>89</v>
      </c>
      <c r="P1792" s="8">
        <f t="shared" si="137"/>
        <v>7748</v>
      </c>
      <c r="Q1792" s="8">
        <f t="shared" si="138"/>
        <v>702</v>
      </c>
      <c r="R1792" s="2" t="s">
        <v>50</v>
      </c>
      <c r="S1792" s="24">
        <f t="shared" si="139"/>
        <v>0.05</v>
      </c>
    </row>
    <row r="1793" spans="1:19" x14ac:dyDescent="0.25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>VLOOKUP(F1793,'Customer Info'!$A:$B,2,0)</f>
        <v>Kelly</v>
      </c>
      <c r="H1793" s="6" t="str">
        <f>VLOOKUP(F1793,'Customer Info'!$A$1:$C$501,3,0)</f>
        <v>Collister</v>
      </c>
      <c r="I1793" s="6" t="str">
        <f>VLOOKUP(F1793,Customer,5,0)</f>
        <v>Sydney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138</v>
      </c>
      <c r="O1793" s="2">
        <v>10</v>
      </c>
      <c r="P1793" s="8">
        <f t="shared" si="137"/>
        <v>148</v>
      </c>
      <c r="Q1793" s="8">
        <f t="shared" si="138"/>
        <v>12</v>
      </c>
      <c r="R1793" s="2" t="s">
        <v>28</v>
      </c>
      <c r="S1793" s="24">
        <f t="shared" si="139"/>
        <v>0.02</v>
      </c>
    </row>
    <row r="1794" spans="1:19" x14ac:dyDescent="0.25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>VLOOKUP(F1794,'Customer Info'!$A:$B,2,0)</f>
        <v>Brendan</v>
      </c>
      <c r="H1794" s="6" t="str">
        <f>VLOOKUP(F1794,'Customer Info'!$A$1:$C$501,3,0)</f>
        <v>Murry</v>
      </c>
      <c r="I1794" s="6" t="str">
        <f>VLOOKUP(F1794,Customer,5,0)</f>
        <v>Schwerin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17760</v>
      </c>
      <c r="O1794" s="2">
        <v>39</v>
      </c>
      <c r="P1794" s="8">
        <f t="shared" si="137"/>
        <v>17799</v>
      </c>
      <c r="Q1794" s="8">
        <f t="shared" si="138"/>
        <v>1950</v>
      </c>
      <c r="R1794" s="2" t="s">
        <v>28</v>
      </c>
      <c r="S1794" s="24">
        <f t="shared" si="139"/>
        <v>0.05</v>
      </c>
    </row>
    <row r="1795" spans="1:19" x14ac:dyDescent="0.25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>VLOOKUP(F1795,'Customer Info'!$A:$B,2,0)</f>
        <v>Tom</v>
      </c>
      <c r="H1795" s="6" t="str">
        <f>VLOOKUP(F1795,'Customer Info'!$A$1:$C$501,3,0)</f>
        <v>Zandusky</v>
      </c>
      <c r="I1795" s="6" t="str">
        <f>VLOOKUP(F1795,Customer,5,0)</f>
        <v>Hobart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27819</v>
      </c>
      <c r="O1795" s="2">
        <v>85</v>
      </c>
      <c r="P1795" s="8">
        <f t="shared" si="137"/>
        <v>27904</v>
      </c>
      <c r="Q1795" s="8">
        <f t="shared" si="138"/>
        <v>1818</v>
      </c>
      <c r="R1795" s="2" t="s">
        <v>28</v>
      </c>
      <c r="S1795" s="24">
        <f t="shared" si="139"/>
        <v>7.0000000000000007E-2</v>
      </c>
    </row>
    <row r="1796" spans="1:19" x14ac:dyDescent="0.25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>VLOOKUP(F1796,'Customer Info'!$A:$B,2,0)</f>
        <v>Toby</v>
      </c>
      <c r="H1796" s="6" t="str">
        <f>VLOOKUP(F1796,'Customer Info'!$A$1:$C$501,3,0)</f>
        <v>Carlisle</v>
      </c>
      <c r="I1796" s="6" t="str">
        <f>VLOOKUP(F1796,Customer,5,0)</f>
        <v>Depok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120</v>
      </c>
      <c r="O1796" s="2">
        <v>10</v>
      </c>
      <c r="P1796" s="8">
        <f t="shared" si="137"/>
        <v>130</v>
      </c>
      <c r="Q1796" s="8">
        <f t="shared" si="138"/>
        <v>10</v>
      </c>
      <c r="R1796" s="2" t="s">
        <v>28</v>
      </c>
      <c r="S1796" s="24">
        <f t="shared" si="139"/>
        <v>0.02</v>
      </c>
    </row>
    <row r="1797" spans="1:19" x14ac:dyDescent="0.25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>VLOOKUP(F1797,'Customer Info'!$A:$B,2,0)</f>
        <v>Adrian</v>
      </c>
      <c r="H1797" s="6" t="str">
        <f>VLOOKUP(F1797,'Customer Info'!$A$1:$C$501,3,0)</f>
        <v>Barton</v>
      </c>
      <c r="I1797" s="6" t="str">
        <f>VLOOKUP(F1797,Customer,5,0)</f>
        <v>Zigong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9154</v>
      </c>
      <c r="O1797" s="2">
        <v>76</v>
      </c>
      <c r="P1797" s="8">
        <f t="shared" si="137"/>
        <v>9230</v>
      </c>
      <c r="Q1797" s="8">
        <f t="shared" si="138"/>
        <v>594</v>
      </c>
      <c r="R1797" s="2" t="s">
        <v>56</v>
      </c>
      <c r="S1797" s="24">
        <f t="shared" si="139"/>
        <v>0.05</v>
      </c>
    </row>
    <row r="1798" spans="1:19" x14ac:dyDescent="0.25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>VLOOKUP(F1798,'Customer Info'!$A:$B,2,0)</f>
        <v>Carol</v>
      </c>
      <c r="H1798" s="6" t="str">
        <f>VLOOKUP(F1798,'Customer Info'!$A$1:$C$501,3,0)</f>
        <v>Adams</v>
      </c>
      <c r="I1798" s="6" t="str">
        <f>VLOOKUP(F1798,Customer,5,0)</f>
        <v>Cairns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20592</v>
      </c>
      <c r="O1798" s="2">
        <v>23</v>
      </c>
      <c r="P1798" s="8">
        <f t="shared" si="137"/>
        <v>20615</v>
      </c>
      <c r="Q1798" s="8">
        <f t="shared" si="138"/>
        <v>591</v>
      </c>
      <c r="R1798" s="2" t="s">
        <v>28</v>
      </c>
      <c r="S1798" s="24">
        <f t="shared" si="139"/>
        <v>0.05</v>
      </c>
    </row>
    <row r="1799" spans="1:19" x14ac:dyDescent="0.25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>VLOOKUP(F1799,'Customer Info'!$A:$B,2,0)</f>
        <v>Gary</v>
      </c>
      <c r="H1799" s="6" t="str">
        <f>VLOOKUP(F1799,'Customer Info'!$A$1:$C$501,3,0)</f>
        <v>Hansen</v>
      </c>
      <c r="I1799" s="6" t="str">
        <f>VLOOKUP(F1799,Customer,5,0)</f>
        <v>Dewas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238</v>
      </c>
      <c r="O1799" s="2">
        <v>30</v>
      </c>
      <c r="P1799" s="8">
        <f t="shared" si="137"/>
        <v>268</v>
      </c>
      <c r="Q1799" s="8">
        <f t="shared" si="138"/>
        <v>14</v>
      </c>
      <c r="R1799" s="2" t="s">
        <v>50</v>
      </c>
      <c r="S1799" s="24">
        <f t="shared" si="139"/>
        <v>0.02</v>
      </c>
    </row>
    <row r="1800" spans="1:19" x14ac:dyDescent="0.25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>VLOOKUP(F1800,'Customer Info'!$A:$B,2,0)</f>
        <v>Bill</v>
      </c>
      <c r="H1800" s="6" t="str">
        <f>VLOOKUP(F1800,'Customer Info'!$A$1:$C$501,3,0)</f>
        <v>Stewart</v>
      </c>
      <c r="I1800" s="6" t="str">
        <f>VLOOKUP(F1800,Customer,5,0)</f>
        <v>Wenling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700</v>
      </c>
      <c r="O1800" s="2">
        <v>30</v>
      </c>
      <c r="P1800" s="8">
        <f t="shared" si="137"/>
        <v>730</v>
      </c>
      <c r="Q1800" s="8">
        <f t="shared" si="138"/>
        <v>15</v>
      </c>
      <c r="R1800" s="2" t="s">
        <v>50</v>
      </c>
      <c r="S1800" s="24">
        <f t="shared" si="139"/>
        <v>0.02</v>
      </c>
    </row>
    <row r="1801" spans="1:19" x14ac:dyDescent="0.25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>VLOOKUP(F1801,'Customer Info'!$A:$B,2,0)</f>
        <v>Kelly</v>
      </c>
      <c r="H1801" s="6" t="str">
        <f>VLOOKUP(F1801,'Customer Info'!$A$1:$C$501,3,0)</f>
        <v>Collister</v>
      </c>
      <c r="I1801" s="6" t="str">
        <f>VLOOKUP(F1801,Customer,5,0)</f>
        <v>Sydney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2681</v>
      </c>
      <c r="O1801" s="2">
        <v>52</v>
      </c>
      <c r="P1801" s="8">
        <f t="shared" si="137"/>
        <v>2733</v>
      </c>
      <c r="Q1801" s="8">
        <f t="shared" si="138"/>
        <v>223</v>
      </c>
      <c r="R1801" s="2" t="s">
        <v>28</v>
      </c>
      <c r="S1801" s="24">
        <f t="shared" si="139"/>
        <v>0.02</v>
      </c>
    </row>
    <row r="1802" spans="1:19" x14ac:dyDescent="0.25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>VLOOKUP(F1802,'Customer Info'!$A:$B,2,0)</f>
        <v>Aaron</v>
      </c>
      <c r="H1802" s="6" t="str">
        <f>VLOOKUP(F1802,'Customer Info'!$A$1:$C$501,3,0)</f>
        <v>Hawkins</v>
      </c>
      <c r="I1802" s="6" t="str">
        <f>VLOOKUP(F1802,Customer,5,0)</f>
        <v>Minden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2584</v>
      </c>
      <c r="O1802" s="2">
        <v>98</v>
      </c>
      <c r="P1802" s="8">
        <f t="shared" si="137"/>
        <v>2682</v>
      </c>
      <c r="Q1802" s="8">
        <f t="shared" si="138"/>
        <v>214</v>
      </c>
      <c r="R1802" s="2" t="s">
        <v>28</v>
      </c>
      <c r="S1802" s="24">
        <f t="shared" si="139"/>
        <v>0.02</v>
      </c>
    </row>
    <row r="1803" spans="1:19" x14ac:dyDescent="0.25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>VLOOKUP(F1803,'Customer Info'!$A:$B,2,0)</f>
        <v>Julie</v>
      </c>
      <c r="H1803" s="6" t="str">
        <f>VLOOKUP(F1803,'Customer Info'!$A$1:$C$501,3,0)</f>
        <v>Creighton</v>
      </c>
      <c r="I1803" s="6" t="str">
        <f>VLOOKUP(F1803,Customer,5,0)</f>
        <v>Ballarat</v>
      </c>
      <c r="J1803" s="2">
        <v>2200</v>
      </c>
      <c r="K1803" s="2">
        <v>2020</v>
      </c>
      <c r="L1803" s="2">
        <v>3</v>
      </c>
      <c r="M1803" s="7">
        <f t="shared" ref="M1803:M1866" si="140">K1803*L1803</f>
        <v>6060</v>
      </c>
      <c r="N1803" s="7">
        <f t="shared" ref="N1803:N1866" si="141">J1803*L1803</f>
        <v>6600</v>
      </c>
      <c r="O1803" s="2">
        <v>65</v>
      </c>
      <c r="P1803" s="8">
        <f t="shared" ref="P1803:P1866" si="142">N1803+O1803</f>
        <v>6665</v>
      </c>
      <c r="Q1803" s="8">
        <f t="shared" ref="Q1803:Q1866" si="143">N1803-M1803</f>
        <v>540</v>
      </c>
      <c r="R1803" s="2" t="s">
        <v>50</v>
      </c>
      <c r="S1803" s="24">
        <f t="shared" ref="S1803:S1866" si="144">VLOOKUP(N1803,$T$1:$U$7,2,TRUE)</f>
        <v>0.05</v>
      </c>
    </row>
    <row r="1804" spans="1:19" x14ac:dyDescent="0.25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>VLOOKUP(F1804,'Customer Info'!$A:$B,2,0)</f>
        <v>Neoma</v>
      </c>
      <c r="H1804" s="6" t="str">
        <f>VLOOKUP(F1804,'Customer Info'!$A$1:$C$501,3,0)</f>
        <v>Murray</v>
      </c>
      <c r="I1804" s="6" t="str">
        <f>VLOOKUP(F1804,Customer,5,0)</f>
        <v>Guwahati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8">
        <f t="shared" si="142"/>
        <v>609</v>
      </c>
      <c r="Q1804" s="8">
        <f t="shared" si="143"/>
        <v>60</v>
      </c>
      <c r="R1804" s="2" t="s">
        <v>28</v>
      </c>
      <c r="S1804" s="24">
        <f t="shared" si="144"/>
        <v>0.02</v>
      </c>
    </row>
    <row r="1805" spans="1:19" x14ac:dyDescent="0.25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>VLOOKUP(F1805,'Customer Info'!$A:$B,2,0)</f>
        <v>Nick</v>
      </c>
      <c r="H1805" s="6" t="str">
        <f>VLOOKUP(F1805,'Customer Info'!$A$1:$C$501,3,0)</f>
        <v>Zandusky</v>
      </c>
      <c r="I1805" s="6" t="str">
        <f>VLOOKUP(F1805,Customer,5,0)</f>
        <v>Surabaya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8">
        <f t="shared" si="142"/>
        <v>6708</v>
      </c>
      <c r="Q1805" s="8">
        <f t="shared" si="143"/>
        <v>255</v>
      </c>
      <c r="R1805" s="2" t="s">
        <v>28</v>
      </c>
      <c r="S1805" s="24">
        <f t="shared" si="144"/>
        <v>0.05</v>
      </c>
    </row>
    <row r="1806" spans="1:19" x14ac:dyDescent="0.25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>VLOOKUP(F1806,'Customer Info'!$A:$B,2,0)</f>
        <v>Logan</v>
      </c>
      <c r="H1806" s="6" t="str">
        <f>VLOOKUP(F1806,'Customer Info'!$A$1:$C$501,3,0)</f>
        <v>Currie</v>
      </c>
      <c r="I1806" s="6" t="str">
        <f>VLOOKUP(F1806,Customer,5,0)</f>
        <v>Amravati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8">
        <f t="shared" si="142"/>
        <v>4620</v>
      </c>
      <c r="Q1806" s="8">
        <f t="shared" si="143"/>
        <v>254</v>
      </c>
      <c r="R1806" s="2" t="s">
        <v>50</v>
      </c>
      <c r="S1806" s="24">
        <f t="shared" si="144"/>
        <v>0.02</v>
      </c>
    </row>
    <row r="1807" spans="1:19" x14ac:dyDescent="0.25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>VLOOKUP(F1807,'Customer Info'!$A:$B,2,0)</f>
        <v>Denise</v>
      </c>
      <c r="H1807" s="6" t="str">
        <f>VLOOKUP(F1807,'Customer Info'!$A$1:$C$501,3,0)</f>
        <v>Leinenbach</v>
      </c>
      <c r="I1807" s="6" t="str">
        <f>VLOOKUP(F1807,Customer,5,0)</f>
        <v>Bhiwandi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8">
        <f t="shared" si="142"/>
        <v>2712</v>
      </c>
      <c r="Q1807" s="8">
        <f t="shared" si="143"/>
        <v>218</v>
      </c>
      <c r="R1807" s="2" t="s">
        <v>28</v>
      </c>
      <c r="S1807" s="24">
        <f t="shared" si="144"/>
        <v>0.02</v>
      </c>
    </row>
    <row r="1808" spans="1:19" x14ac:dyDescent="0.25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>VLOOKUP(F1808,'Customer Info'!$A:$B,2,0)</f>
        <v>Jim</v>
      </c>
      <c r="H1808" s="6" t="str">
        <f>VLOOKUP(F1808,'Customer Info'!$A$1:$C$501,3,0)</f>
        <v>Epp</v>
      </c>
      <c r="I1808" s="6" t="str">
        <f>VLOOKUP(F1808,Customer,5,0)</f>
        <v>Qingdao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1702</v>
      </c>
      <c r="O1808" s="2">
        <v>90</v>
      </c>
      <c r="P1808" s="8">
        <f t="shared" si="142"/>
        <v>1792</v>
      </c>
      <c r="Q1808" s="8">
        <f t="shared" si="143"/>
        <v>156</v>
      </c>
      <c r="R1808" s="2" t="s">
        <v>28</v>
      </c>
      <c r="S1808" s="24">
        <f t="shared" si="144"/>
        <v>0.02</v>
      </c>
    </row>
    <row r="1809" spans="1:19" x14ac:dyDescent="0.25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>VLOOKUP(F1809,'Customer Info'!$A:$B,2,0)</f>
        <v>Mick</v>
      </c>
      <c r="H1809" s="6" t="str">
        <f>VLOOKUP(F1809,'Customer Info'!$A$1:$C$501,3,0)</f>
        <v>Brown</v>
      </c>
      <c r="I1809" s="6" t="str">
        <f>VLOOKUP(F1809,Customer,5,0)</f>
        <v>Frankfurt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4904</v>
      </c>
      <c r="O1809" s="2">
        <v>40</v>
      </c>
      <c r="P1809" s="8">
        <f t="shared" si="142"/>
        <v>4944</v>
      </c>
      <c r="Q1809" s="8">
        <f t="shared" si="143"/>
        <v>405</v>
      </c>
      <c r="R1809" s="2" t="s">
        <v>28</v>
      </c>
      <c r="S1809" s="24">
        <f t="shared" si="144"/>
        <v>0.02</v>
      </c>
    </row>
    <row r="1810" spans="1:19" x14ac:dyDescent="0.25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>VLOOKUP(F1810,'Customer Info'!$A:$B,2,0)</f>
        <v>Hunter</v>
      </c>
      <c r="H1810" s="6" t="str">
        <f>VLOOKUP(F1810,'Customer Info'!$A$1:$C$501,3,0)</f>
        <v>Lopez</v>
      </c>
      <c r="I1810" s="6" t="str">
        <f>VLOOKUP(F1810,Customer,5,0)</f>
        <v>Cuttack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488</v>
      </c>
      <c r="O1810" s="2">
        <v>10</v>
      </c>
      <c r="P1810" s="8">
        <f t="shared" si="142"/>
        <v>498</v>
      </c>
      <c r="Q1810" s="8">
        <f t="shared" si="143"/>
        <v>40</v>
      </c>
      <c r="R1810" s="2" t="s">
        <v>28</v>
      </c>
      <c r="S1810" s="24">
        <f t="shared" si="144"/>
        <v>0.02</v>
      </c>
    </row>
    <row r="1811" spans="1:19" x14ac:dyDescent="0.25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>VLOOKUP(F1811,'Customer Info'!$A:$B,2,0)</f>
        <v>Tom</v>
      </c>
      <c r="H1811" s="6" t="str">
        <f>VLOOKUP(F1811,'Customer Info'!$A$1:$C$501,3,0)</f>
        <v>Prescott</v>
      </c>
      <c r="I1811" s="6" t="str">
        <f>VLOOKUP(F1811,Customer,5,0)</f>
        <v>Bokaro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4660</v>
      </c>
      <c r="O1811" s="2">
        <v>81</v>
      </c>
      <c r="P1811" s="8">
        <f t="shared" si="142"/>
        <v>4741</v>
      </c>
      <c r="Q1811" s="8">
        <f t="shared" si="143"/>
        <v>470</v>
      </c>
      <c r="R1811" s="2" t="s">
        <v>28</v>
      </c>
      <c r="S1811" s="24">
        <f t="shared" si="144"/>
        <v>0.02</v>
      </c>
    </row>
    <row r="1812" spans="1:19" x14ac:dyDescent="0.25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>VLOOKUP(F1812,'Customer Info'!$A:$B,2,0)</f>
        <v>Michelle</v>
      </c>
      <c r="H1812" s="6" t="str">
        <f>VLOOKUP(F1812,'Customer Info'!$A$1:$C$501,3,0)</f>
        <v>Arnett</v>
      </c>
      <c r="I1812" s="6" t="str">
        <f>VLOOKUP(F1812,Customer,5,0)</f>
        <v>Yancheng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1205</v>
      </c>
      <c r="O1812" s="2">
        <v>86</v>
      </c>
      <c r="P1812" s="8">
        <f t="shared" si="142"/>
        <v>1291</v>
      </c>
      <c r="Q1812" s="8">
        <f t="shared" si="143"/>
        <v>46</v>
      </c>
      <c r="R1812" s="2" t="s">
        <v>28</v>
      </c>
      <c r="S1812" s="24">
        <f t="shared" si="144"/>
        <v>0.02</v>
      </c>
    </row>
    <row r="1813" spans="1:19" x14ac:dyDescent="0.25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>VLOOKUP(F1813,'Customer Info'!$A:$B,2,0)</f>
        <v>Ivan</v>
      </c>
      <c r="H1813" s="6" t="str">
        <f>VLOOKUP(F1813,'Customer Info'!$A$1:$C$501,3,0)</f>
        <v>Gibson</v>
      </c>
      <c r="I1813" s="6" t="str">
        <f>VLOOKUP(F1813,Customer,5,0)</f>
        <v>Shanghai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11110</v>
      </c>
      <c r="O1813" s="2">
        <v>68</v>
      </c>
      <c r="P1813" s="8">
        <f t="shared" si="142"/>
        <v>11178</v>
      </c>
      <c r="Q1813" s="8">
        <f t="shared" si="143"/>
        <v>705</v>
      </c>
      <c r="R1813" s="2" t="s">
        <v>50</v>
      </c>
      <c r="S1813" s="24">
        <f t="shared" si="144"/>
        <v>0.05</v>
      </c>
    </row>
    <row r="1814" spans="1:19" x14ac:dyDescent="0.25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>VLOOKUP(F1814,'Customer Info'!$A:$B,2,0)</f>
        <v>Troy</v>
      </c>
      <c r="H1814" s="6" t="str">
        <f>VLOOKUP(F1814,'Customer Info'!$A$1:$C$501,3,0)</f>
        <v>Blackwell</v>
      </c>
      <c r="I1814" s="6" t="str">
        <f>VLOOKUP(F1814,Customer,5,0)</f>
        <v>Akola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14320</v>
      </c>
      <c r="O1814" s="2">
        <v>29</v>
      </c>
      <c r="P1814" s="8">
        <f t="shared" si="142"/>
        <v>14349</v>
      </c>
      <c r="Q1814" s="8">
        <f t="shared" si="143"/>
        <v>550</v>
      </c>
      <c r="R1814" s="2" t="s">
        <v>28</v>
      </c>
      <c r="S1814" s="24">
        <f t="shared" si="144"/>
        <v>0.05</v>
      </c>
    </row>
    <row r="1815" spans="1:19" x14ac:dyDescent="0.25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>VLOOKUP(F1815,'Customer Info'!$A:$B,2,0)</f>
        <v>Mitch</v>
      </c>
      <c r="H1815" s="6" t="str">
        <f>VLOOKUP(F1815,'Customer Info'!$A$1:$C$501,3,0)</f>
        <v>Willingham</v>
      </c>
      <c r="I1815" s="6" t="str">
        <f>VLOOKUP(F1815,Customer,5,0)</f>
        <v>Berlin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8487</v>
      </c>
      <c r="O1815" s="2">
        <v>95</v>
      </c>
      <c r="P1815" s="8">
        <f t="shared" si="142"/>
        <v>8582</v>
      </c>
      <c r="Q1815" s="8">
        <f t="shared" si="143"/>
        <v>699</v>
      </c>
      <c r="R1815" s="2" t="s">
        <v>28</v>
      </c>
      <c r="S1815" s="24">
        <f t="shared" si="144"/>
        <v>0.05</v>
      </c>
    </row>
    <row r="1816" spans="1:19" x14ac:dyDescent="0.25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>VLOOKUP(F1816,'Customer Info'!$A:$B,2,0)</f>
        <v>Giulietta</v>
      </c>
      <c r="H1816" s="6" t="str">
        <f>VLOOKUP(F1816,'Customer Info'!$A$1:$C$501,3,0)</f>
        <v>Weimer</v>
      </c>
      <c r="I1816" s="6" t="str">
        <f>VLOOKUP(F1816,Customer,5,0)</f>
        <v>Suihua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808</v>
      </c>
      <c r="O1816" s="2">
        <v>90</v>
      </c>
      <c r="P1816" s="8">
        <f t="shared" si="142"/>
        <v>898</v>
      </c>
      <c r="Q1816" s="8">
        <f t="shared" si="143"/>
        <v>66</v>
      </c>
      <c r="R1816" s="2" t="s">
        <v>28</v>
      </c>
      <c r="S1816" s="24">
        <f t="shared" si="144"/>
        <v>0.02</v>
      </c>
    </row>
    <row r="1817" spans="1:19" x14ac:dyDescent="0.25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>VLOOKUP(F1817,'Customer Info'!$A:$B,2,0)</f>
        <v>Bill</v>
      </c>
      <c r="H1817" s="6" t="str">
        <f>VLOOKUP(F1817,'Customer Info'!$A$1:$C$501,3,0)</f>
        <v>Donatelli</v>
      </c>
      <c r="I1817" s="6" t="str">
        <f>VLOOKUP(F1817,Customer,5,0)</f>
        <v>Kamarhati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9616</v>
      </c>
      <c r="O1817" s="2">
        <v>38</v>
      </c>
      <c r="P1817" s="8">
        <f t="shared" si="142"/>
        <v>9654</v>
      </c>
      <c r="Q1817" s="8">
        <f t="shared" si="143"/>
        <v>710</v>
      </c>
      <c r="R1817" s="2" t="s">
        <v>50</v>
      </c>
      <c r="S1817" s="24">
        <f t="shared" si="144"/>
        <v>0.05</v>
      </c>
    </row>
    <row r="1818" spans="1:19" x14ac:dyDescent="0.25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>VLOOKUP(F1818,'Customer Info'!$A:$B,2,0)</f>
        <v>Steve</v>
      </c>
      <c r="H1818" s="6" t="str">
        <f>VLOOKUP(F1818,'Customer Info'!$A$1:$C$501,3,0)</f>
        <v>Carroll</v>
      </c>
      <c r="I1818" s="6" t="str">
        <f>VLOOKUP(F1818,Customer,5,0)</f>
        <v>Qingdao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3812</v>
      </c>
      <c r="O1818" s="2">
        <v>29</v>
      </c>
      <c r="P1818" s="8">
        <f t="shared" si="142"/>
        <v>3841</v>
      </c>
      <c r="Q1818" s="8">
        <f t="shared" si="143"/>
        <v>216</v>
      </c>
      <c r="R1818" s="2" t="s">
        <v>50</v>
      </c>
      <c r="S1818" s="24">
        <f t="shared" si="144"/>
        <v>0.02</v>
      </c>
    </row>
    <row r="1819" spans="1:19" x14ac:dyDescent="0.25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>VLOOKUP(F1819,'Customer Info'!$A:$B,2,0)</f>
        <v>Emily</v>
      </c>
      <c r="H1819" s="6" t="str">
        <f>VLOOKUP(F1819,'Customer Info'!$A$1:$C$501,3,0)</f>
        <v>Ducich</v>
      </c>
      <c r="I1819" s="6" t="str">
        <f>VLOOKUP(F1819,Customer,5,0)</f>
        <v>Lohne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916</v>
      </c>
      <c r="O1819" s="2">
        <v>72</v>
      </c>
      <c r="P1819" s="8">
        <f t="shared" si="142"/>
        <v>988</v>
      </c>
      <c r="Q1819" s="8">
        <f t="shared" si="143"/>
        <v>78</v>
      </c>
      <c r="R1819" s="2" t="s">
        <v>28</v>
      </c>
      <c r="S1819" s="24">
        <f t="shared" si="144"/>
        <v>0.02</v>
      </c>
    </row>
    <row r="1820" spans="1:19" x14ac:dyDescent="0.25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>VLOOKUP(F1820,'Customer Info'!$A:$B,2,0)</f>
        <v>Benjamin</v>
      </c>
      <c r="H1820" s="6" t="str">
        <f>VLOOKUP(F1820,'Customer Info'!$A$1:$C$501,3,0)</f>
        <v>Patterson</v>
      </c>
      <c r="I1820" s="6" t="str">
        <f>VLOOKUP(F1820,Customer,5,0)</f>
        <v>Tamworth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350</v>
      </c>
      <c r="O1820" s="2">
        <v>30</v>
      </c>
      <c r="P1820" s="8">
        <f t="shared" si="142"/>
        <v>380</v>
      </c>
      <c r="Q1820" s="8">
        <f t="shared" si="143"/>
        <v>34</v>
      </c>
      <c r="R1820" s="2" t="s">
        <v>28</v>
      </c>
      <c r="S1820" s="24">
        <f t="shared" si="144"/>
        <v>0.02</v>
      </c>
    </row>
    <row r="1821" spans="1:19" x14ac:dyDescent="0.25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>VLOOKUP(F1821,'Customer Info'!$A:$B,2,0)</f>
        <v>Delfina</v>
      </c>
      <c r="H1821" s="6" t="str">
        <f>VLOOKUP(F1821,'Customer Info'!$A$1:$C$501,3,0)</f>
        <v>Latchford</v>
      </c>
      <c r="I1821" s="6" t="str">
        <f>VLOOKUP(F1821,Customer,5,0)</f>
        <v>Yogyakarta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19794</v>
      </c>
      <c r="O1821" s="2">
        <v>45</v>
      </c>
      <c r="P1821" s="8">
        <f t="shared" si="142"/>
        <v>19839</v>
      </c>
      <c r="Q1821" s="8">
        <f t="shared" si="143"/>
        <v>756</v>
      </c>
      <c r="R1821" s="2" t="s">
        <v>50</v>
      </c>
      <c r="S1821" s="24">
        <f t="shared" si="144"/>
        <v>0.05</v>
      </c>
    </row>
    <row r="1822" spans="1:19" x14ac:dyDescent="0.25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>VLOOKUP(F1822,'Customer Info'!$A:$B,2,0)</f>
        <v>Barry</v>
      </c>
      <c r="H1822" s="6" t="str">
        <f>VLOOKUP(F1822,'Customer Info'!$A$1:$C$501,3,0)</f>
        <v>Blumstein</v>
      </c>
      <c r="I1822" s="6" t="str">
        <f>VLOOKUP(F1822,Customer,5,0)</f>
        <v>Gold Coast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7932</v>
      </c>
      <c r="O1822" s="2">
        <v>57</v>
      </c>
      <c r="P1822" s="8">
        <f t="shared" si="142"/>
        <v>7989</v>
      </c>
      <c r="Q1822" s="8">
        <f t="shared" si="143"/>
        <v>657</v>
      </c>
      <c r="R1822" s="2" t="s">
        <v>28</v>
      </c>
      <c r="S1822" s="24">
        <f t="shared" si="144"/>
        <v>0.05</v>
      </c>
    </row>
    <row r="1823" spans="1:19" x14ac:dyDescent="0.25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>VLOOKUP(F1823,'Customer Info'!$A:$B,2,0)</f>
        <v>Toby</v>
      </c>
      <c r="H1823" s="6" t="str">
        <f>VLOOKUP(F1823,'Customer Info'!$A$1:$C$501,3,0)</f>
        <v>Carlisle</v>
      </c>
      <c r="I1823" s="6" t="str">
        <f>VLOOKUP(F1823,Customer,5,0)</f>
        <v>Depok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12663</v>
      </c>
      <c r="O1823" s="2">
        <v>51</v>
      </c>
      <c r="P1823" s="8">
        <f t="shared" si="142"/>
        <v>12714</v>
      </c>
      <c r="Q1823" s="8">
        <f t="shared" si="143"/>
        <v>826</v>
      </c>
      <c r="R1823" s="2" t="s">
        <v>28</v>
      </c>
      <c r="S1823" s="24">
        <f t="shared" si="144"/>
        <v>0.05</v>
      </c>
    </row>
    <row r="1824" spans="1:19" x14ac:dyDescent="0.25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>VLOOKUP(F1824,'Customer Info'!$A:$B,2,0)</f>
        <v>Dana</v>
      </c>
      <c r="H1824" s="6" t="str">
        <f>VLOOKUP(F1824,'Customer Info'!$A$1:$C$501,3,0)</f>
        <v>Kaydos</v>
      </c>
      <c r="I1824" s="6" t="str">
        <f>VLOOKUP(F1824,Customer,5,0)</f>
        <v>Nagercoil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4705</v>
      </c>
      <c r="O1824" s="2">
        <v>92</v>
      </c>
      <c r="P1824" s="8">
        <f t="shared" si="142"/>
        <v>4797</v>
      </c>
      <c r="Q1824" s="8">
        <f t="shared" si="143"/>
        <v>180</v>
      </c>
      <c r="R1824" s="2" t="s">
        <v>28</v>
      </c>
      <c r="S1824" s="24">
        <f t="shared" si="144"/>
        <v>0.02</v>
      </c>
    </row>
    <row r="1825" spans="1:19" x14ac:dyDescent="0.25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>VLOOKUP(F1825,'Customer Info'!$A:$B,2,0)</f>
        <v>Troy</v>
      </c>
      <c r="H1825" s="6" t="str">
        <f>VLOOKUP(F1825,'Customer Info'!$A$1:$C$501,3,0)</f>
        <v>Staebel</v>
      </c>
      <c r="I1825" s="6" t="str">
        <f>VLOOKUP(F1825,Customer,5,0)</f>
        <v>Depok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27804</v>
      </c>
      <c r="O1825" s="2">
        <v>26</v>
      </c>
      <c r="P1825" s="8">
        <f t="shared" si="142"/>
        <v>27830</v>
      </c>
      <c r="Q1825" s="8">
        <f t="shared" si="143"/>
        <v>1324</v>
      </c>
      <c r="R1825" s="2" t="s">
        <v>28</v>
      </c>
      <c r="S1825" s="24">
        <f t="shared" si="144"/>
        <v>7.0000000000000007E-2</v>
      </c>
    </row>
    <row r="1826" spans="1:19" x14ac:dyDescent="0.25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>VLOOKUP(F1826,'Customer Info'!$A:$B,2,0)</f>
        <v>Toby</v>
      </c>
      <c r="H1826" s="6" t="str">
        <f>VLOOKUP(F1826,'Customer Info'!$A$1:$C$501,3,0)</f>
        <v>Swindell</v>
      </c>
      <c r="I1826" s="6" t="str">
        <f>VLOOKUP(F1826,Customer,5,0)</f>
        <v>Ninghai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1210</v>
      </c>
      <c r="O1826" s="2">
        <v>36</v>
      </c>
      <c r="P1826" s="8">
        <f t="shared" si="142"/>
        <v>1246</v>
      </c>
      <c r="Q1826" s="8">
        <f t="shared" si="143"/>
        <v>46</v>
      </c>
      <c r="R1826" s="2" t="s">
        <v>50</v>
      </c>
      <c r="S1826" s="24">
        <f t="shared" si="144"/>
        <v>0.02</v>
      </c>
    </row>
    <row r="1827" spans="1:19" x14ac:dyDescent="0.25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>VLOOKUP(F1827,'Customer Info'!$A:$B,2,0)</f>
        <v>Michael</v>
      </c>
      <c r="H1827" s="6" t="str">
        <f>VLOOKUP(F1827,'Customer Info'!$A$1:$C$501,3,0)</f>
        <v>Moore</v>
      </c>
      <c r="I1827" s="6" t="str">
        <f>VLOOKUP(F1827,Customer,5,0)</f>
        <v>Melbourne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2996</v>
      </c>
      <c r="O1827" s="2">
        <v>71</v>
      </c>
      <c r="P1827" s="8">
        <f t="shared" si="142"/>
        <v>3067</v>
      </c>
      <c r="Q1827" s="8">
        <f t="shared" si="143"/>
        <v>326</v>
      </c>
      <c r="R1827" s="2" t="s">
        <v>28</v>
      </c>
      <c r="S1827" s="24">
        <f t="shared" si="144"/>
        <v>0.02</v>
      </c>
    </row>
    <row r="1828" spans="1:19" x14ac:dyDescent="0.25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>VLOOKUP(F1828,'Customer Info'!$A:$B,2,0)</f>
        <v>Mitch</v>
      </c>
      <c r="H1828" s="6" t="str">
        <f>VLOOKUP(F1828,'Customer Info'!$A$1:$C$501,3,0)</f>
        <v>Willingham</v>
      </c>
      <c r="I1828" s="6" t="str">
        <f>VLOOKUP(F1828,Customer,5,0)</f>
        <v>Surakarta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5289</v>
      </c>
      <c r="O1828" s="2">
        <v>37</v>
      </c>
      <c r="P1828" s="8">
        <f t="shared" si="142"/>
        <v>5326</v>
      </c>
      <c r="Q1828" s="8">
        <f t="shared" si="143"/>
        <v>483</v>
      </c>
      <c r="R1828" s="2" t="s">
        <v>50</v>
      </c>
      <c r="S1828" s="24">
        <f t="shared" si="144"/>
        <v>0.05</v>
      </c>
    </row>
    <row r="1829" spans="1:19" x14ac:dyDescent="0.25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>VLOOKUP(F1829,'Customer Info'!$A:$B,2,0)</f>
        <v>Thomas</v>
      </c>
      <c r="H1829" s="6" t="str">
        <f>VLOOKUP(F1829,'Customer Info'!$A$1:$C$501,3,0)</f>
        <v>Boland</v>
      </c>
      <c r="I1829" s="6" t="str">
        <f>VLOOKUP(F1829,Customer,5,0)</f>
        <v>Surabaya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18261</v>
      </c>
      <c r="O1829" s="2">
        <v>100</v>
      </c>
      <c r="P1829" s="8">
        <f t="shared" si="142"/>
        <v>18361</v>
      </c>
      <c r="Q1829" s="8">
        <f t="shared" si="143"/>
        <v>837</v>
      </c>
      <c r="R1829" s="2" t="s">
        <v>28</v>
      </c>
      <c r="S1829" s="24">
        <f t="shared" si="144"/>
        <v>0.05</v>
      </c>
    </row>
    <row r="1830" spans="1:19" x14ac:dyDescent="0.25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>VLOOKUP(F1830,'Customer Info'!$A:$B,2,0)</f>
        <v>Ann</v>
      </c>
      <c r="H1830" s="6" t="str">
        <f>VLOOKUP(F1830,'Customer Info'!$A$1:$C$501,3,0)</f>
        <v>Chong</v>
      </c>
      <c r="I1830" s="6" t="str">
        <f>VLOOKUP(F1830,Customer,5,0)</f>
        <v>Sydney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8025</v>
      </c>
      <c r="O1830" s="2">
        <v>98</v>
      </c>
      <c r="P1830" s="8">
        <f t="shared" si="142"/>
        <v>8123</v>
      </c>
      <c r="Q1830" s="8">
        <f t="shared" si="143"/>
        <v>375</v>
      </c>
      <c r="R1830" s="2" t="s">
        <v>28</v>
      </c>
      <c r="S1830" s="24">
        <f t="shared" si="144"/>
        <v>0.05</v>
      </c>
    </row>
    <row r="1831" spans="1:19" x14ac:dyDescent="0.25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>VLOOKUP(F1831,'Customer Info'!$A:$B,2,0)</f>
        <v>Stefania</v>
      </c>
      <c r="H1831" s="6" t="str">
        <f>VLOOKUP(F1831,'Customer Info'!$A$1:$C$501,3,0)</f>
        <v>Perrino</v>
      </c>
      <c r="I1831" s="6" t="str">
        <f>VLOOKUP(F1831,Customer,5,0)</f>
        <v>Albury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2696</v>
      </c>
      <c r="O1831" s="2">
        <v>56</v>
      </c>
      <c r="P1831" s="8">
        <f t="shared" si="142"/>
        <v>2752</v>
      </c>
      <c r="Q1831" s="8">
        <f t="shared" si="143"/>
        <v>180</v>
      </c>
      <c r="R1831" s="2" t="s">
        <v>28</v>
      </c>
      <c r="S1831" s="24">
        <f t="shared" si="144"/>
        <v>0.02</v>
      </c>
    </row>
    <row r="1832" spans="1:19" x14ac:dyDescent="0.25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>VLOOKUP(F1832,'Customer Info'!$A:$B,2,0)</f>
        <v>Neil</v>
      </c>
      <c r="H1832" s="6" t="str">
        <f>VLOOKUP(F1832,'Customer Info'!$A$1:$C$501,3,0)</f>
        <v>Knudson</v>
      </c>
      <c r="I1832" s="6" t="str">
        <f>VLOOKUP(F1832,Customer,5,0)</f>
        <v>Malang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743</v>
      </c>
      <c r="O1832" s="2">
        <v>32</v>
      </c>
      <c r="P1832" s="8">
        <f t="shared" si="142"/>
        <v>775</v>
      </c>
      <c r="Q1832" s="8">
        <f t="shared" si="143"/>
        <v>49</v>
      </c>
      <c r="R1832" s="2" t="s">
        <v>26</v>
      </c>
      <c r="S1832" s="24">
        <f t="shared" si="144"/>
        <v>0.02</v>
      </c>
    </row>
    <row r="1833" spans="1:19" x14ac:dyDescent="0.25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>VLOOKUP(F1833,'Customer Info'!$A:$B,2,0)</f>
        <v>Thea</v>
      </c>
      <c r="H1833" s="6" t="str">
        <f>VLOOKUP(F1833,'Customer Info'!$A$1:$C$501,3,0)</f>
        <v>Hudgings</v>
      </c>
      <c r="I1833" s="6" t="str">
        <f>VLOOKUP(F1833,Customer,5,0)</f>
        <v>Anshan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120</v>
      </c>
      <c r="O1833" s="2">
        <v>10</v>
      </c>
      <c r="P1833" s="8">
        <f t="shared" si="142"/>
        <v>130</v>
      </c>
      <c r="Q1833" s="8">
        <f t="shared" si="143"/>
        <v>6</v>
      </c>
      <c r="R1833" s="2" t="s">
        <v>56</v>
      </c>
      <c r="S1833" s="24">
        <f t="shared" si="144"/>
        <v>0.02</v>
      </c>
    </row>
    <row r="1834" spans="1:19" x14ac:dyDescent="0.25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>VLOOKUP(F1834,'Customer Info'!$A:$B,2,0)</f>
        <v>Dionis</v>
      </c>
      <c r="H1834" s="6" t="str">
        <f>VLOOKUP(F1834,'Customer Info'!$A$1:$C$501,3,0)</f>
        <v>Lloyd</v>
      </c>
      <c r="I1834" s="6" t="str">
        <f>VLOOKUP(F1834,Customer,5,0)</f>
        <v>Kamarhati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700</v>
      </c>
      <c r="O1834" s="2">
        <v>30</v>
      </c>
      <c r="P1834" s="8">
        <f t="shared" si="142"/>
        <v>730</v>
      </c>
      <c r="Q1834" s="8">
        <f t="shared" si="143"/>
        <v>52</v>
      </c>
      <c r="R1834" s="2" t="s">
        <v>50</v>
      </c>
      <c r="S1834" s="24">
        <f t="shared" si="144"/>
        <v>0.02</v>
      </c>
    </row>
    <row r="1835" spans="1:19" x14ac:dyDescent="0.25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>VLOOKUP(F1835,'Customer Info'!$A:$B,2,0)</f>
        <v>Bill</v>
      </c>
      <c r="H1835" s="6" t="str">
        <f>VLOOKUP(F1835,'Customer Info'!$A$1:$C$501,3,0)</f>
        <v>Eplett</v>
      </c>
      <c r="I1835" s="6" t="str">
        <f>VLOOKUP(F1835,Customer,5,0)</f>
        <v>Newcastle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214</v>
      </c>
      <c r="O1835" s="2">
        <v>88</v>
      </c>
      <c r="P1835" s="8">
        <f t="shared" si="142"/>
        <v>302</v>
      </c>
      <c r="Q1835" s="8">
        <f t="shared" si="143"/>
        <v>14</v>
      </c>
      <c r="R1835" s="2" t="s">
        <v>28</v>
      </c>
      <c r="S1835" s="24">
        <f t="shared" si="144"/>
        <v>0.02</v>
      </c>
    </row>
    <row r="1836" spans="1:19" x14ac:dyDescent="0.25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>VLOOKUP(F1836,'Customer Info'!$A:$B,2,0)</f>
        <v>Linda</v>
      </c>
      <c r="H1836" s="6" t="str">
        <f>VLOOKUP(F1836,'Customer Info'!$A$1:$C$501,3,0)</f>
        <v>Southworth</v>
      </c>
      <c r="I1836" s="6" t="str">
        <f>VLOOKUP(F1836,Customer,5,0)</f>
        <v>Brisbane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9768</v>
      </c>
      <c r="O1836" s="2">
        <v>34</v>
      </c>
      <c r="P1836" s="8">
        <f t="shared" si="142"/>
        <v>9802</v>
      </c>
      <c r="Q1836" s="8">
        <f t="shared" si="143"/>
        <v>636</v>
      </c>
      <c r="R1836" s="2" t="s">
        <v>50</v>
      </c>
      <c r="S1836" s="24">
        <f t="shared" si="144"/>
        <v>0.05</v>
      </c>
    </row>
    <row r="1837" spans="1:19" x14ac:dyDescent="0.25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>VLOOKUP(F1837,'Customer Info'!$A:$B,2,0)</f>
        <v>Hunter</v>
      </c>
      <c r="H1837" s="6" t="str">
        <f>VLOOKUP(F1837,'Customer Info'!$A$1:$C$501,3,0)</f>
        <v>Lopez</v>
      </c>
      <c r="I1837" s="6" t="str">
        <f>VLOOKUP(F1837,Customer,5,0)</f>
        <v>Cuttack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3455</v>
      </c>
      <c r="O1837" s="2">
        <v>33</v>
      </c>
      <c r="P1837" s="8">
        <f t="shared" si="142"/>
        <v>3488</v>
      </c>
      <c r="Q1837" s="8">
        <f t="shared" si="143"/>
        <v>320</v>
      </c>
      <c r="R1837" s="2" t="s">
        <v>50</v>
      </c>
      <c r="S1837" s="24">
        <f t="shared" si="144"/>
        <v>0.02</v>
      </c>
    </row>
    <row r="1838" spans="1:19" x14ac:dyDescent="0.25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>VLOOKUP(F1838,'Customer Info'!$A:$B,2,0)</f>
        <v>Adam</v>
      </c>
      <c r="H1838" s="6" t="str">
        <f>VLOOKUP(F1838,'Customer Info'!$A$1:$C$501,3,0)</f>
        <v>Bellavance</v>
      </c>
      <c r="I1838" s="6" t="str">
        <f>VLOOKUP(F1838,Customer,5,0)</f>
        <v>Medan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257446</v>
      </c>
      <c r="O1838" s="2">
        <v>73</v>
      </c>
      <c r="P1838" s="8">
        <f t="shared" si="142"/>
        <v>257519</v>
      </c>
      <c r="Q1838" s="8">
        <f t="shared" si="143"/>
        <v>14483</v>
      </c>
      <c r="R1838" s="2" t="s">
        <v>28</v>
      </c>
      <c r="S1838" s="24">
        <f t="shared" si="144"/>
        <v>0.15</v>
      </c>
    </row>
    <row r="1839" spans="1:19" x14ac:dyDescent="0.25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>VLOOKUP(F1839,'Customer Info'!$A:$B,2,0)</f>
        <v>Tom</v>
      </c>
      <c r="H1839" s="6" t="str">
        <f>VLOOKUP(F1839,'Customer Info'!$A$1:$C$501,3,0)</f>
        <v>Stivers</v>
      </c>
      <c r="I1839" s="6" t="str">
        <f>VLOOKUP(F1839,Customer,5,0)</f>
        <v>Thane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295</v>
      </c>
      <c r="O1839" s="2">
        <v>10</v>
      </c>
      <c r="P1839" s="8">
        <f t="shared" si="142"/>
        <v>305</v>
      </c>
      <c r="Q1839" s="8">
        <f t="shared" si="143"/>
        <v>20</v>
      </c>
      <c r="R1839" s="2" t="s">
        <v>28</v>
      </c>
      <c r="S1839" s="24">
        <f t="shared" si="144"/>
        <v>0.02</v>
      </c>
    </row>
    <row r="1840" spans="1:19" x14ac:dyDescent="0.25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>VLOOKUP(F1840,'Customer Info'!$A:$B,2,0)</f>
        <v>Thomas</v>
      </c>
      <c r="H1840" s="6" t="str">
        <f>VLOOKUP(F1840,'Customer Info'!$A$1:$C$501,3,0)</f>
        <v>Seio</v>
      </c>
      <c r="I1840" s="6" t="str">
        <f>VLOOKUP(F1840,Customer,5,0)</f>
        <v>Melbourne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14755</v>
      </c>
      <c r="O1840" s="2">
        <v>88</v>
      </c>
      <c r="P1840" s="8">
        <f t="shared" si="142"/>
        <v>14843</v>
      </c>
      <c r="Q1840" s="8">
        <f t="shared" si="143"/>
        <v>825</v>
      </c>
      <c r="R1840" s="2" t="s">
        <v>28</v>
      </c>
      <c r="S1840" s="24">
        <f t="shared" si="144"/>
        <v>0.05</v>
      </c>
    </row>
    <row r="1841" spans="1:19" x14ac:dyDescent="0.25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>VLOOKUP(F1841,'Customer Info'!$A:$B,2,0)</f>
        <v>Denny</v>
      </c>
      <c r="H1841" s="6" t="str">
        <f>VLOOKUP(F1841,'Customer Info'!$A$1:$C$501,3,0)</f>
        <v>Ordway</v>
      </c>
      <c r="I1841" s="6" t="str">
        <f>VLOOKUP(F1841,Customer,5,0)</f>
        <v>Berlin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4443</v>
      </c>
      <c r="O1841" s="2">
        <v>37</v>
      </c>
      <c r="P1841" s="8">
        <f t="shared" si="142"/>
        <v>4480</v>
      </c>
      <c r="Q1841" s="8">
        <f t="shared" si="143"/>
        <v>364</v>
      </c>
      <c r="R1841" s="2" t="s">
        <v>28</v>
      </c>
      <c r="S1841" s="24">
        <f t="shared" si="144"/>
        <v>0.02</v>
      </c>
    </row>
    <row r="1842" spans="1:19" x14ac:dyDescent="0.25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>VLOOKUP(F1842,'Customer Info'!$A:$B,2,0)</f>
        <v>Laurel</v>
      </c>
      <c r="H1842" s="6" t="str">
        <f>VLOOKUP(F1842,'Customer Info'!$A$1:$C$501,3,0)</f>
        <v>Beltran</v>
      </c>
      <c r="I1842" s="6" t="str">
        <f>VLOOKUP(F1842,Customer,5,0)</f>
        <v>Melbourne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2787</v>
      </c>
      <c r="O1842" s="2">
        <v>53</v>
      </c>
      <c r="P1842" s="8">
        <f t="shared" si="142"/>
        <v>2840</v>
      </c>
      <c r="Q1842" s="8">
        <f t="shared" si="143"/>
        <v>106</v>
      </c>
      <c r="R1842" s="2" t="s">
        <v>28</v>
      </c>
      <c r="S1842" s="24">
        <f t="shared" si="144"/>
        <v>0.02</v>
      </c>
    </row>
    <row r="1843" spans="1:19" x14ac:dyDescent="0.25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>VLOOKUP(F1843,'Customer Info'!$A:$B,2,0)</f>
        <v>Lindsay</v>
      </c>
      <c r="H1843" s="6" t="str">
        <f>VLOOKUP(F1843,'Customer Info'!$A$1:$C$501,3,0)</f>
        <v>Shagiari</v>
      </c>
      <c r="I1843" s="6" t="str">
        <f>VLOOKUP(F1843,Customer,5,0)</f>
        <v>Canberra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448</v>
      </c>
      <c r="O1843" s="2">
        <v>37</v>
      </c>
      <c r="P1843" s="8">
        <f t="shared" si="142"/>
        <v>485</v>
      </c>
      <c r="Q1843" s="8">
        <f t="shared" si="143"/>
        <v>28</v>
      </c>
      <c r="R1843" s="2" t="s">
        <v>50</v>
      </c>
      <c r="S1843" s="24">
        <f t="shared" si="144"/>
        <v>0.02</v>
      </c>
    </row>
    <row r="1844" spans="1:19" x14ac:dyDescent="0.25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>VLOOKUP(F1844,'Customer Info'!$A:$B,2,0)</f>
        <v>Aaron</v>
      </c>
      <c r="H1844" s="6" t="str">
        <f>VLOOKUP(F1844,'Customer Info'!$A$1:$C$501,3,0)</f>
        <v>Smayling</v>
      </c>
      <c r="I1844" s="6" t="str">
        <f>VLOOKUP(F1844,Customer,5,0)</f>
        <v>Dresden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2503</v>
      </c>
      <c r="O1844" s="2">
        <v>70</v>
      </c>
      <c r="P1844" s="8">
        <f t="shared" si="142"/>
        <v>2573</v>
      </c>
      <c r="Q1844" s="8">
        <f t="shared" si="143"/>
        <v>49</v>
      </c>
      <c r="R1844" s="2" t="s">
        <v>50</v>
      </c>
      <c r="S1844" s="24">
        <f t="shared" si="144"/>
        <v>0.02</v>
      </c>
    </row>
    <row r="1845" spans="1:19" x14ac:dyDescent="0.25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>VLOOKUP(F1845,'Customer Info'!$A:$B,2,0)</f>
        <v>Gary</v>
      </c>
      <c r="H1845" s="6" t="str">
        <f>VLOOKUP(F1845,'Customer Info'!$A$1:$C$501,3,0)</f>
        <v>Zandusky</v>
      </c>
      <c r="I1845" s="6" t="str">
        <f>VLOOKUP(F1845,Customer,5,0)</f>
        <v>Gold Coast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282</v>
      </c>
      <c r="O1845" s="2">
        <v>30</v>
      </c>
      <c r="P1845" s="8">
        <f t="shared" si="142"/>
        <v>312</v>
      </c>
      <c r="Q1845" s="8">
        <f t="shared" si="143"/>
        <v>20</v>
      </c>
      <c r="R1845" s="2" t="s">
        <v>26</v>
      </c>
      <c r="S1845" s="24">
        <f t="shared" si="144"/>
        <v>0.02</v>
      </c>
    </row>
    <row r="1846" spans="1:19" x14ac:dyDescent="0.25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>VLOOKUP(F1846,'Customer Info'!$A:$B,2,0)</f>
        <v>Becky</v>
      </c>
      <c r="H1846" s="6" t="str">
        <f>VLOOKUP(F1846,'Customer Info'!$A$1:$C$501,3,0)</f>
        <v>Pak</v>
      </c>
      <c r="I1846" s="6" t="str">
        <f>VLOOKUP(F1846,Customer,5,0)</f>
        <v>Geelong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5949</v>
      </c>
      <c r="O1846" s="2">
        <v>50</v>
      </c>
      <c r="P1846" s="8">
        <f t="shared" si="142"/>
        <v>5999</v>
      </c>
      <c r="Q1846" s="8">
        <f t="shared" si="143"/>
        <v>225</v>
      </c>
      <c r="R1846" s="2" t="s">
        <v>28</v>
      </c>
      <c r="S1846" s="24">
        <f t="shared" si="144"/>
        <v>0.05</v>
      </c>
    </row>
    <row r="1847" spans="1:19" x14ac:dyDescent="0.25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>VLOOKUP(F1847,'Customer Info'!$A:$B,2,0)</f>
        <v>Andy</v>
      </c>
      <c r="H1847" s="6" t="str">
        <f>VLOOKUP(F1847,'Customer Info'!$A$1:$C$501,3,0)</f>
        <v>Yotov</v>
      </c>
      <c r="I1847" s="6" t="str">
        <f>VLOOKUP(F1847,Customer,5,0)</f>
        <v>Samarinda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1882</v>
      </c>
      <c r="O1847" s="2">
        <v>76</v>
      </c>
      <c r="P1847" s="8">
        <f t="shared" si="142"/>
        <v>1958</v>
      </c>
      <c r="Q1847" s="8">
        <f t="shared" si="143"/>
        <v>90</v>
      </c>
      <c r="R1847" s="2" t="s">
        <v>28</v>
      </c>
      <c r="S1847" s="24">
        <f t="shared" si="144"/>
        <v>0.02</v>
      </c>
    </row>
    <row r="1848" spans="1:19" x14ac:dyDescent="0.25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>VLOOKUP(F1848,'Customer Info'!$A:$B,2,0)</f>
        <v>Adam</v>
      </c>
      <c r="H1848" s="6" t="str">
        <f>VLOOKUP(F1848,'Customer Info'!$A$1:$C$501,3,0)</f>
        <v>Bellavance</v>
      </c>
      <c r="I1848" s="6" t="str">
        <f>VLOOKUP(F1848,Customer,5,0)</f>
        <v>Kwinana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224</v>
      </c>
      <c r="O1848" s="2">
        <v>27</v>
      </c>
      <c r="P1848" s="8">
        <f t="shared" si="142"/>
        <v>251</v>
      </c>
      <c r="Q1848" s="8">
        <f t="shared" si="143"/>
        <v>14</v>
      </c>
      <c r="R1848" s="2" t="s">
        <v>28</v>
      </c>
      <c r="S1848" s="24">
        <f t="shared" si="144"/>
        <v>0.02</v>
      </c>
    </row>
    <row r="1849" spans="1:19" x14ac:dyDescent="0.25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>VLOOKUP(F1849,'Customer Info'!$A:$B,2,0)</f>
        <v>Carol</v>
      </c>
      <c r="H1849" s="6" t="str">
        <f>VLOOKUP(F1849,'Customer Info'!$A$1:$C$501,3,0)</f>
        <v>Adams</v>
      </c>
      <c r="I1849" s="6" t="str">
        <f>VLOOKUP(F1849,Customer,5,0)</f>
        <v>Cairns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2882</v>
      </c>
      <c r="O1849" s="2">
        <v>92</v>
      </c>
      <c r="P1849" s="8">
        <f t="shared" si="142"/>
        <v>2974</v>
      </c>
      <c r="Q1849" s="8">
        <f t="shared" si="143"/>
        <v>162</v>
      </c>
      <c r="R1849" s="2" t="s">
        <v>50</v>
      </c>
      <c r="S1849" s="24">
        <f t="shared" si="144"/>
        <v>0.02</v>
      </c>
    </row>
    <row r="1850" spans="1:19" x14ac:dyDescent="0.25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>VLOOKUP(F1850,'Customer Info'!$A:$B,2,0)</f>
        <v>Guy</v>
      </c>
      <c r="H1850" s="6" t="str">
        <f>VLOOKUP(F1850,'Customer Info'!$A$1:$C$501,3,0)</f>
        <v>Phonely</v>
      </c>
      <c r="I1850" s="6" t="str">
        <f>VLOOKUP(F1850,Customer,5,0)</f>
        <v>Jodhpur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7932</v>
      </c>
      <c r="O1850" s="2">
        <v>41</v>
      </c>
      <c r="P1850" s="8">
        <f t="shared" si="142"/>
        <v>7973</v>
      </c>
      <c r="Q1850" s="8">
        <f t="shared" si="143"/>
        <v>300</v>
      </c>
      <c r="R1850" s="2" t="s">
        <v>50</v>
      </c>
      <c r="S1850" s="24">
        <f t="shared" si="144"/>
        <v>0.05</v>
      </c>
    </row>
    <row r="1851" spans="1:19" x14ac:dyDescent="0.25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>VLOOKUP(F1851,'Customer Info'!$A:$B,2,0)</f>
        <v>Stefanie</v>
      </c>
      <c r="H1851" s="6" t="str">
        <f>VLOOKUP(F1851,'Customer Info'!$A$1:$C$501,3,0)</f>
        <v>Holloman</v>
      </c>
      <c r="I1851" s="6" t="str">
        <f>VLOOKUP(F1851,Customer,5,0)</f>
        <v>Durgapur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4400</v>
      </c>
      <c r="O1851" s="2">
        <v>67</v>
      </c>
      <c r="P1851" s="8">
        <f t="shared" si="142"/>
        <v>4467</v>
      </c>
      <c r="Q1851" s="8">
        <f t="shared" si="143"/>
        <v>360</v>
      </c>
      <c r="R1851" s="2" t="s">
        <v>28</v>
      </c>
      <c r="S1851" s="24">
        <f t="shared" si="144"/>
        <v>0.02</v>
      </c>
    </row>
    <row r="1852" spans="1:19" x14ac:dyDescent="0.25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>VLOOKUP(F1852,'Customer Info'!$A:$B,2,0)</f>
        <v>Kelly</v>
      </c>
      <c r="H1852" s="6" t="str">
        <f>VLOOKUP(F1852,'Customer Info'!$A$1:$C$501,3,0)</f>
        <v>Collister</v>
      </c>
      <c r="I1852" s="6" t="str">
        <f>VLOOKUP(F1852,Customer,5,0)</f>
        <v>Sydney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2444</v>
      </c>
      <c r="O1852" s="2">
        <v>20</v>
      </c>
      <c r="P1852" s="8">
        <f t="shared" si="142"/>
        <v>2464</v>
      </c>
      <c r="Q1852" s="8">
        <f t="shared" si="143"/>
        <v>70</v>
      </c>
      <c r="R1852" s="2" t="s">
        <v>28</v>
      </c>
      <c r="S1852" s="24">
        <f t="shared" si="144"/>
        <v>0.02</v>
      </c>
    </row>
    <row r="1853" spans="1:19" x14ac:dyDescent="0.25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>VLOOKUP(F1853,'Customer Info'!$A:$B,2,0)</f>
        <v>Yana</v>
      </c>
      <c r="H1853" s="6" t="str">
        <f>VLOOKUP(F1853,'Customer Info'!$A$1:$C$501,3,0)</f>
        <v>Sorensen</v>
      </c>
      <c r="I1853" s="6" t="str">
        <f>VLOOKUP(F1853,Customer,5,0)</f>
        <v>Hangzhou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8820</v>
      </c>
      <c r="O1853" s="2">
        <v>85</v>
      </c>
      <c r="P1853" s="8">
        <f t="shared" si="142"/>
        <v>8905</v>
      </c>
      <c r="Q1853" s="8">
        <f t="shared" si="143"/>
        <v>576</v>
      </c>
      <c r="R1853" s="2" t="s">
        <v>50</v>
      </c>
      <c r="S1853" s="24">
        <f t="shared" si="144"/>
        <v>0.05</v>
      </c>
    </row>
    <row r="1854" spans="1:19" x14ac:dyDescent="0.25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>VLOOKUP(F1854,'Customer Info'!$A:$B,2,0)</f>
        <v>Lisa</v>
      </c>
      <c r="H1854" s="6" t="str">
        <f>VLOOKUP(F1854,'Customer Info'!$A$1:$C$501,3,0)</f>
        <v>DeCherney</v>
      </c>
      <c r="I1854" s="6" t="str">
        <f>VLOOKUP(F1854,Customer,5,0)</f>
        <v>Ningbo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18036</v>
      </c>
      <c r="O1854" s="2">
        <v>32</v>
      </c>
      <c r="P1854" s="8">
        <f t="shared" si="142"/>
        <v>18068</v>
      </c>
      <c r="Q1854" s="8">
        <f t="shared" si="143"/>
        <v>1005</v>
      </c>
      <c r="R1854" s="2" t="s">
        <v>28</v>
      </c>
      <c r="S1854" s="24">
        <f t="shared" si="144"/>
        <v>0.05</v>
      </c>
    </row>
    <row r="1855" spans="1:19" x14ac:dyDescent="0.25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>VLOOKUP(F1855,'Customer Info'!$A:$B,2,0)</f>
        <v>Alex</v>
      </c>
      <c r="H1855" s="6" t="str">
        <f>VLOOKUP(F1855,'Customer Info'!$A$1:$C$501,3,0)</f>
        <v>Avila</v>
      </c>
      <c r="I1855" s="6" t="str">
        <f>VLOOKUP(F1855,Customer,5,0)</f>
        <v>Agra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9154</v>
      </c>
      <c r="O1855" s="2">
        <v>99</v>
      </c>
      <c r="P1855" s="8">
        <f t="shared" si="142"/>
        <v>9253</v>
      </c>
      <c r="Q1855" s="8">
        <f t="shared" si="143"/>
        <v>594</v>
      </c>
      <c r="R1855" s="2" t="s">
        <v>28</v>
      </c>
      <c r="S1855" s="24">
        <f t="shared" si="144"/>
        <v>0.05</v>
      </c>
    </row>
    <row r="1856" spans="1:19" x14ac:dyDescent="0.25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>VLOOKUP(F1856,'Customer Info'!$A:$B,2,0)</f>
        <v>Laurel</v>
      </c>
      <c r="H1856" s="6" t="str">
        <f>VLOOKUP(F1856,'Customer Info'!$A$1:$C$501,3,0)</f>
        <v>Beltran</v>
      </c>
      <c r="I1856" s="6" t="str">
        <f>VLOOKUP(F1856,Customer,5,0)</f>
        <v>Melbourne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202</v>
      </c>
      <c r="O1856" s="2">
        <v>10</v>
      </c>
      <c r="P1856" s="8">
        <f t="shared" si="142"/>
        <v>212</v>
      </c>
      <c r="Q1856" s="8">
        <f t="shared" si="143"/>
        <v>6</v>
      </c>
      <c r="R1856" s="2" t="s">
        <v>28</v>
      </c>
      <c r="S1856" s="24">
        <f t="shared" si="144"/>
        <v>0.02</v>
      </c>
    </row>
    <row r="1857" spans="1:19" x14ac:dyDescent="0.25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>VLOOKUP(F1857,'Customer Info'!$A:$B,2,0)</f>
        <v>Cynthia</v>
      </c>
      <c r="H1857" s="6" t="str">
        <f>VLOOKUP(F1857,'Customer Info'!$A$1:$C$501,3,0)</f>
        <v>Delaney</v>
      </c>
      <c r="I1857" s="6" t="str">
        <f>VLOOKUP(F1857,Customer,5,0)</f>
        <v>Wodonga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5882</v>
      </c>
      <c r="O1857" s="2">
        <v>97</v>
      </c>
      <c r="P1857" s="8">
        <f t="shared" si="142"/>
        <v>5979</v>
      </c>
      <c r="Q1857" s="8">
        <f t="shared" si="143"/>
        <v>169</v>
      </c>
      <c r="R1857" s="2" t="s">
        <v>28</v>
      </c>
      <c r="S1857" s="24">
        <f t="shared" si="144"/>
        <v>0.05</v>
      </c>
    </row>
    <row r="1858" spans="1:19" x14ac:dyDescent="0.25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>VLOOKUP(F1858,'Customer Info'!$A:$B,2,0)</f>
        <v>Mike</v>
      </c>
      <c r="H1858" s="6" t="str">
        <f>VLOOKUP(F1858,'Customer Info'!$A$1:$C$501,3,0)</f>
        <v>Vittorini</v>
      </c>
      <c r="I1858" s="6" t="str">
        <f>VLOOKUP(F1858,Customer,5,0)</f>
        <v>Naihati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11361</v>
      </c>
      <c r="O1858" s="2">
        <v>88</v>
      </c>
      <c r="P1858" s="8">
        <f t="shared" si="142"/>
        <v>11449</v>
      </c>
      <c r="Q1858" s="8">
        <f t="shared" si="143"/>
        <v>539</v>
      </c>
      <c r="R1858" s="2" t="s">
        <v>28</v>
      </c>
      <c r="S1858" s="24">
        <f t="shared" si="144"/>
        <v>0.05</v>
      </c>
    </row>
    <row r="1859" spans="1:19" x14ac:dyDescent="0.25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>VLOOKUP(F1859,'Customer Info'!$A:$B,2,0)</f>
        <v>Anna</v>
      </c>
      <c r="H1859" s="6" t="str">
        <f>VLOOKUP(F1859,'Customer Info'!$A$1:$C$501,3,0)</f>
        <v>Gayman</v>
      </c>
      <c r="I1859" s="6" t="str">
        <f>VLOOKUP(F1859,Customer,5,0)</f>
        <v>Jakarta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173</v>
      </c>
      <c r="O1859" s="2">
        <v>30</v>
      </c>
      <c r="P1859" s="8">
        <f t="shared" si="142"/>
        <v>203</v>
      </c>
      <c r="Q1859" s="8">
        <f t="shared" si="143"/>
        <v>18</v>
      </c>
      <c r="R1859" s="2" t="s">
        <v>28</v>
      </c>
      <c r="S1859" s="24">
        <f t="shared" si="144"/>
        <v>0.02</v>
      </c>
    </row>
    <row r="1860" spans="1:19" x14ac:dyDescent="0.25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>VLOOKUP(F1860,'Customer Info'!$A:$B,2,0)</f>
        <v>Eric</v>
      </c>
      <c r="H1860" s="6" t="str">
        <f>VLOOKUP(F1860,'Customer Info'!$A$1:$C$501,3,0)</f>
        <v>Barreto</v>
      </c>
      <c r="I1860" s="6" t="str">
        <f>VLOOKUP(F1860,Customer,5,0)</f>
        <v>Liaoyang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142</v>
      </c>
      <c r="O1860" s="2">
        <v>30</v>
      </c>
      <c r="P1860" s="8">
        <f t="shared" si="142"/>
        <v>172</v>
      </c>
      <c r="Q1860" s="8">
        <f t="shared" si="143"/>
        <v>8</v>
      </c>
      <c r="R1860" s="2" t="s">
        <v>28</v>
      </c>
      <c r="S1860" s="24">
        <f t="shared" si="144"/>
        <v>0.02</v>
      </c>
    </row>
    <row r="1861" spans="1:19" x14ac:dyDescent="0.25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>VLOOKUP(F1861,'Customer Info'!$A:$B,2,0)</f>
        <v>Elpida</v>
      </c>
      <c r="H1861" s="6" t="str">
        <f>VLOOKUP(F1861,'Customer Info'!$A$1:$C$501,3,0)</f>
        <v>Rittenbach</v>
      </c>
      <c r="I1861" s="6" t="str">
        <f>VLOOKUP(F1861,Customer,5,0)</f>
        <v>Melbourne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11207</v>
      </c>
      <c r="O1861" s="2">
        <v>77</v>
      </c>
      <c r="P1861" s="8">
        <f t="shared" si="142"/>
        <v>11284</v>
      </c>
      <c r="Q1861" s="8">
        <f t="shared" si="143"/>
        <v>637</v>
      </c>
      <c r="R1861" s="2" t="s">
        <v>28</v>
      </c>
      <c r="S1861" s="24">
        <f t="shared" si="144"/>
        <v>0.05</v>
      </c>
    </row>
    <row r="1862" spans="1:19" x14ac:dyDescent="0.25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>VLOOKUP(F1862,'Customer Info'!$A:$B,2,0)</f>
        <v>Jack</v>
      </c>
      <c r="H1862" s="6" t="str">
        <f>VLOOKUP(F1862,'Customer Info'!$A$1:$C$501,3,0)</f>
        <v>Garza</v>
      </c>
      <c r="I1862" s="6" t="str">
        <f>VLOOKUP(F1862,Customer,5,0)</f>
        <v>Taiyuan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12054</v>
      </c>
      <c r="O1862" s="2">
        <v>95</v>
      </c>
      <c r="P1862" s="8">
        <f t="shared" si="142"/>
        <v>12149</v>
      </c>
      <c r="Q1862" s="8">
        <f t="shared" si="143"/>
        <v>666</v>
      </c>
      <c r="R1862" s="2" t="s">
        <v>28</v>
      </c>
      <c r="S1862" s="24">
        <f t="shared" si="144"/>
        <v>0.05</v>
      </c>
    </row>
    <row r="1863" spans="1:19" x14ac:dyDescent="0.25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>VLOOKUP(F1863,'Customer Info'!$A:$B,2,0)</f>
        <v>John</v>
      </c>
      <c r="H1863" s="6" t="str">
        <f>VLOOKUP(F1863,'Customer Info'!$A$1:$C$501,3,0)</f>
        <v>Grady</v>
      </c>
      <c r="I1863" s="6" t="str">
        <f>VLOOKUP(F1863,Customer,5,0)</f>
        <v>Mianyang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8026</v>
      </c>
      <c r="O1863" s="2">
        <v>47</v>
      </c>
      <c r="P1863" s="8">
        <f t="shared" si="142"/>
        <v>8073</v>
      </c>
      <c r="Q1863" s="8">
        <f t="shared" si="143"/>
        <v>454</v>
      </c>
      <c r="R1863" s="2" t="s">
        <v>50</v>
      </c>
      <c r="S1863" s="24">
        <f t="shared" si="144"/>
        <v>0.05</v>
      </c>
    </row>
    <row r="1864" spans="1:19" x14ac:dyDescent="0.25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>VLOOKUP(F1864,'Customer Info'!$A:$B,2,0)</f>
        <v>Darren</v>
      </c>
      <c r="H1864" s="6" t="str">
        <f>VLOOKUP(F1864,'Customer Info'!$A$1:$C$501,3,0)</f>
        <v>Koutras</v>
      </c>
      <c r="I1864" s="6" t="str">
        <f>VLOOKUP(F1864,Customer,5,0)</f>
        <v>Pune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276</v>
      </c>
      <c r="O1864" s="2">
        <v>10</v>
      </c>
      <c r="P1864" s="8">
        <f t="shared" si="142"/>
        <v>286</v>
      </c>
      <c r="Q1864" s="8">
        <f t="shared" si="143"/>
        <v>21</v>
      </c>
      <c r="R1864" s="2" t="s">
        <v>28</v>
      </c>
      <c r="S1864" s="24">
        <f t="shared" si="144"/>
        <v>0.02</v>
      </c>
    </row>
    <row r="1865" spans="1:19" x14ac:dyDescent="0.25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>VLOOKUP(F1865,'Customer Info'!$A:$B,2,0)</f>
        <v>Susan</v>
      </c>
      <c r="H1865" s="6" t="str">
        <f>VLOOKUP(F1865,'Customer Info'!$A$1:$C$501,3,0)</f>
        <v>MacKendrick</v>
      </c>
      <c r="I1865" s="6" t="str">
        <f>VLOOKUP(F1865,Customer,5,0)</f>
        <v>Brisbane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6548</v>
      </c>
      <c r="O1865" s="2">
        <v>79</v>
      </c>
      <c r="P1865" s="8">
        <f t="shared" si="142"/>
        <v>6627</v>
      </c>
      <c r="Q1865" s="8">
        <f t="shared" si="143"/>
        <v>184</v>
      </c>
      <c r="R1865" s="2" t="s">
        <v>28</v>
      </c>
      <c r="S1865" s="24">
        <f t="shared" si="144"/>
        <v>0.05</v>
      </c>
    </row>
    <row r="1866" spans="1:19" x14ac:dyDescent="0.25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>VLOOKUP(F1866,'Customer Info'!$A:$B,2,0)</f>
        <v>Tony</v>
      </c>
      <c r="H1866" s="6" t="str">
        <f>VLOOKUP(F1866,'Customer Info'!$A$1:$C$501,3,0)</f>
        <v>Sayre</v>
      </c>
      <c r="I1866" s="6" t="str">
        <f>VLOOKUP(F1866,Customer,5,0)</f>
        <v>Wafangdian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4837</v>
      </c>
      <c r="O1866" s="2">
        <v>77</v>
      </c>
      <c r="P1866" s="8">
        <f t="shared" si="142"/>
        <v>4914</v>
      </c>
      <c r="Q1866" s="8">
        <f t="shared" si="143"/>
        <v>448</v>
      </c>
      <c r="R1866" s="2" t="s">
        <v>28</v>
      </c>
      <c r="S1866" s="24">
        <f t="shared" si="144"/>
        <v>0.02</v>
      </c>
    </row>
    <row r="1867" spans="1:19" x14ac:dyDescent="0.25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>VLOOKUP(F1867,'Customer Info'!$A:$B,2,0)</f>
        <v>Ted</v>
      </c>
      <c r="H1867" s="6" t="str">
        <f>VLOOKUP(F1867,'Customer Info'!$A$1:$C$501,3,0)</f>
        <v>Trevino</v>
      </c>
      <c r="I1867" s="6" t="str">
        <f>VLOOKUP(F1867,Customer,5,0)</f>
        <v>Gold Coast</v>
      </c>
      <c r="J1867" s="2">
        <v>25155</v>
      </c>
      <c r="K1867" s="2">
        <v>23753</v>
      </c>
      <c r="L1867" s="2">
        <v>3</v>
      </c>
      <c r="M1867" s="7">
        <f t="shared" ref="M1867:M1930" si="145">K1867*L1867</f>
        <v>71259</v>
      </c>
      <c r="N1867" s="7">
        <f t="shared" ref="N1867:N1930" si="146">J1867*L1867</f>
        <v>75465</v>
      </c>
      <c r="O1867" s="2">
        <v>36</v>
      </c>
      <c r="P1867" s="8">
        <f t="shared" ref="P1867:P1930" si="147">N1867+O1867</f>
        <v>75501</v>
      </c>
      <c r="Q1867" s="8">
        <f t="shared" ref="Q1867:Q1930" si="148">N1867-M1867</f>
        <v>4206</v>
      </c>
      <c r="R1867" s="2" t="s">
        <v>28</v>
      </c>
      <c r="S1867" s="24">
        <f t="shared" ref="S1867:S1930" si="149">VLOOKUP(N1867,$T$1:$U$7,2,TRUE)</f>
        <v>0.09</v>
      </c>
    </row>
    <row r="1868" spans="1:19" x14ac:dyDescent="0.25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>VLOOKUP(F1868,'Customer Info'!$A:$B,2,0)</f>
        <v>Charles</v>
      </c>
      <c r="H1868" s="6" t="str">
        <f>VLOOKUP(F1868,'Customer Info'!$A$1:$C$501,3,0)</f>
        <v>Sheldon</v>
      </c>
      <c r="I1868" s="6" t="str">
        <f>VLOOKUP(F1868,Customer,5,0)</f>
        <v>Brisbane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8">
        <f t="shared" si="147"/>
        <v>6071</v>
      </c>
      <c r="Q1868" s="8">
        <f t="shared" si="148"/>
        <v>333</v>
      </c>
      <c r="R1868" s="2" t="s">
        <v>56</v>
      </c>
      <c r="S1868" s="24">
        <f t="shared" si="149"/>
        <v>0.05</v>
      </c>
    </row>
    <row r="1869" spans="1:19" x14ac:dyDescent="0.25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>VLOOKUP(F1869,'Customer Info'!$A:$B,2,0)</f>
        <v>Brooke</v>
      </c>
      <c r="H1869" s="6" t="str">
        <f>VLOOKUP(F1869,'Customer Info'!$A$1:$C$501,3,0)</f>
        <v>Gillingham</v>
      </c>
      <c r="I1869" s="6" t="str">
        <f>VLOOKUP(F1869,Customer,5,0)</f>
        <v>Sunbury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8">
        <f t="shared" si="147"/>
        <v>236</v>
      </c>
      <c r="Q1869" s="8">
        <f t="shared" si="148"/>
        <v>17</v>
      </c>
      <c r="R1869" s="2" t="s">
        <v>28</v>
      </c>
      <c r="S1869" s="24">
        <f t="shared" si="149"/>
        <v>0.02</v>
      </c>
    </row>
    <row r="1870" spans="1:19" x14ac:dyDescent="0.25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>VLOOKUP(F1870,'Customer Info'!$A:$B,2,0)</f>
        <v>Claudia</v>
      </c>
      <c r="H1870" s="6" t="str">
        <f>VLOOKUP(F1870,'Customer Info'!$A$1:$C$501,3,0)</f>
        <v>Bergmann</v>
      </c>
      <c r="I1870" s="6" t="str">
        <f>VLOOKUP(F1870,Customer,5,0)</f>
        <v>Aschaffenburg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8">
        <f t="shared" si="147"/>
        <v>17298</v>
      </c>
      <c r="Q1870" s="8">
        <f t="shared" si="148"/>
        <v>1434</v>
      </c>
      <c r="R1870" s="2" t="s">
        <v>26</v>
      </c>
      <c r="S1870" s="24">
        <f t="shared" si="149"/>
        <v>0.05</v>
      </c>
    </row>
    <row r="1871" spans="1:19" x14ac:dyDescent="0.25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>VLOOKUP(F1871,'Customer Info'!$A:$B,2,0)</f>
        <v>Emily</v>
      </c>
      <c r="H1871" s="6" t="str">
        <f>VLOOKUP(F1871,'Customer Info'!$A$1:$C$501,3,0)</f>
        <v>Burns</v>
      </c>
      <c r="I1871" s="6" t="str">
        <f>VLOOKUP(F1871,Customer,5,0)</f>
        <v>Adelaide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8">
        <f t="shared" si="147"/>
        <v>2572</v>
      </c>
      <c r="Q1871" s="8">
        <f t="shared" si="148"/>
        <v>117</v>
      </c>
      <c r="R1871" s="2" t="s">
        <v>28</v>
      </c>
      <c r="S1871" s="24">
        <f t="shared" si="149"/>
        <v>0.02</v>
      </c>
    </row>
    <row r="1872" spans="1:19" x14ac:dyDescent="0.25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>VLOOKUP(F1872,'Customer Info'!$A:$B,2,0)</f>
        <v>Gary</v>
      </c>
      <c r="H1872" s="6" t="str">
        <f>VLOOKUP(F1872,'Customer Info'!$A$1:$C$501,3,0)</f>
        <v>Zandusky</v>
      </c>
      <c r="I1872" s="6" t="str">
        <f>VLOOKUP(F1872,Customer,5,0)</f>
        <v>Aligarh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4185</v>
      </c>
      <c r="O1872" s="2">
        <v>80</v>
      </c>
      <c r="P1872" s="8">
        <f t="shared" si="147"/>
        <v>4265</v>
      </c>
      <c r="Q1872" s="8">
        <f t="shared" si="148"/>
        <v>234</v>
      </c>
      <c r="R1872" s="2" t="s">
        <v>50</v>
      </c>
      <c r="S1872" s="24">
        <f t="shared" si="149"/>
        <v>0.02</v>
      </c>
    </row>
    <row r="1873" spans="1:19" x14ac:dyDescent="0.25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>VLOOKUP(F1873,'Customer Info'!$A:$B,2,0)</f>
        <v>Jennifer</v>
      </c>
      <c r="H1873" s="6" t="str">
        <f>VLOOKUP(F1873,'Customer Info'!$A$1:$C$501,3,0)</f>
        <v>Halladay</v>
      </c>
      <c r="I1873" s="6" t="str">
        <f>VLOOKUP(F1873,Customer,5,0)</f>
        <v>Krefeld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8424</v>
      </c>
      <c r="O1873" s="2">
        <v>86</v>
      </c>
      <c r="P1873" s="8">
        <f t="shared" si="147"/>
        <v>8510</v>
      </c>
      <c r="Q1873" s="8">
        <f t="shared" si="148"/>
        <v>402</v>
      </c>
      <c r="R1873" s="2" t="s">
        <v>26</v>
      </c>
      <c r="S1873" s="24">
        <f t="shared" si="149"/>
        <v>0.05</v>
      </c>
    </row>
    <row r="1874" spans="1:19" x14ac:dyDescent="0.25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>VLOOKUP(F1874,'Customer Info'!$A:$B,2,0)</f>
        <v>John</v>
      </c>
      <c r="H1874" s="6" t="str">
        <f>VLOOKUP(F1874,'Customer Info'!$A$1:$C$501,3,0)</f>
        <v>Grady</v>
      </c>
      <c r="I1874" s="6" t="str">
        <f>VLOOKUP(F1874,Customer,5,0)</f>
        <v>Mianyang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8175</v>
      </c>
      <c r="O1874" s="2">
        <v>89</v>
      </c>
      <c r="P1874" s="8">
        <f t="shared" si="147"/>
        <v>8264</v>
      </c>
      <c r="Q1874" s="8">
        <f t="shared" si="148"/>
        <v>310</v>
      </c>
      <c r="R1874" s="2" t="s">
        <v>50</v>
      </c>
      <c r="S1874" s="24">
        <f t="shared" si="149"/>
        <v>0.05</v>
      </c>
    </row>
    <row r="1875" spans="1:19" x14ac:dyDescent="0.25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>VLOOKUP(F1875,'Customer Info'!$A:$B,2,0)</f>
        <v>David</v>
      </c>
      <c r="H1875" s="6" t="str">
        <f>VLOOKUP(F1875,'Customer Info'!$A$1:$C$501,3,0)</f>
        <v>Kendrick</v>
      </c>
      <c r="I1875" s="6" t="str">
        <f>VLOOKUP(F1875,Customer,5,0)</f>
        <v>Kunming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3802</v>
      </c>
      <c r="O1875" s="2">
        <v>28</v>
      </c>
      <c r="P1875" s="8">
        <f t="shared" si="147"/>
        <v>3830</v>
      </c>
      <c r="Q1875" s="8">
        <f t="shared" si="148"/>
        <v>182</v>
      </c>
      <c r="R1875" s="2" t="s">
        <v>28</v>
      </c>
      <c r="S1875" s="24">
        <f t="shared" si="149"/>
        <v>0.02</v>
      </c>
    </row>
    <row r="1876" spans="1:19" x14ac:dyDescent="0.25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>VLOOKUP(F1876,'Customer Info'!$A:$B,2,0)</f>
        <v>Meg</v>
      </c>
      <c r="H1876" s="6" t="str">
        <f>VLOOKUP(F1876,'Customer Info'!$A$1:$C$501,3,0)</f>
        <v>Tillman</v>
      </c>
      <c r="I1876" s="6" t="str">
        <f>VLOOKUP(F1876,Customer,5,0)</f>
        <v>Melbourne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57044</v>
      </c>
      <c r="O1876" s="2">
        <v>99</v>
      </c>
      <c r="P1876" s="8">
        <f t="shared" si="147"/>
        <v>57143</v>
      </c>
      <c r="Q1876" s="8">
        <f t="shared" si="148"/>
        <v>4276</v>
      </c>
      <c r="R1876" s="2" t="s">
        <v>28</v>
      </c>
      <c r="S1876" s="24">
        <f t="shared" si="149"/>
        <v>0.09</v>
      </c>
    </row>
    <row r="1877" spans="1:19" x14ac:dyDescent="0.25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>VLOOKUP(F1877,'Customer Info'!$A:$B,2,0)</f>
        <v>Roger</v>
      </c>
      <c r="H1877" s="6" t="str">
        <f>VLOOKUP(F1877,'Customer Info'!$A$1:$C$501,3,0)</f>
        <v>Barcio</v>
      </c>
      <c r="I1877" s="6" t="str">
        <f>VLOOKUP(F1877,Customer,5,0)</f>
        <v>Celle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1846</v>
      </c>
      <c r="O1877" s="2">
        <v>60</v>
      </c>
      <c r="P1877" s="8">
        <f t="shared" si="147"/>
        <v>1906</v>
      </c>
      <c r="Q1877" s="8">
        <f t="shared" si="148"/>
        <v>88</v>
      </c>
      <c r="R1877" s="2" t="s">
        <v>50</v>
      </c>
      <c r="S1877" s="24">
        <f t="shared" si="149"/>
        <v>0.02</v>
      </c>
    </row>
    <row r="1878" spans="1:19" x14ac:dyDescent="0.25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>VLOOKUP(F1878,'Customer Info'!$A:$B,2,0)</f>
        <v>Philip</v>
      </c>
      <c r="H1878" s="6" t="str">
        <f>VLOOKUP(F1878,'Customer Info'!$A$1:$C$501,3,0)</f>
        <v>Brown</v>
      </c>
      <c r="I1878" s="6" t="str">
        <f>VLOOKUP(F1878,Customer,5,0)</f>
        <v>Binjai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4737</v>
      </c>
      <c r="O1878" s="2">
        <v>63</v>
      </c>
      <c r="P1878" s="8">
        <f t="shared" si="147"/>
        <v>4800</v>
      </c>
      <c r="Q1878" s="8">
        <f t="shared" si="148"/>
        <v>264</v>
      </c>
      <c r="R1878" s="2" t="s">
        <v>28</v>
      </c>
      <c r="S1878" s="24">
        <f t="shared" si="149"/>
        <v>0.02</v>
      </c>
    </row>
    <row r="1879" spans="1:19" x14ac:dyDescent="0.25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>VLOOKUP(F1879,'Customer Info'!$A:$B,2,0)</f>
        <v>Dave</v>
      </c>
      <c r="H1879" s="6" t="str">
        <f>VLOOKUP(F1879,'Customer Info'!$A$1:$C$501,3,0)</f>
        <v>Poirier</v>
      </c>
      <c r="I1879" s="6" t="str">
        <f>VLOOKUP(F1879,Customer,5,0)</f>
        <v>Suizhou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7026</v>
      </c>
      <c r="O1879" s="2">
        <v>34</v>
      </c>
      <c r="P1879" s="8">
        <f t="shared" si="147"/>
        <v>7060</v>
      </c>
      <c r="Q1879" s="8">
        <f t="shared" si="148"/>
        <v>396</v>
      </c>
      <c r="R1879" s="2" t="s">
        <v>50</v>
      </c>
      <c r="S1879" s="24">
        <f t="shared" si="149"/>
        <v>0.05</v>
      </c>
    </row>
    <row r="1880" spans="1:19" x14ac:dyDescent="0.25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>VLOOKUP(F1880,'Customer Info'!$A:$B,2,0)</f>
        <v>Duane</v>
      </c>
      <c r="H1880" s="6" t="str">
        <f>VLOOKUP(F1880,'Customer Info'!$A$1:$C$501,3,0)</f>
        <v>Huffman</v>
      </c>
      <c r="I1880" s="6" t="str">
        <f>VLOOKUP(F1880,Customer,5,0)</f>
        <v>Perth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6021</v>
      </c>
      <c r="O1880" s="2">
        <v>41</v>
      </c>
      <c r="P1880" s="8">
        <f t="shared" si="147"/>
        <v>6062</v>
      </c>
      <c r="Q1880" s="8">
        <f t="shared" si="148"/>
        <v>504</v>
      </c>
      <c r="R1880" s="2" t="s">
        <v>28</v>
      </c>
      <c r="S1880" s="24">
        <f t="shared" si="149"/>
        <v>0.05</v>
      </c>
    </row>
    <row r="1881" spans="1:19" x14ac:dyDescent="0.25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>VLOOKUP(F1881,'Customer Info'!$A:$B,2,0)</f>
        <v>Daniel</v>
      </c>
      <c r="H1881" s="6" t="str">
        <f>VLOOKUP(F1881,'Customer Info'!$A$1:$C$501,3,0)</f>
        <v>Raglin</v>
      </c>
      <c r="I1881" s="6" t="str">
        <f>VLOOKUP(F1881,Customer,5,0)</f>
        <v>Gold Coast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4840</v>
      </c>
      <c r="O1881" s="2">
        <v>41</v>
      </c>
      <c r="P1881" s="8">
        <f t="shared" si="147"/>
        <v>4881</v>
      </c>
      <c r="Q1881" s="8">
        <f t="shared" si="148"/>
        <v>184</v>
      </c>
      <c r="R1881" s="2" t="s">
        <v>28</v>
      </c>
      <c r="S1881" s="24">
        <f t="shared" si="149"/>
        <v>0.02</v>
      </c>
    </row>
    <row r="1882" spans="1:19" x14ac:dyDescent="0.25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>VLOOKUP(F1882,'Customer Info'!$A:$B,2,0)</f>
        <v>David</v>
      </c>
      <c r="H1882" s="6" t="str">
        <f>VLOOKUP(F1882,'Customer Info'!$A$1:$C$501,3,0)</f>
        <v>Philippe</v>
      </c>
      <c r="I1882" s="6" t="str">
        <f>VLOOKUP(F1882,Customer,5,0)</f>
        <v>Hamburg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4662</v>
      </c>
      <c r="O1882" s="2">
        <v>35</v>
      </c>
      <c r="P1882" s="8">
        <f t="shared" si="147"/>
        <v>4697</v>
      </c>
      <c r="Q1882" s="8">
        <f t="shared" si="148"/>
        <v>175</v>
      </c>
      <c r="R1882" s="2" t="s">
        <v>28</v>
      </c>
      <c r="S1882" s="24">
        <f t="shared" si="149"/>
        <v>0.02</v>
      </c>
    </row>
    <row r="1883" spans="1:19" x14ac:dyDescent="0.25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>VLOOKUP(F1883,'Customer Info'!$A:$B,2,0)</f>
        <v>Victoria</v>
      </c>
      <c r="H1883" s="6" t="str">
        <f>VLOOKUP(F1883,'Customer Info'!$A$1:$C$501,3,0)</f>
        <v>Brennan</v>
      </c>
      <c r="I1883" s="6" t="str">
        <f>VLOOKUP(F1883,Customer,5,0)</f>
        <v>Canberra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7623</v>
      </c>
      <c r="O1883" s="2">
        <v>57</v>
      </c>
      <c r="P1883" s="8">
        <f t="shared" si="147"/>
        <v>7680</v>
      </c>
      <c r="Q1883" s="8">
        <f t="shared" si="148"/>
        <v>559</v>
      </c>
      <c r="R1883" s="2" t="s">
        <v>28</v>
      </c>
      <c r="S1883" s="24">
        <f t="shared" si="149"/>
        <v>0.05</v>
      </c>
    </row>
    <row r="1884" spans="1:19" x14ac:dyDescent="0.25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>VLOOKUP(F1884,'Customer Info'!$A:$B,2,0)</f>
        <v>Toby</v>
      </c>
      <c r="H1884" s="6" t="str">
        <f>VLOOKUP(F1884,'Customer Info'!$A$1:$C$501,3,0)</f>
        <v>Gnade</v>
      </c>
      <c r="I1884" s="6" t="str">
        <f>VLOOKUP(F1884,Customer,5,0)</f>
        <v>Wagga Wagga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14722</v>
      </c>
      <c r="O1884" s="2">
        <v>98</v>
      </c>
      <c r="P1884" s="8">
        <f t="shared" si="147"/>
        <v>14820</v>
      </c>
      <c r="Q1884" s="8">
        <f t="shared" si="148"/>
        <v>948</v>
      </c>
      <c r="R1884" s="2" t="s">
        <v>28</v>
      </c>
      <c r="S1884" s="24">
        <f t="shared" si="149"/>
        <v>0.05</v>
      </c>
    </row>
    <row r="1885" spans="1:19" x14ac:dyDescent="0.25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>VLOOKUP(F1885,'Customer Info'!$A:$B,2,0)</f>
        <v>Liz</v>
      </c>
      <c r="H1885" s="6" t="str">
        <f>VLOOKUP(F1885,'Customer Info'!$A$1:$C$501,3,0)</f>
        <v>Pelletier</v>
      </c>
      <c r="I1885" s="6" t="str">
        <f>VLOOKUP(F1885,Customer,5,0)</f>
        <v>Zigong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5920</v>
      </c>
      <c r="O1885" s="2">
        <v>82</v>
      </c>
      <c r="P1885" s="8">
        <f t="shared" si="147"/>
        <v>6002</v>
      </c>
      <c r="Q1885" s="8">
        <f t="shared" si="148"/>
        <v>650</v>
      </c>
      <c r="R1885" s="2" t="s">
        <v>28</v>
      </c>
      <c r="S1885" s="24">
        <f t="shared" si="149"/>
        <v>0.05</v>
      </c>
    </row>
    <row r="1886" spans="1:19" x14ac:dyDescent="0.25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>VLOOKUP(F1886,'Customer Info'!$A:$B,2,0)</f>
        <v>Pauline</v>
      </c>
      <c r="H1886" s="6" t="str">
        <f>VLOOKUP(F1886,'Customer Info'!$A$1:$C$501,3,0)</f>
        <v>Chand</v>
      </c>
      <c r="I1886" s="6" t="str">
        <f>VLOOKUP(F1886,Customer,5,0)</f>
        <v>Perth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11825</v>
      </c>
      <c r="O1886" s="2">
        <v>35</v>
      </c>
      <c r="P1886" s="8">
        <f t="shared" si="147"/>
        <v>11860</v>
      </c>
      <c r="Q1886" s="8">
        <f t="shared" si="148"/>
        <v>665</v>
      </c>
      <c r="R1886" s="2" t="s">
        <v>28</v>
      </c>
      <c r="S1886" s="24">
        <f t="shared" si="149"/>
        <v>0.05</v>
      </c>
    </row>
    <row r="1887" spans="1:19" x14ac:dyDescent="0.25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>VLOOKUP(F1887,'Customer Info'!$A:$B,2,0)</f>
        <v>Kelly</v>
      </c>
      <c r="H1887" s="6" t="str">
        <f>VLOOKUP(F1887,'Customer Info'!$A$1:$C$501,3,0)</f>
        <v>Collister</v>
      </c>
      <c r="I1887" s="6" t="str">
        <f>VLOOKUP(F1887,Customer,5,0)</f>
        <v>Tangshan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6750</v>
      </c>
      <c r="O1887" s="2">
        <v>91</v>
      </c>
      <c r="P1887" s="8">
        <f t="shared" si="147"/>
        <v>6841</v>
      </c>
      <c r="Q1887" s="8">
        <f t="shared" si="148"/>
        <v>129</v>
      </c>
      <c r="R1887" s="2" t="s">
        <v>28</v>
      </c>
      <c r="S1887" s="24">
        <f t="shared" si="149"/>
        <v>0.05</v>
      </c>
    </row>
    <row r="1888" spans="1:19" x14ac:dyDescent="0.25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>VLOOKUP(F1888,'Customer Info'!$A:$B,2,0)</f>
        <v>Laurel</v>
      </c>
      <c r="H1888" s="6" t="str">
        <f>VLOOKUP(F1888,'Customer Info'!$A$1:$C$501,3,0)</f>
        <v>Beltran</v>
      </c>
      <c r="I1888" s="6" t="str">
        <f>VLOOKUP(F1888,Customer,5,0)</f>
        <v>Melbourne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3152</v>
      </c>
      <c r="O1888" s="2">
        <v>63</v>
      </c>
      <c r="P1888" s="8">
        <f t="shared" si="147"/>
        <v>3215</v>
      </c>
      <c r="Q1888" s="8">
        <f t="shared" si="148"/>
        <v>90</v>
      </c>
      <c r="R1888" s="2" t="s">
        <v>50</v>
      </c>
      <c r="S1888" s="24">
        <f t="shared" si="149"/>
        <v>0.02</v>
      </c>
    </row>
    <row r="1889" spans="1:19" x14ac:dyDescent="0.25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>VLOOKUP(F1889,'Customer Info'!$A:$B,2,0)</f>
        <v>Peter</v>
      </c>
      <c r="H1889" s="6" t="str">
        <f>VLOOKUP(F1889,'Customer Info'!$A$1:$C$501,3,0)</f>
        <v>BŸhler</v>
      </c>
      <c r="I1889" s="6" t="str">
        <f>VLOOKUP(F1889,Customer,5,0)</f>
        <v>Wolfsburg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1364</v>
      </c>
      <c r="O1889" s="2">
        <v>50</v>
      </c>
      <c r="P1889" s="8">
        <f t="shared" si="147"/>
        <v>1414</v>
      </c>
      <c r="Q1889" s="8">
        <f t="shared" si="148"/>
        <v>90</v>
      </c>
      <c r="R1889" s="2" t="s">
        <v>28</v>
      </c>
      <c r="S1889" s="24">
        <f t="shared" si="149"/>
        <v>0.02</v>
      </c>
    </row>
    <row r="1890" spans="1:19" x14ac:dyDescent="0.25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>VLOOKUP(F1890,'Customer Info'!$A:$B,2,0)</f>
        <v>Lynn</v>
      </c>
      <c r="H1890" s="6" t="str">
        <f>VLOOKUP(F1890,'Customer Info'!$A$1:$C$501,3,0)</f>
        <v>Smith</v>
      </c>
      <c r="I1890" s="6" t="str">
        <f>VLOOKUP(F1890,Customer,5,0)</f>
        <v>Guiping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11924</v>
      </c>
      <c r="O1890" s="2">
        <v>85</v>
      </c>
      <c r="P1890" s="8">
        <f t="shared" si="147"/>
        <v>12009</v>
      </c>
      <c r="Q1890" s="8">
        <f t="shared" si="148"/>
        <v>444</v>
      </c>
      <c r="R1890" s="2" t="s">
        <v>28</v>
      </c>
      <c r="S1890" s="24">
        <f t="shared" si="149"/>
        <v>0.05</v>
      </c>
    </row>
    <row r="1891" spans="1:19" x14ac:dyDescent="0.25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>VLOOKUP(F1891,'Customer Info'!$A:$B,2,0)</f>
        <v>Mike</v>
      </c>
      <c r="H1891" s="6" t="str">
        <f>VLOOKUP(F1891,'Customer Info'!$A$1:$C$501,3,0)</f>
        <v>Vittorini</v>
      </c>
      <c r="I1891" s="6" t="str">
        <f>VLOOKUP(F1891,Customer,5,0)</f>
        <v>Naihati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16280</v>
      </c>
      <c r="O1891" s="2">
        <v>50</v>
      </c>
      <c r="P1891" s="8">
        <f t="shared" si="147"/>
        <v>16330</v>
      </c>
      <c r="Q1891" s="8">
        <f t="shared" si="148"/>
        <v>1060</v>
      </c>
      <c r="R1891" s="2" t="s">
        <v>50</v>
      </c>
      <c r="S1891" s="24">
        <f t="shared" si="149"/>
        <v>0.05</v>
      </c>
    </row>
    <row r="1892" spans="1:19" x14ac:dyDescent="0.25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>VLOOKUP(F1892,'Customer Info'!$A:$B,2,0)</f>
        <v>Stewart</v>
      </c>
      <c r="H1892" s="6" t="str">
        <f>VLOOKUP(F1892,'Customer Info'!$A$1:$C$501,3,0)</f>
        <v>Visinsky</v>
      </c>
      <c r="I1892" s="6" t="str">
        <f>VLOOKUP(F1892,Customer,5,0)</f>
        <v>Shenyang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3274</v>
      </c>
      <c r="O1892" s="2">
        <v>37</v>
      </c>
      <c r="P1892" s="8">
        <f t="shared" si="147"/>
        <v>3311</v>
      </c>
      <c r="Q1892" s="8">
        <f t="shared" si="148"/>
        <v>92</v>
      </c>
      <c r="R1892" s="2" t="s">
        <v>50</v>
      </c>
      <c r="S1892" s="24">
        <f t="shared" si="149"/>
        <v>0.02</v>
      </c>
    </row>
    <row r="1893" spans="1:19" x14ac:dyDescent="0.25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>VLOOKUP(F1893,'Customer Info'!$A:$B,2,0)</f>
        <v>Julia</v>
      </c>
      <c r="H1893" s="6" t="str">
        <f>VLOOKUP(F1893,'Customer Info'!$A$1:$C$501,3,0)</f>
        <v>Dunbar</v>
      </c>
      <c r="I1893" s="6" t="str">
        <f>VLOOKUP(F1893,Customer,5,0)</f>
        <v>Cologne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384</v>
      </c>
      <c r="O1893" s="2">
        <v>30</v>
      </c>
      <c r="P1893" s="8">
        <f t="shared" si="147"/>
        <v>414</v>
      </c>
      <c r="Q1893" s="8">
        <f t="shared" si="148"/>
        <v>39</v>
      </c>
      <c r="R1893" s="2" t="s">
        <v>28</v>
      </c>
      <c r="S1893" s="24">
        <f t="shared" si="149"/>
        <v>0.02</v>
      </c>
    </row>
    <row r="1894" spans="1:19" x14ac:dyDescent="0.25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>VLOOKUP(F1894,'Customer Info'!$A:$B,2,0)</f>
        <v>Lynn</v>
      </c>
      <c r="H1894" s="6" t="str">
        <f>VLOOKUP(F1894,'Customer Info'!$A$1:$C$501,3,0)</f>
        <v>Smith</v>
      </c>
      <c r="I1894" s="6" t="str">
        <f>VLOOKUP(F1894,Customer,5,0)</f>
        <v>Kanpur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885</v>
      </c>
      <c r="O1894" s="2">
        <v>30</v>
      </c>
      <c r="P1894" s="8">
        <f t="shared" si="147"/>
        <v>915</v>
      </c>
      <c r="Q1894" s="8">
        <f t="shared" si="148"/>
        <v>40</v>
      </c>
      <c r="R1894" s="2" t="s">
        <v>26</v>
      </c>
      <c r="S1894" s="24">
        <f t="shared" si="149"/>
        <v>0.02</v>
      </c>
    </row>
    <row r="1895" spans="1:19" x14ac:dyDescent="0.25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>VLOOKUP(F1895,'Customer Info'!$A:$B,2,0)</f>
        <v>Stuart</v>
      </c>
      <c r="H1895" s="6" t="str">
        <f>VLOOKUP(F1895,'Customer Info'!$A$1:$C$501,3,0)</f>
        <v>Calhoun</v>
      </c>
      <c r="I1895" s="6" t="str">
        <f>VLOOKUP(F1895,Customer,5,0)</f>
        <v>Nowra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755</v>
      </c>
      <c r="O1895" s="2">
        <v>30</v>
      </c>
      <c r="P1895" s="8">
        <f t="shared" si="147"/>
        <v>785</v>
      </c>
      <c r="Q1895" s="8">
        <f t="shared" si="148"/>
        <v>60</v>
      </c>
      <c r="R1895" s="2" t="s">
        <v>28</v>
      </c>
      <c r="S1895" s="24">
        <f t="shared" si="149"/>
        <v>0.02</v>
      </c>
    </row>
    <row r="1896" spans="1:19" x14ac:dyDescent="0.25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>VLOOKUP(F1896,'Customer Info'!$A:$B,2,0)</f>
        <v>Mick</v>
      </c>
      <c r="H1896" s="6" t="str">
        <f>VLOOKUP(F1896,'Customer Info'!$A$1:$C$501,3,0)</f>
        <v>Crebagga</v>
      </c>
      <c r="I1896" s="6" t="str">
        <f>VLOOKUP(F1896,Customer,5,0)</f>
        <v>Banjarmasin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270</v>
      </c>
      <c r="O1896" s="2">
        <v>30</v>
      </c>
      <c r="P1896" s="8">
        <f t="shared" si="147"/>
        <v>300</v>
      </c>
      <c r="Q1896" s="8">
        <f t="shared" si="148"/>
        <v>12</v>
      </c>
      <c r="R1896" s="2" t="s">
        <v>56</v>
      </c>
      <c r="S1896" s="24">
        <f t="shared" si="149"/>
        <v>0.02</v>
      </c>
    </row>
    <row r="1897" spans="1:19" x14ac:dyDescent="0.25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>VLOOKUP(F1897,'Customer Info'!$A:$B,2,0)</f>
        <v>Thea</v>
      </c>
      <c r="H1897" s="6" t="str">
        <f>VLOOKUP(F1897,'Customer Info'!$A$1:$C$501,3,0)</f>
        <v>Hudgings</v>
      </c>
      <c r="I1897" s="6" t="str">
        <f>VLOOKUP(F1897,Customer,5,0)</f>
        <v>Anshan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6800</v>
      </c>
      <c r="O1897" s="2">
        <v>75</v>
      </c>
      <c r="P1897" s="8">
        <f t="shared" si="147"/>
        <v>6875</v>
      </c>
      <c r="Q1897" s="8">
        <f t="shared" si="148"/>
        <v>320</v>
      </c>
      <c r="R1897" s="2" t="s">
        <v>28</v>
      </c>
      <c r="S1897" s="24">
        <f t="shared" si="149"/>
        <v>0.05</v>
      </c>
    </row>
    <row r="1898" spans="1:19" x14ac:dyDescent="0.25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>VLOOKUP(F1898,'Customer Info'!$A:$B,2,0)</f>
        <v>Ryan</v>
      </c>
      <c r="H1898" s="6" t="str">
        <f>VLOOKUP(F1898,'Customer Info'!$A$1:$C$501,3,0)</f>
        <v>Crowe</v>
      </c>
      <c r="I1898" s="6" t="str">
        <f>VLOOKUP(F1898,Customer,5,0)</f>
        <v>Kanpur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189</v>
      </c>
      <c r="O1898" s="2">
        <v>10</v>
      </c>
      <c r="P1898" s="8">
        <f t="shared" si="147"/>
        <v>199</v>
      </c>
      <c r="Q1898" s="8">
        <f t="shared" si="148"/>
        <v>15</v>
      </c>
      <c r="R1898" s="2" t="s">
        <v>50</v>
      </c>
      <c r="S1898" s="24">
        <f t="shared" si="149"/>
        <v>0.02</v>
      </c>
    </row>
    <row r="1899" spans="1:19" x14ac:dyDescent="0.25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>VLOOKUP(F1899,'Customer Info'!$A:$B,2,0)</f>
        <v>Mark</v>
      </c>
      <c r="H1899" s="6" t="str">
        <f>VLOOKUP(F1899,'Customer Info'!$A$1:$C$501,3,0)</f>
        <v>Packer</v>
      </c>
      <c r="I1899" s="6" t="str">
        <f>VLOOKUP(F1899,Customer,5,0)</f>
        <v>Perth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7534</v>
      </c>
      <c r="O1899" s="2">
        <v>34</v>
      </c>
      <c r="P1899" s="8">
        <f t="shared" si="147"/>
        <v>7568</v>
      </c>
      <c r="Q1899" s="8">
        <f t="shared" si="148"/>
        <v>428</v>
      </c>
      <c r="R1899" s="2" t="s">
        <v>28</v>
      </c>
      <c r="S1899" s="24">
        <f t="shared" si="149"/>
        <v>0.05</v>
      </c>
    </row>
    <row r="1900" spans="1:19" x14ac:dyDescent="0.25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>VLOOKUP(F1900,'Customer Info'!$A:$B,2,0)</f>
        <v>Sung</v>
      </c>
      <c r="H1900" s="6" t="str">
        <f>VLOOKUP(F1900,'Customer Info'!$A$1:$C$501,3,0)</f>
        <v>Pak</v>
      </c>
      <c r="I1900" s="6" t="str">
        <f>VLOOKUP(F1900,Customer,5,0)</f>
        <v>Chaozhou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179</v>
      </c>
      <c r="O1900" s="2">
        <v>30</v>
      </c>
      <c r="P1900" s="8">
        <f t="shared" si="147"/>
        <v>209</v>
      </c>
      <c r="Q1900" s="8">
        <f t="shared" si="148"/>
        <v>13</v>
      </c>
      <c r="R1900" s="2" t="s">
        <v>28</v>
      </c>
      <c r="S1900" s="24">
        <f t="shared" si="149"/>
        <v>0.02</v>
      </c>
    </row>
    <row r="1901" spans="1:19" x14ac:dyDescent="0.25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>VLOOKUP(F1901,'Customer Info'!$A:$B,2,0)</f>
        <v>Becky</v>
      </c>
      <c r="H1901" s="6" t="str">
        <f>VLOOKUP(F1901,'Customer Info'!$A$1:$C$501,3,0)</f>
        <v>Castell</v>
      </c>
      <c r="I1901" s="6" t="str">
        <f>VLOOKUP(F1901,Customer,5,0)</f>
        <v>Berlin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2250</v>
      </c>
      <c r="O1901" s="2">
        <v>71</v>
      </c>
      <c r="P1901" s="8">
        <f t="shared" si="147"/>
        <v>2321</v>
      </c>
      <c r="Q1901" s="8">
        <f t="shared" si="148"/>
        <v>170</v>
      </c>
      <c r="R1901" s="2" t="s">
        <v>28</v>
      </c>
      <c r="S1901" s="24">
        <f t="shared" si="149"/>
        <v>0.02</v>
      </c>
    </row>
    <row r="1902" spans="1:19" x14ac:dyDescent="0.25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>VLOOKUP(F1902,'Customer Info'!$A:$B,2,0)</f>
        <v>Joy</v>
      </c>
      <c r="H1902" s="6" t="str">
        <f>VLOOKUP(F1902,'Customer Info'!$A$1:$C$501,3,0)</f>
        <v>Daniels</v>
      </c>
      <c r="I1902" s="6" t="str">
        <f>VLOOKUP(F1902,Customer,5,0)</f>
        <v>Cairns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32808</v>
      </c>
      <c r="O1902" s="2">
        <v>56</v>
      </c>
      <c r="P1902" s="8">
        <f t="shared" si="147"/>
        <v>32864</v>
      </c>
      <c r="Q1902" s="8">
        <f t="shared" si="148"/>
        <v>2432</v>
      </c>
      <c r="R1902" s="2" t="s">
        <v>50</v>
      </c>
      <c r="S1902" s="24">
        <f t="shared" si="149"/>
        <v>7.0000000000000007E-2</v>
      </c>
    </row>
    <row r="1903" spans="1:19" x14ac:dyDescent="0.25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>VLOOKUP(F1903,'Customer Info'!$A:$B,2,0)</f>
        <v>Julie</v>
      </c>
      <c r="H1903" s="6" t="str">
        <f>VLOOKUP(F1903,'Customer Info'!$A$1:$C$501,3,0)</f>
        <v>Creighton</v>
      </c>
      <c r="I1903" s="6" t="str">
        <f>VLOOKUP(F1903,Customer,5,0)</f>
        <v>Bandung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592</v>
      </c>
      <c r="O1903" s="2">
        <v>30</v>
      </c>
      <c r="P1903" s="8">
        <f t="shared" si="147"/>
        <v>622</v>
      </c>
      <c r="Q1903" s="8">
        <f t="shared" si="148"/>
        <v>48</v>
      </c>
      <c r="R1903" s="2" t="s">
        <v>28</v>
      </c>
      <c r="S1903" s="24">
        <f t="shared" si="149"/>
        <v>0.02</v>
      </c>
    </row>
    <row r="1904" spans="1:19" x14ac:dyDescent="0.25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>VLOOKUP(F1904,'Customer Info'!$A:$B,2,0)</f>
        <v>Eugene</v>
      </c>
      <c r="H1904" s="6" t="str">
        <f>VLOOKUP(F1904,'Customer Info'!$A$1:$C$501,3,0)</f>
        <v>Hildebrand</v>
      </c>
      <c r="I1904" s="6" t="str">
        <f>VLOOKUP(F1904,Customer,5,0)</f>
        <v>Coffs Harbour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4599</v>
      </c>
      <c r="O1904" s="2">
        <v>75</v>
      </c>
      <c r="P1904" s="8">
        <f t="shared" si="147"/>
        <v>4674</v>
      </c>
      <c r="Q1904" s="8">
        <f t="shared" si="148"/>
        <v>381</v>
      </c>
      <c r="R1904" s="2" t="s">
        <v>28</v>
      </c>
      <c r="S1904" s="24">
        <f t="shared" si="149"/>
        <v>0.02</v>
      </c>
    </row>
    <row r="1905" spans="1:19" x14ac:dyDescent="0.25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>VLOOKUP(F1905,'Customer Info'!$A:$B,2,0)</f>
        <v>Logan</v>
      </c>
      <c r="H1905" s="6" t="str">
        <f>VLOOKUP(F1905,'Customer Info'!$A$1:$C$501,3,0)</f>
        <v>Currie</v>
      </c>
      <c r="I1905" s="6" t="str">
        <f>VLOOKUP(F1905,Customer,5,0)</f>
        <v>Anshan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1372</v>
      </c>
      <c r="O1905" s="2">
        <v>21</v>
      </c>
      <c r="P1905" s="8">
        <f t="shared" si="147"/>
        <v>1393</v>
      </c>
      <c r="Q1905" s="8">
        <f t="shared" si="148"/>
        <v>64</v>
      </c>
      <c r="R1905" s="2" t="s">
        <v>26</v>
      </c>
      <c r="S1905" s="24">
        <f t="shared" si="149"/>
        <v>0.02</v>
      </c>
    </row>
    <row r="1906" spans="1:19" x14ac:dyDescent="0.25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>VLOOKUP(F1906,'Customer Info'!$A:$B,2,0)</f>
        <v>Logan</v>
      </c>
      <c r="H1906" s="6" t="str">
        <f>VLOOKUP(F1906,'Customer Info'!$A$1:$C$501,3,0)</f>
        <v>Haushalter</v>
      </c>
      <c r="I1906" s="6" t="str">
        <f>VLOOKUP(F1906,Customer,5,0)</f>
        <v>Canberra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55382</v>
      </c>
      <c r="O1906" s="2">
        <v>69</v>
      </c>
      <c r="P1906" s="8">
        <f t="shared" si="147"/>
        <v>55451</v>
      </c>
      <c r="Q1906" s="8">
        <f t="shared" si="148"/>
        <v>4150</v>
      </c>
      <c r="R1906" s="2" t="s">
        <v>28</v>
      </c>
      <c r="S1906" s="24">
        <f t="shared" si="149"/>
        <v>0.09</v>
      </c>
    </row>
    <row r="1907" spans="1:19" x14ac:dyDescent="0.25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>VLOOKUP(F1907,'Customer Info'!$A:$B,2,0)</f>
        <v>Thomas</v>
      </c>
      <c r="H1907" s="6" t="str">
        <f>VLOOKUP(F1907,'Customer Info'!$A$1:$C$501,3,0)</f>
        <v>Boland</v>
      </c>
      <c r="I1907" s="6" t="str">
        <f>VLOOKUP(F1907,Customer,5,0)</f>
        <v>Newcastle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9630</v>
      </c>
      <c r="O1907" s="2">
        <v>27</v>
      </c>
      <c r="P1907" s="8">
        <f t="shared" si="147"/>
        <v>9657</v>
      </c>
      <c r="Q1907" s="8">
        <f t="shared" si="148"/>
        <v>708</v>
      </c>
      <c r="R1907" s="2" t="s">
        <v>50</v>
      </c>
      <c r="S1907" s="24">
        <f t="shared" si="149"/>
        <v>0.05</v>
      </c>
    </row>
    <row r="1908" spans="1:19" x14ac:dyDescent="0.25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>VLOOKUP(F1908,'Customer Info'!$A:$B,2,0)</f>
        <v>Sara</v>
      </c>
      <c r="H1908" s="6" t="str">
        <f>VLOOKUP(F1908,'Customer Info'!$A$1:$C$501,3,0)</f>
        <v>Luxemburg</v>
      </c>
      <c r="I1908" s="6" t="str">
        <f>VLOOKUP(F1908,Customer,5,0)</f>
        <v>Luoyang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1422</v>
      </c>
      <c r="O1908" s="2">
        <v>26</v>
      </c>
      <c r="P1908" s="8">
        <f t="shared" si="147"/>
        <v>1448</v>
      </c>
      <c r="Q1908" s="8">
        <f t="shared" si="148"/>
        <v>93</v>
      </c>
      <c r="R1908" s="2" t="s">
        <v>28</v>
      </c>
      <c r="S1908" s="24">
        <f t="shared" si="149"/>
        <v>0.02</v>
      </c>
    </row>
    <row r="1909" spans="1:19" x14ac:dyDescent="0.25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>VLOOKUP(F1909,'Customer Info'!$A:$B,2,0)</f>
        <v>Shahid</v>
      </c>
      <c r="H1909" s="6" t="str">
        <f>VLOOKUP(F1909,'Customer Info'!$A$1:$C$501,3,0)</f>
        <v>Collister</v>
      </c>
      <c r="I1909" s="6" t="str">
        <f>VLOOKUP(F1909,Customer,5,0)</f>
        <v>Leipzig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2627</v>
      </c>
      <c r="O1909" s="2">
        <v>95</v>
      </c>
      <c r="P1909" s="8">
        <f t="shared" si="147"/>
        <v>2722</v>
      </c>
      <c r="Q1909" s="8">
        <f t="shared" si="148"/>
        <v>99</v>
      </c>
      <c r="R1909" s="2" t="s">
        <v>28</v>
      </c>
      <c r="S1909" s="24">
        <f t="shared" si="149"/>
        <v>0.02</v>
      </c>
    </row>
    <row r="1910" spans="1:19" x14ac:dyDescent="0.25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>VLOOKUP(F1910,'Customer Info'!$A:$B,2,0)</f>
        <v>Kristina</v>
      </c>
      <c r="H1910" s="6" t="str">
        <f>VLOOKUP(F1910,'Customer Info'!$A$1:$C$501,3,0)</f>
        <v>Nunn</v>
      </c>
      <c r="I1910" s="6" t="str">
        <f>VLOOKUP(F1910,Customer,5,0)</f>
        <v>Sydney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14872</v>
      </c>
      <c r="O1910" s="2">
        <v>28</v>
      </c>
      <c r="P1910" s="8">
        <f t="shared" si="147"/>
        <v>14900</v>
      </c>
      <c r="Q1910" s="8">
        <f t="shared" si="148"/>
        <v>832</v>
      </c>
      <c r="R1910" s="2" t="s">
        <v>28</v>
      </c>
      <c r="S1910" s="24">
        <f t="shared" si="149"/>
        <v>0.05</v>
      </c>
    </row>
    <row r="1911" spans="1:19" x14ac:dyDescent="0.25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>VLOOKUP(F1911,'Customer Info'!$A:$B,2,0)</f>
        <v>Bruce</v>
      </c>
      <c r="H1911" s="6" t="str">
        <f>VLOOKUP(F1911,'Customer Info'!$A$1:$C$501,3,0)</f>
        <v>Geld</v>
      </c>
      <c r="I1911" s="6" t="str">
        <f>VLOOKUP(F1911,Customer,5,0)</f>
        <v>Wollongong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417</v>
      </c>
      <c r="O1911" s="2">
        <v>30</v>
      </c>
      <c r="P1911" s="8">
        <f t="shared" si="147"/>
        <v>447</v>
      </c>
      <c r="Q1911" s="8">
        <f t="shared" si="148"/>
        <v>18</v>
      </c>
      <c r="R1911" s="2" t="s">
        <v>28</v>
      </c>
      <c r="S1911" s="24">
        <f t="shared" si="149"/>
        <v>0.02</v>
      </c>
    </row>
    <row r="1912" spans="1:19" x14ac:dyDescent="0.25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>VLOOKUP(F1912,'Customer Info'!$A:$B,2,0)</f>
        <v>Stefanie</v>
      </c>
      <c r="H1912" s="6" t="str">
        <f>VLOOKUP(F1912,'Customer Info'!$A$1:$C$501,3,0)</f>
        <v>Holloman</v>
      </c>
      <c r="I1912" s="6" t="str">
        <f>VLOOKUP(F1912,Customer,5,0)</f>
        <v>Durgapur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7160</v>
      </c>
      <c r="O1912" s="2">
        <v>94</v>
      </c>
      <c r="P1912" s="8">
        <f t="shared" si="147"/>
        <v>7254</v>
      </c>
      <c r="Q1912" s="8">
        <f t="shared" si="148"/>
        <v>336</v>
      </c>
      <c r="R1912" s="2" t="s">
        <v>26</v>
      </c>
      <c r="S1912" s="24">
        <f t="shared" si="149"/>
        <v>0.05</v>
      </c>
    </row>
    <row r="1913" spans="1:19" x14ac:dyDescent="0.25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>VLOOKUP(F1913,'Customer Info'!$A:$B,2,0)</f>
        <v>Dennis</v>
      </c>
      <c r="H1913" s="6" t="str">
        <f>VLOOKUP(F1913,'Customer Info'!$A$1:$C$501,3,0)</f>
        <v>Pardue</v>
      </c>
      <c r="I1913" s="6" t="str">
        <f>VLOOKUP(F1913,Customer,5,0)</f>
        <v>Pekalongan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5620</v>
      </c>
      <c r="O1913" s="2">
        <v>48</v>
      </c>
      <c r="P1913" s="8">
        <f t="shared" si="147"/>
        <v>5668</v>
      </c>
      <c r="Q1913" s="8">
        <f t="shared" si="148"/>
        <v>472</v>
      </c>
      <c r="R1913" s="2" t="s">
        <v>28</v>
      </c>
      <c r="S1913" s="24">
        <f t="shared" si="149"/>
        <v>0.05</v>
      </c>
    </row>
    <row r="1914" spans="1:19" x14ac:dyDescent="0.25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>VLOOKUP(F1914,'Customer Info'!$A:$B,2,0)</f>
        <v>Matt</v>
      </c>
      <c r="H1914" s="6" t="str">
        <f>VLOOKUP(F1914,'Customer Info'!$A$1:$C$501,3,0)</f>
        <v>Collins</v>
      </c>
      <c r="I1914" s="6" t="str">
        <f>VLOOKUP(F1914,Customer,5,0)</f>
        <v>Mumbai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2178</v>
      </c>
      <c r="O1914" s="2">
        <v>75</v>
      </c>
      <c r="P1914" s="8">
        <f t="shared" si="147"/>
        <v>2253</v>
      </c>
      <c r="Q1914" s="8">
        <f t="shared" si="148"/>
        <v>240</v>
      </c>
      <c r="R1914" s="2" t="s">
        <v>28</v>
      </c>
      <c r="S1914" s="24">
        <f t="shared" si="149"/>
        <v>0.02</v>
      </c>
    </row>
    <row r="1915" spans="1:19" x14ac:dyDescent="0.25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>VLOOKUP(F1915,'Customer Info'!$A:$B,2,0)</f>
        <v>Toby</v>
      </c>
      <c r="H1915" s="6" t="str">
        <f>VLOOKUP(F1915,'Customer Info'!$A$1:$C$501,3,0)</f>
        <v>Braunhardt</v>
      </c>
      <c r="I1915" s="6" t="str">
        <f>VLOOKUP(F1915,Customer,5,0)</f>
        <v>Perth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2244</v>
      </c>
      <c r="O1915" s="2">
        <v>39</v>
      </c>
      <c r="P1915" s="8">
        <f t="shared" si="147"/>
        <v>2283</v>
      </c>
      <c r="Q1915" s="8">
        <f t="shared" si="148"/>
        <v>101</v>
      </c>
      <c r="R1915" s="2" t="s">
        <v>50</v>
      </c>
      <c r="S1915" s="24">
        <f t="shared" si="149"/>
        <v>0.02</v>
      </c>
    </row>
    <row r="1916" spans="1:19" x14ac:dyDescent="0.25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>VLOOKUP(F1916,'Customer Info'!$A:$B,2,0)</f>
        <v>Tony</v>
      </c>
      <c r="H1916" s="6" t="str">
        <f>VLOOKUP(F1916,'Customer Info'!$A$1:$C$501,3,0)</f>
        <v>Sayre</v>
      </c>
      <c r="I1916" s="6" t="str">
        <f>VLOOKUP(F1916,Customer,5,0)</f>
        <v>Wafangdian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7212</v>
      </c>
      <c r="O1916" s="2">
        <v>24</v>
      </c>
      <c r="P1916" s="8">
        <f t="shared" si="147"/>
        <v>7236</v>
      </c>
      <c r="Q1916" s="8">
        <f t="shared" si="148"/>
        <v>475</v>
      </c>
      <c r="R1916" s="2" t="s">
        <v>50</v>
      </c>
      <c r="S1916" s="24">
        <f t="shared" si="149"/>
        <v>0.05</v>
      </c>
    </row>
    <row r="1917" spans="1:19" x14ac:dyDescent="0.25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>VLOOKUP(F1917,'Customer Info'!$A:$B,2,0)</f>
        <v>Ivan</v>
      </c>
      <c r="H1917" s="6" t="str">
        <f>VLOOKUP(F1917,'Customer Info'!$A$1:$C$501,3,0)</f>
        <v>Gibson</v>
      </c>
      <c r="I1917" s="6" t="str">
        <f>VLOOKUP(F1917,Customer,5,0)</f>
        <v>Shanghai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2078</v>
      </c>
      <c r="O1917" s="2">
        <v>85</v>
      </c>
      <c r="P1917" s="8">
        <f t="shared" si="147"/>
        <v>2163</v>
      </c>
      <c r="Q1917" s="8">
        <f t="shared" si="148"/>
        <v>170</v>
      </c>
      <c r="R1917" s="2" t="s">
        <v>28</v>
      </c>
      <c r="S1917" s="24">
        <f t="shared" si="149"/>
        <v>0.02</v>
      </c>
    </row>
    <row r="1918" spans="1:19" x14ac:dyDescent="0.25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>VLOOKUP(F1918,'Customer Info'!$A:$B,2,0)</f>
        <v>Barry</v>
      </c>
      <c r="H1918" s="6" t="str">
        <f>VLOOKUP(F1918,'Customer Info'!$A$1:$C$501,3,0)</f>
        <v>Franzšsisch</v>
      </c>
      <c r="I1918" s="6" t="str">
        <f>VLOOKUP(F1918,Customer,5,0)</f>
        <v>Canberra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33732</v>
      </c>
      <c r="O1918" s="2">
        <v>34</v>
      </c>
      <c r="P1918" s="8">
        <f t="shared" si="147"/>
        <v>33766</v>
      </c>
      <c r="Q1918" s="8">
        <f t="shared" si="148"/>
        <v>2528</v>
      </c>
      <c r="R1918" s="2" t="s">
        <v>26</v>
      </c>
      <c r="S1918" s="24">
        <f t="shared" si="149"/>
        <v>7.0000000000000007E-2</v>
      </c>
    </row>
    <row r="1919" spans="1:19" x14ac:dyDescent="0.25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>VLOOKUP(F1919,'Customer Info'!$A:$B,2,0)</f>
        <v>Thais</v>
      </c>
      <c r="H1919" s="6" t="str">
        <f>VLOOKUP(F1919,'Customer Info'!$A$1:$C$501,3,0)</f>
        <v>Sissman</v>
      </c>
      <c r="I1919" s="6" t="str">
        <f>VLOOKUP(F1919,Customer,5,0)</f>
        <v>Essen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92</v>
      </c>
      <c r="O1919" s="2">
        <v>10</v>
      </c>
      <c r="P1919" s="8">
        <f t="shared" si="147"/>
        <v>102</v>
      </c>
      <c r="Q1919" s="8">
        <f t="shared" si="148"/>
        <v>10</v>
      </c>
      <c r="R1919" s="2" t="s">
        <v>50</v>
      </c>
      <c r="S1919" s="24">
        <f t="shared" si="149"/>
        <v>0.02</v>
      </c>
    </row>
    <row r="1920" spans="1:19" x14ac:dyDescent="0.25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>VLOOKUP(F1920,'Customer Info'!$A:$B,2,0)</f>
        <v>Lynn</v>
      </c>
      <c r="H1920" s="6" t="str">
        <f>VLOOKUP(F1920,'Customer Info'!$A$1:$C$501,3,0)</f>
        <v>Smith</v>
      </c>
      <c r="I1920" s="6" t="str">
        <f>VLOOKUP(F1920,Customer,5,0)</f>
        <v>Kanpur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1792</v>
      </c>
      <c r="O1920" s="2">
        <v>20</v>
      </c>
      <c r="P1920" s="8">
        <f t="shared" si="147"/>
        <v>1812</v>
      </c>
      <c r="Q1920" s="8">
        <f t="shared" si="148"/>
        <v>112</v>
      </c>
      <c r="R1920" s="2" t="s">
        <v>50</v>
      </c>
      <c r="S1920" s="24">
        <f t="shared" si="149"/>
        <v>0.02</v>
      </c>
    </row>
    <row r="1921" spans="1:19" x14ac:dyDescent="0.25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>VLOOKUP(F1921,'Customer Info'!$A:$B,2,0)</f>
        <v>Brooke</v>
      </c>
      <c r="H1921" s="6" t="str">
        <f>VLOOKUP(F1921,'Customer Info'!$A$1:$C$501,3,0)</f>
        <v>Gillingham</v>
      </c>
      <c r="I1921" s="6" t="str">
        <f>VLOOKUP(F1921,Customer,5,0)</f>
        <v>Geraldton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3128</v>
      </c>
      <c r="O1921" s="2">
        <v>35</v>
      </c>
      <c r="P1921" s="8">
        <f t="shared" si="147"/>
        <v>3163</v>
      </c>
      <c r="Q1921" s="8">
        <f t="shared" si="148"/>
        <v>288</v>
      </c>
      <c r="R1921" s="2" t="s">
        <v>28</v>
      </c>
      <c r="S1921" s="24">
        <f t="shared" si="149"/>
        <v>0.02</v>
      </c>
    </row>
    <row r="1922" spans="1:19" x14ac:dyDescent="0.25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>VLOOKUP(F1922,'Customer Info'!$A:$B,2,0)</f>
        <v>Thea</v>
      </c>
      <c r="H1922" s="6" t="str">
        <f>VLOOKUP(F1922,'Customer Info'!$A$1:$C$501,3,0)</f>
        <v>Hendricks</v>
      </c>
      <c r="I1922" s="6" t="str">
        <f>VLOOKUP(F1922,Customer,5,0)</f>
        <v>Moers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6296</v>
      </c>
      <c r="O1922" s="2">
        <v>52</v>
      </c>
      <c r="P1922" s="8">
        <f t="shared" si="147"/>
        <v>6348</v>
      </c>
      <c r="Q1922" s="8">
        <f t="shared" si="148"/>
        <v>464</v>
      </c>
      <c r="R1922" s="2" t="s">
        <v>28</v>
      </c>
      <c r="S1922" s="24">
        <f t="shared" si="149"/>
        <v>0.05</v>
      </c>
    </row>
    <row r="1923" spans="1:19" x14ac:dyDescent="0.25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>VLOOKUP(F1923,'Customer Info'!$A:$B,2,0)</f>
        <v>Sara</v>
      </c>
      <c r="H1923" s="6" t="str">
        <f>VLOOKUP(F1923,'Customer Info'!$A$1:$C$501,3,0)</f>
        <v>Luxemburg</v>
      </c>
      <c r="I1923" s="6" t="str">
        <f>VLOOKUP(F1923,Customer,5,0)</f>
        <v>Luoyang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7864</v>
      </c>
      <c r="O1923" s="2">
        <v>47</v>
      </c>
      <c r="P1923" s="8">
        <f t="shared" si="147"/>
        <v>7911</v>
      </c>
      <c r="Q1923" s="8">
        <f t="shared" si="148"/>
        <v>301</v>
      </c>
      <c r="R1923" s="2" t="s">
        <v>28</v>
      </c>
      <c r="S1923" s="24">
        <f t="shared" si="149"/>
        <v>0.05</v>
      </c>
    </row>
    <row r="1924" spans="1:19" x14ac:dyDescent="0.25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>VLOOKUP(F1924,'Customer Info'!$A:$B,2,0)</f>
        <v>Darrin</v>
      </c>
      <c r="H1924" s="6" t="str">
        <f>VLOOKUP(F1924,'Customer Info'!$A$1:$C$501,3,0)</f>
        <v>Sayre</v>
      </c>
      <c r="I1924" s="6" t="str">
        <f>VLOOKUP(F1924,Customer,5,0)</f>
        <v>Duisburg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114984</v>
      </c>
      <c r="O1924" s="2">
        <v>71</v>
      </c>
      <c r="P1924" s="8">
        <f t="shared" si="147"/>
        <v>115055</v>
      </c>
      <c r="Q1924" s="8">
        <f t="shared" si="148"/>
        <v>9492</v>
      </c>
      <c r="R1924" s="2" t="s">
        <v>28</v>
      </c>
      <c r="S1924" s="24">
        <f t="shared" si="149"/>
        <v>0.12</v>
      </c>
    </row>
    <row r="1925" spans="1:19" x14ac:dyDescent="0.25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>VLOOKUP(F1925,'Customer Info'!$A:$B,2,0)</f>
        <v>Alejandro</v>
      </c>
      <c r="H1925" s="6" t="str">
        <f>VLOOKUP(F1925,'Customer Info'!$A$1:$C$501,3,0)</f>
        <v>Ballentine</v>
      </c>
      <c r="I1925" s="6" t="str">
        <f>VLOOKUP(F1925,Customer,5,0)</f>
        <v>Mannheim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1413</v>
      </c>
      <c r="O1925" s="2">
        <v>70</v>
      </c>
      <c r="P1925" s="8">
        <f t="shared" si="147"/>
        <v>1483</v>
      </c>
      <c r="Q1925" s="8">
        <f t="shared" si="148"/>
        <v>79</v>
      </c>
      <c r="R1925" s="2" t="s">
        <v>50</v>
      </c>
      <c r="S1925" s="24">
        <f t="shared" si="149"/>
        <v>0.02</v>
      </c>
    </row>
    <row r="1926" spans="1:19" x14ac:dyDescent="0.25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>VLOOKUP(F1926,'Customer Info'!$A:$B,2,0)</f>
        <v>Deirdre</v>
      </c>
      <c r="H1926" s="6" t="str">
        <f>VLOOKUP(F1926,'Customer Info'!$A$1:$C$501,3,0)</f>
        <v>Greer</v>
      </c>
      <c r="I1926" s="6" t="str">
        <f>VLOOKUP(F1926,Customer,5,0)</f>
        <v>Perth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12174</v>
      </c>
      <c r="O1926" s="2">
        <v>51</v>
      </c>
      <c r="P1926" s="8">
        <f t="shared" si="147"/>
        <v>12225</v>
      </c>
      <c r="Q1926" s="8">
        <f t="shared" si="148"/>
        <v>558</v>
      </c>
      <c r="R1926" s="2" t="s">
        <v>26</v>
      </c>
      <c r="S1926" s="24">
        <f t="shared" si="149"/>
        <v>0.05</v>
      </c>
    </row>
    <row r="1927" spans="1:19" x14ac:dyDescent="0.25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>VLOOKUP(F1927,'Customer Info'!$A:$B,2,0)</f>
        <v>Kristina</v>
      </c>
      <c r="H1927" s="6" t="str">
        <f>VLOOKUP(F1927,'Customer Info'!$A$1:$C$501,3,0)</f>
        <v>Nunn</v>
      </c>
      <c r="I1927" s="6" t="str">
        <f>VLOOKUP(F1927,Customer,5,0)</f>
        <v>Sydney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9410</v>
      </c>
      <c r="O1927" s="2">
        <v>36</v>
      </c>
      <c r="P1927" s="8">
        <f t="shared" si="147"/>
        <v>9446</v>
      </c>
      <c r="Q1927" s="8">
        <f t="shared" si="148"/>
        <v>450</v>
      </c>
      <c r="R1927" s="2" t="s">
        <v>26</v>
      </c>
      <c r="S1927" s="24">
        <f t="shared" si="149"/>
        <v>0.05</v>
      </c>
    </row>
    <row r="1928" spans="1:19" x14ac:dyDescent="0.25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>VLOOKUP(F1928,'Customer Info'!$A:$B,2,0)</f>
        <v>Logan</v>
      </c>
      <c r="H1928" s="6" t="str">
        <f>VLOOKUP(F1928,'Customer Info'!$A$1:$C$501,3,0)</f>
        <v>Haushalter</v>
      </c>
      <c r="I1928" s="6" t="str">
        <f>VLOOKUP(F1928,Customer,5,0)</f>
        <v>Canberra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412</v>
      </c>
      <c r="O1928" s="2">
        <v>30</v>
      </c>
      <c r="P1928" s="8">
        <f t="shared" si="147"/>
        <v>442</v>
      </c>
      <c r="Q1928" s="8">
        <f t="shared" si="148"/>
        <v>34</v>
      </c>
      <c r="R1928" s="2" t="s">
        <v>28</v>
      </c>
      <c r="S1928" s="24">
        <f t="shared" si="149"/>
        <v>0.02</v>
      </c>
    </row>
    <row r="1929" spans="1:19" x14ac:dyDescent="0.25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>VLOOKUP(F1929,'Customer Info'!$A:$B,2,0)</f>
        <v>Olvera</v>
      </c>
      <c r="H1929" s="6" t="str">
        <f>VLOOKUP(F1929,'Customer Info'!$A$1:$C$501,3,0)</f>
        <v>Toch</v>
      </c>
      <c r="I1929" s="6" t="str">
        <f>VLOOKUP(F1929,Customer,5,0)</f>
        <v>Wollongong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486</v>
      </c>
      <c r="O1929" s="2">
        <v>30</v>
      </c>
      <c r="P1929" s="8">
        <f t="shared" si="147"/>
        <v>516</v>
      </c>
      <c r="Q1929" s="8">
        <f t="shared" si="148"/>
        <v>42</v>
      </c>
      <c r="R1929" s="2" t="s">
        <v>28</v>
      </c>
      <c r="S1929" s="24">
        <f t="shared" si="149"/>
        <v>0.02</v>
      </c>
    </row>
    <row r="1930" spans="1:19" x14ac:dyDescent="0.25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>VLOOKUP(F1930,'Customer Info'!$A:$B,2,0)</f>
        <v>Julie</v>
      </c>
      <c r="H1930" s="6" t="str">
        <f>VLOOKUP(F1930,'Customer Info'!$A$1:$C$501,3,0)</f>
        <v>Creighton</v>
      </c>
      <c r="I1930" s="6" t="str">
        <f>VLOOKUP(F1930,Customer,5,0)</f>
        <v>Bandung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8470</v>
      </c>
      <c r="O1930" s="2">
        <v>25</v>
      </c>
      <c r="P1930" s="8">
        <f t="shared" si="147"/>
        <v>8495</v>
      </c>
      <c r="Q1930" s="8">
        <f t="shared" si="148"/>
        <v>322</v>
      </c>
      <c r="R1930" s="2" t="s">
        <v>28</v>
      </c>
      <c r="S1930" s="24">
        <f t="shared" si="149"/>
        <v>0.05</v>
      </c>
    </row>
    <row r="1931" spans="1:19" x14ac:dyDescent="0.25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>VLOOKUP(F1931,'Customer Info'!$A:$B,2,0)</f>
        <v>Michelle</v>
      </c>
      <c r="H1931" s="6" t="str">
        <f>VLOOKUP(F1931,'Customer Info'!$A$1:$C$501,3,0)</f>
        <v>Arnett</v>
      </c>
      <c r="I1931" s="6" t="str">
        <f>VLOOKUP(F1931,Customer,5,0)</f>
        <v>Yancheng</v>
      </c>
      <c r="J1931" s="2">
        <v>220</v>
      </c>
      <c r="K1931" s="2">
        <v>206</v>
      </c>
      <c r="L1931" s="2">
        <v>4</v>
      </c>
      <c r="M1931" s="7">
        <f t="shared" ref="M1931:M1994" si="150">K1931*L1931</f>
        <v>824</v>
      </c>
      <c r="N1931" s="7">
        <f t="shared" ref="N1931:N1994" si="151">J1931*L1931</f>
        <v>880</v>
      </c>
      <c r="O1931" s="2">
        <v>41</v>
      </c>
      <c r="P1931" s="8">
        <f t="shared" ref="P1931:P1994" si="152">N1931+O1931</f>
        <v>921</v>
      </c>
      <c r="Q1931" s="8">
        <f t="shared" ref="Q1931:Q1994" si="153">N1931-M1931</f>
        <v>56</v>
      </c>
      <c r="R1931" s="2" t="s">
        <v>28</v>
      </c>
      <c r="S1931" s="24">
        <f t="shared" ref="S1931:S1994" si="154">VLOOKUP(N1931,$T$1:$U$7,2,TRUE)</f>
        <v>0.02</v>
      </c>
    </row>
    <row r="1932" spans="1:19" x14ac:dyDescent="0.25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>VLOOKUP(F1932,'Customer Info'!$A:$B,2,0)</f>
        <v>Kunst</v>
      </c>
      <c r="H1932" s="6" t="str">
        <f>VLOOKUP(F1932,'Customer Info'!$A$1:$C$501,3,0)</f>
        <v>Miller</v>
      </c>
      <c r="I1932" s="6" t="str">
        <f>VLOOKUP(F1932,Customer,5,0)</f>
        <v>Jakarta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8">
        <f t="shared" si="152"/>
        <v>1494</v>
      </c>
      <c r="Q1932" s="8">
        <f t="shared" si="153"/>
        <v>93</v>
      </c>
      <c r="R1932" s="2" t="s">
        <v>28</v>
      </c>
      <c r="S1932" s="24">
        <f t="shared" si="154"/>
        <v>0.02</v>
      </c>
    </row>
    <row r="1933" spans="1:19" x14ac:dyDescent="0.25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>VLOOKUP(F1933,'Customer Info'!$A:$B,2,0)</f>
        <v>Dana</v>
      </c>
      <c r="H1933" s="6" t="str">
        <f>VLOOKUP(F1933,'Customer Info'!$A$1:$C$501,3,0)</f>
        <v>Kaydos</v>
      </c>
      <c r="I1933" s="6" t="str">
        <f>VLOOKUP(F1933,Customer,5,0)</f>
        <v>Nagercoil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8">
        <f t="shared" si="152"/>
        <v>4572</v>
      </c>
      <c r="Q1933" s="8">
        <f t="shared" si="153"/>
        <v>334</v>
      </c>
      <c r="R1933" s="2" t="s">
        <v>26</v>
      </c>
      <c r="S1933" s="24">
        <f t="shared" si="154"/>
        <v>0.02</v>
      </c>
    </row>
    <row r="1934" spans="1:19" x14ac:dyDescent="0.25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>VLOOKUP(F1934,'Customer Info'!$A:$B,2,0)</f>
        <v>Stefania</v>
      </c>
      <c r="H1934" s="6" t="str">
        <f>VLOOKUP(F1934,'Customer Info'!$A$1:$C$501,3,0)</f>
        <v>Perrino</v>
      </c>
      <c r="I1934" s="6" t="str">
        <f>VLOOKUP(F1934,Customer,5,0)</f>
        <v>Albury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8">
        <f t="shared" si="152"/>
        <v>72182</v>
      </c>
      <c r="Q1934" s="8">
        <f t="shared" si="153"/>
        <v>4058</v>
      </c>
      <c r="R1934" s="2" t="s">
        <v>50</v>
      </c>
      <c r="S1934" s="24">
        <f t="shared" si="154"/>
        <v>0.09</v>
      </c>
    </row>
    <row r="1935" spans="1:19" x14ac:dyDescent="0.25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>VLOOKUP(F1935,'Customer Info'!$A:$B,2,0)</f>
        <v>Ann</v>
      </c>
      <c r="H1935" s="6" t="str">
        <f>VLOOKUP(F1935,'Customer Info'!$A$1:$C$501,3,0)</f>
        <v>Chong</v>
      </c>
      <c r="I1935" s="6" t="str">
        <f>VLOOKUP(F1935,Customer,5,0)</f>
        <v>Sydney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8">
        <f t="shared" si="152"/>
        <v>2785</v>
      </c>
      <c r="Q1935" s="8">
        <f t="shared" si="153"/>
        <v>202</v>
      </c>
      <c r="R1935" s="2" t="s">
        <v>28</v>
      </c>
      <c r="S1935" s="24">
        <f t="shared" si="154"/>
        <v>0.02</v>
      </c>
    </row>
    <row r="1936" spans="1:19" x14ac:dyDescent="0.25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>VLOOKUP(F1936,'Customer Info'!$A:$B,2,0)</f>
        <v>Nick</v>
      </c>
      <c r="H1936" s="6" t="str">
        <f>VLOOKUP(F1936,'Customer Info'!$A$1:$C$501,3,0)</f>
        <v>Radford</v>
      </c>
      <c r="I1936" s="6" t="str">
        <f>VLOOKUP(F1936,Customer,5,0)</f>
        <v>Lucknow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501</v>
      </c>
      <c r="O1936" s="2">
        <v>30</v>
      </c>
      <c r="P1936" s="8">
        <f t="shared" si="152"/>
        <v>531</v>
      </c>
      <c r="Q1936" s="8">
        <f t="shared" si="153"/>
        <v>36</v>
      </c>
      <c r="R1936" s="2" t="s">
        <v>28</v>
      </c>
      <c r="S1936" s="24">
        <f t="shared" si="154"/>
        <v>0.02</v>
      </c>
    </row>
    <row r="1937" spans="1:19" x14ac:dyDescent="0.25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>VLOOKUP(F1937,'Customer Info'!$A:$B,2,0)</f>
        <v>Kristina</v>
      </c>
      <c r="H1937" s="6" t="str">
        <f>VLOOKUP(F1937,'Customer Info'!$A$1:$C$501,3,0)</f>
        <v>Nunn</v>
      </c>
      <c r="I1937" s="6" t="str">
        <f>VLOOKUP(F1937,Customer,5,0)</f>
        <v>Sydney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21063</v>
      </c>
      <c r="O1937" s="2">
        <v>36</v>
      </c>
      <c r="P1937" s="8">
        <f t="shared" si="152"/>
        <v>21099</v>
      </c>
      <c r="Q1937" s="8">
        <f t="shared" si="153"/>
        <v>1005</v>
      </c>
      <c r="R1937" s="2" t="s">
        <v>50</v>
      </c>
      <c r="S1937" s="24">
        <f t="shared" si="154"/>
        <v>0.05</v>
      </c>
    </row>
    <row r="1938" spans="1:19" x14ac:dyDescent="0.25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>VLOOKUP(F1938,'Customer Info'!$A:$B,2,0)</f>
        <v>Ted</v>
      </c>
      <c r="H1938" s="6" t="str">
        <f>VLOOKUP(F1938,'Customer Info'!$A$1:$C$501,3,0)</f>
        <v>Trevino</v>
      </c>
      <c r="I1938" s="6" t="str">
        <f>VLOOKUP(F1938,Customer,5,0)</f>
        <v>Gold Coast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1422</v>
      </c>
      <c r="O1938" s="2">
        <v>35</v>
      </c>
      <c r="P1938" s="8">
        <f t="shared" si="152"/>
        <v>1457</v>
      </c>
      <c r="Q1938" s="8">
        <f t="shared" si="153"/>
        <v>93</v>
      </c>
      <c r="R1938" s="2" t="s">
        <v>28</v>
      </c>
      <c r="S1938" s="24">
        <f t="shared" si="154"/>
        <v>0.02</v>
      </c>
    </row>
    <row r="1939" spans="1:19" x14ac:dyDescent="0.25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>VLOOKUP(F1939,'Customer Info'!$A:$B,2,0)</f>
        <v>Evan</v>
      </c>
      <c r="H1939" s="6" t="str">
        <f>VLOOKUP(F1939,'Customer Info'!$A$1:$C$501,3,0)</f>
        <v>Bailliet</v>
      </c>
      <c r="I1939" s="6" t="str">
        <f>VLOOKUP(F1939,Customer,5,0)</f>
        <v>Sydney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27691</v>
      </c>
      <c r="O1939" s="2">
        <v>80</v>
      </c>
      <c r="P1939" s="8">
        <f t="shared" si="152"/>
        <v>27771</v>
      </c>
      <c r="Q1939" s="8">
        <f t="shared" si="153"/>
        <v>2075</v>
      </c>
      <c r="R1939" s="2" t="s">
        <v>28</v>
      </c>
      <c r="S1939" s="24">
        <f t="shared" si="154"/>
        <v>7.0000000000000007E-2</v>
      </c>
    </row>
    <row r="1940" spans="1:19" x14ac:dyDescent="0.25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>VLOOKUP(F1940,'Customer Info'!$A:$B,2,0)</f>
        <v>Sarah</v>
      </c>
      <c r="H1940" s="6" t="str">
        <f>VLOOKUP(F1940,'Customer Info'!$A$1:$C$501,3,0)</f>
        <v>Foster</v>
      </c>
      <c r="I1940" s="6" t="str">
        <f>VLOOKUP(F1940,Customer,5,0)</f>
        <v>Xianning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27099</v>
      </c>
      <c r="O1940" s="2">
        <v>43</v>
      </c>
      <c r="P1940" s="8">
        <f t="shared" si="152"/>
        <v>27142</v>
      </c>
      <c r="Q1940" s="8">
        <f t="shared" si="153"/>
        <v>2703</v>
      </c>
      <c r="R1940" s="2" t="s">
        <v>28</v>
      </c>
      <c r="S1940" s="24">
        <f t="shared" si="154"/>
        <v>7.0000000000000007E-2</v>
      </c>
    </row>
    <row r="1941" spans="1:19" x14ac:dyDescent="0.25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>VLOOKUP(F1941,'Customer Info'!$A:$B,2,0)</f>
        <v>Emily</v>
      </c>
      <c r="H1941" s="6" t="str">
        <f>VLOOKUP(F1941,'Customer Info'!$A$1:$C$501,3,0)</f>
        <v>Burns</v>
      </c>
      <c r="I1941" s="6" t="str">
        <f>VLOOKUP(F1941,Customer,5,0)</f>
        <v>Chennai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10204</v>
      </c>
      <c r="O1941" s="2">
        <v>52</v>
      </c>
      <c r="P1941" s="8">
        <f t="shared" si="152"/>
        <v>10256</v>
      </c>
      <c r="Q1941" s="8">
        <f t="shared" si="153"/>
        <v>380</v>
      </c>
      <c r="R1941" s="2" t="s">
        <v>28</v>
      </c>
      <c r="S1941" s="24">
        <f t="shared" si="154"/>
        <v>0.05</v>
      </c>
    </row>
    <row r="1942" spans="1:19" x14ac:dyDescent="0.25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>VLOOKUP(F1942,'Customer Info'!$A:$B,2,0)</f>
        <v>Cyra</v>
      </c>
      <c r="H1942" s="6" t="str">
        <f>VLOOKUP(F1942,'Customer Info'!$A$1:$C$501,3,0)</f>
        <v>Reiten</v>
      </c>
      <c r="I1942" s="6" t="str">
        <f>VLOOKUP(F1942,Customer,5,0)</f>
        <v>Samarinda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405</v>
      </c>
      <c r="O1942" s="2">
        <v>30</v>
      </c>
      <c r="P1942" s="8">
        <f t="shared" si="152"/>
        <v>435</v>
      </c>
      <c r="Q1942" s="8">
        <f t="shared" si="153"/>
        <v>18</v>
      </c>
      <c r="R1942" s="2" t="s">
        <v>50</v>
      </c>
      <c r="S1942" s="24">
        <f t="shared" si="154"/>
        <v>0.02</v>
      </c>
    </row>
    <row r="1943" spans="1:19" x14ac:dyDescent="0.25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>VLOOKUP(F1943,'Customer Info'!$A:$B,2,0)</f>
        <v>Brooke</v>
      </c>
      <c r="H1943" s="6" t="str">
        <f>VLOOKUP(F1943,'Customer Info'!$A$1:$C$501,3,0)</f>
        <v>Gillingham</v>
      </c>
      <c r="I1943" s="6" t="str">
        <f>VLOOKUP(F1943,Customer,5,0)</f>
        <v>Geraldton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9214</v>
      </c>
      <c r="O1943" s="2">
        <v>78</v>
      </c>
      <c r="P1943" s="8">
        <f t="shared" si="152"/>
        <v>9292</v>
      </c>
      <c r="Q1943" s="8">
        <f t="shared" si="153"/>
        <v>919</v>
      </c>
      <c r="R1943" s="2" t="s">
        <v>50</v>
      </c>
      <c r="S1943" s="24">
        <f t="shared" si="154"/>
        <v>0.05</v>
      </c>
    </row>
    <row r="1944" spans="1:19" x14ac:dyDescent="0.25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>VLOOKUP(F1944,'Customer Info'!$A:$B,2,0)</f>
        <v>Shirley</v>
      </c>
      <c r="H1944" s="6" t="str">
        <f>VLOOKUP(F1944,'Customer Info'!$A$1:$C$501,3,0)</f>
        <v>Schmidt</v>
      </c>
      <c r="I1944" s="6" t="str">
        <f>VLOOKUP(F1944,Customer,5,0)</f>
        <v>Bijapur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725</v>
      </c>
      <c r="O1944" s="2">
        <v>30</v>
      </c>
      <c r="P1944" s="8">
        <f t="shared" si="152"/>
        <v>755</v>
      </c>
      <c r="Q1944" s="8">
        <f t="shared" si="153"/>
        <v>75</v>
      </c>
      <c r="R1944" s="2" t="s">
        <v>56</v>
      </c>
      <c r="S1944" s="24">
        <f t="shared" si="154"/>
        <v>0.02</v>
      </c>
    </row>
    <row r="1945" spans="1:19" x14ac:dyDescent="0.25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>VLOOKUP(F1945,'Customer Info'!$A:$B,2,0)</f>
        <v>Rachel</v>
      </c>
      <c r="H1945" s="6" t="str">
        <f>VLOOKUP(F1945,'Customer Info'!$A$1:$C$501,3,0)</f>
        <v>Payne</v>
      </c>
      <c r="I1945" s="6" t="str">
        <f>VLOOKUP(F1945,Customer,5,0)</f>
        <v>Raipur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832</v>
      </c>
      <c r="O1945" s="2">
        <v>72</v>
      </c>
      <c r="P1945" s="8">
        <f t="shared" si="152"/>
        <v>904</v>
      </c>
      <c r="Q1945" s="8">
        <f t="shared" si="153"/>
        <v>84</v>
      </c>
      <c r="R1945" s="2" t="s">
        <v>28</v>
      </c>
      <c r="S1945" s="24">
        <f t="shared" si="154"/>
        <v>0.02</v>
      </c>
    </row>
    <row r="1946" spans="1:19" x14ac:dyDescent="0.25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>VLOOKUP(F1946,'Customer Info'!$A:$B,2,0)</f>
        <v>Nick</v>
      </c>
      <c r="H1946" s="6" t="str">
        <f>VLOOKUP(F1946,'Customer Info'!$A$1:$C$501,3,0)</f>
        <v>Radford</v>
      </c>
      <c r="I1946" s="6" t="str">
        <f>VLOOKUP(F1946,Customer,5,0)</f>
        <v>Lucknow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5362</v>
      </c>
      <c r="O1946" s="2">
        <v>60</v>
      </c>
      <c r="P1946" s="8">
        <f t="shared" si="152"/>
        <v>5422</v>
      </c>
      <c r="Q1946" s="8">
        <f t="shared" si="153"/>
        <v>446</v>
      </c>
      <c r="R1946" s="2" t="s">
        <v>50</v>
      </c>
      <c r="S1946" s="24">
        <f t="shared" si="154"/>
        <v>0.05</v>
      </c>
    </row>
    <row r="1947" spans="1:19" x14ac:dyDescent="0.25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>VLOOKUP(F1947,'Customer Info'!$A:$B,2,0)</f>
        <v>Thomas</v>
      </c>
      <c r="H1947" s="6" t="str">
        <f>VLOOKUP(F1947,'Customer Info'!$A$1:$C$501,3,0)</f>
        <v>Brumley</v>
      </c>
      <c r="I1947" s="6" t="str">
        <f>VLOOKUP(F1947,Customer,5,0)</f>
        <v>Jinan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5316</v>
      </c>
      <c r="O1947" s="2">
        <v>25</v>
      </c>
      <c r="P1947" s="8">
        <f t="shared" si="152"/>
        <v>5341</v>
      </c>
      <c r="Q1947" s="8">
        <f t="shared" si="153"/>
        <v>348</v>
      </c>
      <c r="R1947" s="2" t="s">
        <v>50</v>
      </c>
      <c r="S1947" s="24">
        <f t="shared" si="154"/>
        <v>0.05</v>
      </c>
    </row>
    <row r="1948" spans="1:19" x14ac:dyDescent="0.25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>VLOOKUP(F1948,'Customer Info'!$A:$B,2,0)</f>
        <v>Evan</v>
      </c>
      <c r="H1948" s="6" t="str">
        <f>VLOOKUP(F1948,'Customer Info'!$A$1:$C$501,3,0)</f>
        <v>Bailliet</v>
      </c>
      <c r="I1948" s="6" t="str">
        <f>VLOOKUP(F1948,Customer,5,0)</f>
        <v>Sydney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8972</v>
      </c>
      <c r="O1948" s="2">
        <v>40</v>
      </c>
      <c r="P1948" s="8">
        <f t="shared" si="152"/>
        <v>9012</v>
      </c>
      <c r="Q1948" s="8">
        <f t="shared" si="153"/>
        <v>972</v>
      </c>
      <c r="R1948" s="2" t="s">
        <v>56</v>
      </c>
      <c r="S1948" s="24">
        <f t="shared" si="154"/>
        <v>0.05</v>
      </c>
    </row>
    <row r="1949" spans="1:19" x14ac:dyDescent="0.25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>VLOOKUP(F1949,'Customer Info'!$A:$B,2,0)</f>
        <v>Cyra</v>
      </c>
      <c r="H1949" s="6" t="str">
        <f>VLOOKUP(F1949,'Customer Info'!$A$1:$C$501,3,0)</f>
        <v>Reiten</v>
      </c>
      <c r="I1949" s="6" t="str">
        <f>VLOOKUP(F1949,Customer,5,0)</f>
        <v>Samarinda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1022</v>
      </c>
      <c r="O1949" s="2">
        <v>70</v>
      </c>
      <c r="P1949" s="8">
        <f t="shared" si="152"/>
        <v>1092</v>
      </c>
      <c r="Q1949" s="8">
        <f t="shared" si="153"/>
        <v>68</v>
      </c>
      <c r="R1949" s="2" t="s">
        <v>28</v>
      </c>
      <c r="S1949" s="24">
        <f t="shared" si="154"/>
        <v>0.02</v>
      </c>
    </row>
    <row r="1950" spans="1:19" x14ac:dyDescent="0.25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>VLOOKUP(F1950,'Customer Info'!$A:$B,2,0)</f>
        <v>Dave</v>
      </c>
      <c r="H1950" s="6" t="str">
        <f>VLOOKUP(F1950,'Customer Info'!$A$1:$C$501,3,0)</f>
        <v>Hallsten</v>
      </c>
      <c r="I1950" s="6" t="str">
        <f>VLOOKUP(F1950,Customer,5,0)</f>
        <v>Melbourne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2427</v>
      </c>
      <c r="O1950" s="2">
        <v>74</v>
      </c>
      <c r="P1950" s="8">
        <f t="shared" si="152"/>
        <v>2501</v>
      </c>
      <c r="Q1950" s="8">
        <f t="shared" si="153"/>
        <v>117</v>
      </c>
      <c r="R1950" s="2" t="s">
        <v>28</v>
      </c>
      <c r="S1950" s="24">
        <f t="shared" si="154"/>
        <v>0.02</v>
      </c>
    </row>
    <row r="1951" spans="1:19" x14ac:dyDescent="0.25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>VLOOKUP(F1951,'Customer Info'!$A:$B,2,0)</f>
        <v>Alejandro</v>
      </c>
      <c r="H1951" s="6" t="str">
        <f>VLOOKUP(F1951,'Customer Info'!$A$1:$C$501,3,0)</f>
        <v>Ballentine</v>
      </c>
      <c r="I1951" s="6" t="str">
        <f>VLOOKUP(F1951,Customer,5,0)</f>
        <v>Mannheim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8781</v>
      </c>
      <c r="O1951" s="2">
        <v>61</v>
      </c>
      <c r="P1951" s="8">
        <f t="shared" si="152"/>
        <v>8842</v>
      </c>
      <c r="Q1951" s="8">
        <f t="shared" si="153"/>
        <v>953</v>
      </c>
      <c r="R1951" s="2" t="s">
        <v>28</v>
      </c>
      <c r="S1951" s="24">
        <f t="shared" si="154"/>
        <v>0.05</v>
      </c>
    </row>
    <row r="1952" spans="1:19" x14ac:dyDescent="0.25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>VLOOKUP(F1952,'Customer Info'!$A:$B,2,0)</f>
        <v>Fred</v>
      </c>
      <c r="H1952" s="6" t="str">
        <f>VLOOKUP(F1952,'Customer Info'!$A$1:$C$501,3,0)</f>
        <v>Hopkins</v>
      </c>
      <c r="I1952" s="6" t="str">
        <f>VLOOKUP(F1952,Customer,5,0)</f>
        <v>Sydney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358</v>
      </c>
      <c r="O1952" s="2">
        <v>30</v>
      </c>
      <c r="P1952" s="8">
        <f t="shared" si="152"/>
        <v>388</v>
      </c>
      <c r="Q1952" s="8">
        <f t="shared" si="153"/>
        <v>26</v>
      </c>
      <c r="R1952" s="2" t="s">
        <v>50</v>
      </c>
      <c r="S1952" s="24">
        <f t="shared" si="154"/>
        <v>0.02</v>
      </c>
    </row>
    <row r="1953" spans="1:19" x14ac:dyDescent="0.25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>VLOOKUP(F1953,'Customer Info'!$A:$B,2,0)</f>
        <v>Sanjit</v>
      </c>
      <c r="H1953" s="6" t="str">
        <f>VLOOKUP(F1953,'Customer Info'!$A$1:$C$501,3,0)</f>
        <v>Jacobs</v>
      </c>
      <c r="I1953" s="6" t="str">
        <f>VLOOKUP(F1953,Customer,5,0)</f>
        <v>Munich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7232</v>
      </c>
      <c r="O1953" s="2">
        <v>54</v>
      </c>
      <c r="P1953" s="8">
        <f t="shared" si="152"/>
        <v>7286</v>
      </c>
      <c r="Q1953" s="8">
        <f t="shared" si="153"/>
        <v>479</v>
      </c>
      <c r="R1953" s="2" t="s">
        <v>28</v>
      </c>
      <c r="S1953" s="24">
        <f t="shared" si="154"/>
        <v>0.05</v>
      </c>
    </row>
    <row r="1954" spans="1:19" x14ac:dyDescent="0.25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>VLOOKUP(F1954,'Customer Info'!$A:$B,2,0)</f>
        <v>Dana</v>
      </c>
      <c r="H1954" s="6" t="str">
        <f>VLOOKUP(F1954,'Customer Info'!$A$1:$C$501,3,0)</f>
        <v>Kaydos</v>
      </c>
      <c r="I1954" s="6" t="str">
        <f>VLOOKUP(F1954,Customer,5,0)</f>
        <v>Nagercoil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14282</v>
      </c>
      <c r="O1954" s="2">
        <v>58</v>
      </c>
      <c r="P1954" s="8">
        <f t="shared" si="152"/>
        <v>14340</v>
      </c>
      <c r="Q1954" s="8">
        <f t="shared" si="153"/>
        <v>1200</v>
      </c>
      <c r="R1954" s="2" t="s">
        <v>56</v>
      </c>
      <c r="S1954" s="24">
        <f t="shared" si="154"/>
        <v>0.05</v>
      </c>
    </row>
    <row r="1955" spans="1:19" x14ac:dyDescent="0.25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>VLOOKUP(F1955,'Customer Info'!$A:$B,2,0)</f>
        <v>Dave</v>
      </c>
      <c r="H1955" s="6" t="str">
        <f>VLOOKUP(F1955,'Customer Info'!$A$1:$C$501,3,0)</f>
        <v>Poirier</v>
      </c>
      <c r="I1955" s="6" t="str">
        <f>VLOOKUP(F1955,Customer,5,0)</f>
        <v>Changchun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1859</v>
      </c>
      <c r="O1955" s="2">
        <v>75</v>
      </c>
      <c r="P1955" s="8">
        <f t="shared" si="152"/>
        <v>1934</v>
      </c>
      <c r="Q1955" s="8">
        <f t="shared" si="153"/>
        <v>104</v>
      </c>
      <c r="R1955" s="2" t="s">
        <v>50</v>
      </c>
      <c r="S1955" s="24">
        <f t="shared" si="154"/>
        <v>0.02</v>
      </c>
    </row>
    <row r="1956" spans="1:19" x14ac:dyDescent="0.25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>VLOOKUP(F1956,'Customer Info'!$A:$B,2,0)</f>
        <v>Jason</v>
      </c>
      <c r="H1956" s="6" t="str">
        <f>VLOOKUP(F1956,'Customer Info'!$A$1:$C$501,3,0)</f>
        <v>Gross</v>
      </c>
      <c r="I1956" s="6" t="str">
        <f>VLOOKUP(F1956,Customer,5,0)</f>
        <v>Sydney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8184</v>
      </c>
      <c r="O1956" s="2">
        <v>96</v>
      </c>
      <c r="P1956" s="8">
        <f t="shared" si="152"/>
        <v>8280</v>
      </c>
      <c r="Q1956" s="8">
        <f t="shared" si="153"/>
        <v>540</v>
      </c>
      <c r="R1956" s="2" t="s">
        <v>28</v>
      </c>
      <c r="S1956" s="24">
        <f t="shared" si="154"/>
        <v>0.05</v>
      </c>
    </row>
    <row r="1957" spans="1:19" x14ac:dyDescent="0.25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>VLOOKUP(F1957,'Customer Info'!$A:$B,2,0)</f>
        <v>Alex</v>
      </c>
      <c r="H1957" s="6" t="str">
        <f>VLOOKUP(F1957,'Customer Info'!$A$1:$C$501,3,0)</f>
        <v>Avila</v>
      </c>
      <c r="I1957" s="6" t="str">
        <f>VLOOKUP(F1957,Customer,5,0)</f>
        <v>Agra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3728</v>
      </c>
      <c r="O1957" s="2">
        <v>75</v>
      </c>
      <c r="P1957" s="8">
        <f t="shared" si="152"/>
        <v>3803</v>
      </c>
      <c r="Q1957" s="8">
        <f t="shared" si="153"/>
        <v>376</v>
      </c>
      <c r="R1957" s="2" t="s">
        <v>50</v>
      </c>
      <c r="S1957" s="24">
        <f t="shared" si="154"/>
        <v>0.02</v>
      </c>
    </row>
    <row r="1958" spans="1:19" x14ac:dyDescent="0.25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>VLOOKUP(F1958,'Customer Info'!$A:$B,2,0)</f>
        <v>Hunter</v>
      </c>
      <c r="H1958" s="6" t="str">
        <f>VLOOKUP(F1958,'Customer Info'!$A$1:$C$501,3,0)</f>
        <v>Lopez</v>
      </c>
      <c r="I1958" s="6" t="str">
        <f>VLOOKUP(F1958,Customer,5,0)</f>
        <v>Wollongong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4784</v>
      </c>
      <c r="O1958" s="2">
        <v>64</v>
      </c>
      <c r="P1958" s="8">
        <f t="shared" si="152"/>
        <v>4848</v>
      </c>
      <c r="Q1958" s="8">
        <f t="shared" si="153"/>
        <v>266</v>
      </c>
      <c r="R1958" s="2" t="s">
        <v>50</v>
      </c>
      <c r="S1958" s="24">
        <f t="shared" si="154"/>
        <v>0.02</v>
      </c>
    </row>
    <row r="1959" spans="1:19" x14ac:dyDescent="0.25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>VLOOKUP(F1959,'Customer Info'!$A:$B,2,0)</f>
        <v>Lynn</v>
      </c>
      <c r="H1959" s="6" t="str">
        <f>VLOOKUP(F1959,'Customer Info'!$A$1:$C$501,3,0)</f>
        <v>Smith</v>
      </c>
      <c r="I1959" s="6" t="str">
        <f>VLOOKUP(F1959,Customer,5,0)</f>
        <v>Guiping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136</v>
      </c>
      <c r="O1959" s="2">
        <v>10</v>
      </c>
      <c r="P1959" s="8">
        <f t="shared" si="152"/>
        <v>146</v>
      </c>
      <c r="Q1959" s="8">
        <f t="shared" si="153"/>
        <v>10</v>
      </c>
      <c r="R1959" s="2" t="s">
        <v>28</v>
      </c>
      <c r="S1959" s="24">
        <f t="shared" si="154"/>
        <v>0.02</v>
      </c>
    </row>
    <row r="1960" spans="1:19" x14ac:dyDescent="0.25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>VLOOKUP(F1960,'Customer Info'!$A:$B,2,0)</f>
        <v>Toby</v>
      </c>
      <c r="H1960" s="6" t="str">
        <f>VLOOKUP(F1960,'Customer Info'!$A$1:$C$501,3,0)</f>
        <v>Braunhardt</v>
      </c>
      <c r="I1960" s="6" t="str">
        <f>VLOOKUP(F1960,Customer,5,0)</f>
        <v>Jiangyan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186</v>
      </c>
      <c r="O1960" s="2">
        <v>10</v>
      </c>
      <c r="P1960" s="8">
        <f t="shared" si="152"/>
        <v>196</v>
      </c>
      <c r="Q1960" s="8">
        <f t="shared" si="153"/>
        <v>14</v>
      </c>
      <c r="R1960" s="2" t="s">
        <v>50</v>
      </c>
      <c r="S1960" s="24">
        <f t="shared" si="154"/>
        <v>0.02</v>
      </c>
    </row>
    <row r="1961" spans="1:19" x14ac:dyDescent="0.25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>VLOOKUP(F1961,'Customer Info'!$A:$B,2,0)</f>
        <v>Liz</v>
      </c>
      <c r="H1961" s="6" t="str">
        <f>VLOOKUP(F1961,'Customer Info'!$A$1:$C$501,3,0)</f>
        <v>Carlisle</v>
      </c>
      <c r="I1961" s="6" t="str">
        <f>VLOOKUP(F1961,Customer,5,0)</f>
        <v>Luoyang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1545</v>
      </c>
      <c r="O1961" s="2">
        <v>96</v>
      </c>
      <c r="P1961" s="8">
        <f t="shared" si="152"/>
        <v>1641</v>
      </c>
      <c r="Q1961" s="8">
        <f t="shared" si="153"/>
        <v>59</v>
      </c>
      <c r="R1961" s="2" t="s">
        <v>28</v>
      </c>
      <c r="S1961" s="24">
        <f t="shared" si="154"/>
        <v>0.02</v>
      </c>
    </row>
    <row r="1962" spans="1:19" x14ac:dyDescent="0.25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>VLOOKUP(F1962,'Customer Info'!$A:$B,2,0)</f>
        <v>Darren</v>
      </c>
      <c r="H1962" s="6" t="str">
        <f>VLOOKUP(F1962,'Customer Info'!$A$1:$C$501,3,0)</f>
        <v>Budd</v>
      </c>
      <c r="I1962" s="6" t="str">
        <f>VLOOKUP(F1962,Customer,5,0)</f>
        <v>Perth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3876</v>
      </c>
      <c r="O1962" s="2">
        <v>61</v>
      </c>
      <c r="P1962" s="8">
        <f t="shared" si="152"/>
        <v>3937</v>
      </c>
      <c r="Q1962" s="8">
        <f t="shared" si="153"/>
        <v>321</v>
      </c>
      <c r="R1962" s="2" t="s">
        <v>50</v>
      </c>
      <c r="S1962" s="24">
        <f t="shared" si="154"/>
        <v>0.02</v>
      </c>
    </row>
    <row r="1963" spans="1:19" x14ac:dyDescent="0.25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>VLOOKUP(F1963,'Customer Info'!$A:$B,2,0)</f>
        <v>Matt</v>
      </c>
      <c r="H1963" s="6" t="str">
        <f>VLOOKUP(F1963,'Customer Info'!$A$1:$C$501,3,0)</f>
        <v>Collins</v>
      </c>
      <c r="I1963" s="6" t="str">
        <f>VLOOKUP(F1963,Customer,5,0)</f>
        <v>Mumbai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38088</v>
      </c>
      <c r="O1963" s="2">
        <v>32</v>
      </c>
      <c r="P1963" s="8">
        <f t="shared" si="152"/>
        <v>38120</v>
      </c>
      <c r="Q1963" s="8">
        <f t="shared" si="153"/>
        <v>3144</v>
      </c>
      <c r="R1963" s="2" t="s">
        <v>50</v>
      </c>
      <c r="S1963" s="24">
        <f t="shared" si="154"/>
        <v>7.0000000000000007E-2</v>
      </c>
    </row>
    <row r="1964" spans="1:19" x14ac:dyDescent="0.25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>VLOOKUP(F1964,'Customer Info'!$A:$B,2,0)</f>
        <v>Toby</v>
      </c>
      <c r="H1964" s="6" t="str">
        <f>VLOOKUP(F1964,'Customer Info'!$A$1:$C$501,3,0)</f>
        <v>Braunhardt</v>
      </c>
      <c r="I1964" s="6" t="str">
        <f>VLOOKUP(F1964,Customer,5,0)</f>
        <v>Jiangyan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34604</v>
      </c>
      <c r="O1964" s="2">
        <v>89</v>
      </c>
      <c r="P1964" s="8">
        <f t="shared" si="152"/>
        <v>34693</v>
      </c>
      <c r="Q1964" s="8">
        <f t="shared" si="153"/>
        <v>2280</v>
      </c>
      <c r="R1964" s="2" t="s">
        <v>50</v>
      </c>
      <c r="S1964" s="24">
        <f t="shared" si="154"/>
        <v>7.0000000000000007E-2</v>
      </c>
    </row>
    <row r="1965" spans="1:19" x14ac:dyDescent="0.25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>VLOOKUP(F1965,'Customer Info'!$A:$B,2,0)</f>
        <v>Mick</v>
      </c>
      <c r="H1965" s="6" t="str">
        <f>VLOOKUP(F1965,'Customer Info'!$A$1:$C$501,3,0)</f>
        <v>Brown</v>
      </c>
      <c r="I1965" s="6" t="str">
        <f>VLOOKUP(F1965,Customer,5,0)</f>
        <v>Shenzhen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2778</v>
      </c>
      <c r="O1965" s="2">
        <v>34</v>
      </c>
      <c r="P1965" s="8">
        <f t="shared" si="152"/>
        <v>2812</v>
      </c>
      <c r="Q1965" s="8">
        <f t="shared" si="153"/>
        <v>205</v>
      </c>
      <c r="R1965" s="2" t="s">
        <v>50</v>
      </c>
      <c r="S1965" s="24">
        <f t="shared" si="154"/>
        <v>0.02</v>
      </c>
    </row>
    <row r="1966" spans="1:19" x14ac:dyDescent="0.25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>VLOOKUP(F1966,'Customer Info'!$A:$B,2,0)</f>
        <v>Hunter</v>
      </c>
      <c r="H1966" s="6" t="str">
        <f>VLOOKUP(F1966,'Customer Info'!$A$1:$C$501,3,0)</f>
        <v>Lopez</v>
      </c>
      <c r="I1966" s="6" t="str">
        <f>VLOOKUP(F1966,Customer,5,0)</f>
        <v>Cuttack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9033</v>
      </c>
      <c r="O1966" s="2">
        <v>82</v>
      </c>
      <c r="P1966" s="8">
        <f t="shared" si="152"/>
        <v>9115</v>
      </c>
      <c r="Q1966" s="8">
        <f t="shared" si="153"/>
        <v>901</v>
      </c>
      <c r="R1966" s="2" t="s">
        <v>50</v>
      </c>
      <c r="S1966" s="24">
        <f t="shared" si="154"/>
        <v>0.05</v>
      </c>
    </row>
    <row r="1967" spans="1:19" x14ac:dyDescent="0.25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>VLOOKUP(F1967,'Customer Info'!$A:$B,2,0)</f>
        <v>Cynthia</v>
      </c>
      <c r="H1967" s="6" t="str">
        <f>VLOOKUP(F1967,'Customer Info'!$A$1:$C$501,3,0)</f>
        <v>Delaney</v>
      </c>
      <c r="I1967" s="6" t="str">
        <f>VLOOKUP(F1967,Customer,5,0)</f>
        <v>Wodonga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1800</v>
      </c>
      <c r="O1967" s="2">
        <v>62</v>
      </c>
      <c r="P1967" s="8">
        <f t="shared" si="152"/>
        <v>1862</v>
      </c>
      <c r="Q1967" s="8">
        <f t="shared" si="153"/>
        <v>132</v>
      </c>
      <c r="R1967" s="2" t="s">
        <v>50</v>
      </c>
      <c r="S1967" s="24">
        <f t="shared" si="154"/>
        <v>0.02</v>
      </c>
    </row>
    <row r="1968" spans="1:19" x14ac:dyDescent="0.25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>VLOOKUP(F1968,'Customer Info'!$A:$B,2,0)</f>
        <v>Laurel</v>
      </c>
      <c r="H1968" s="6" t="str">
        <f>VLOOKUP(F1968,'Customer Info'!$A$1:$C$501,3,0)</f>
        <v>Beltran</v>
      </c>
      <c r="I1968" s="6" t="str">
        <f>VLOOKUP(F1968,Customer,5,0)</f>
        <v>Wuppertal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7658</v>
      </c>
      <c r="O1968" s="2">
        <v>76</v>
      </c>
      <c r="P1968" s="8">
        <f t="shared" si="152"/>
        <v>7734</v>
      </c>
      <c r="Q1968" s="8">
        <f t="shared" si="153"/>
        <v>632</v>
      </c>
      <c r="R1968" s="2" t="s">
        <v>50</v>
      </c>
      <c r="S1968" s="24">
        <f t="shared" si="154"/>
        <v>0.05</v>
      </c>
    </row>
    <row r="1969" spans="1:19" x14ac:dyDescent="0.25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>VLOOKUP(F1969,'Customer Info'!$A:$B,2,0)</f>
        <v>Sally</v>
      </c>
      <c r="H1969" s="6" t="str">
        <f>VLOOKUP(F1969,'Customer Info'!$A$1:$C$501,3,0)</f>
        <v>Knutson</v>
      </c>
      <c r="I1969" s="6" t="str">
        <f>VLOOKUP(F1969,Customer,5,0)</f>
        <v>CastropRauxel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9840</v>
      </c>
      <c r="O1969" s="2">
        <v>49</v>
      </c>
      <c r="P1969" s="8">
        <f t="shared" si="152"/>
        <v>9889</v>
      </c>
      <c r="Q1969" s="8">
        <f t="shared" si="153"/>
        <v>735</v>
      </c>
      <c r="R1969" s="2" t="s">
        <v>28</v>
      </c>
      <c r="S1969" s="24">
        <f t="shared" si="154"/>
        <v>0.05</v>
      </c>
    </row>
    <row r="1970" spans="1:19" x14ac:dyDescent="0.25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>VLOOKUP(F1970,'Customer Info'!$A:$B,2,0)</f>
        <v>Darren</v>
      </c>
      <c r="H1970" s="6" t="str">
        <f>VLOOKUP(F1970,'Customer Info'!$A$1:$C$501,3,0)</f>
        <v>Budd</v>
      </c>
      <c r="I1970" s="6" t="str">
        <f>VLOOKUP(F1970,Customer,5,0)</f>
        <v>Perth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7665</v>
      </c>
      <c r="O1970" s="2">
        <v>52</v>
      </c>
      <c r="P1970" s="8">
        <f t="shared" si="152"/>
        <v>7717</v>
      </c>
      <c r="Q1970" s="8">
        <f t="shared" si="153"/>
        <v>635</v>
      </c>
      <c r="R1970" s="2" t="s">
        <v>50</v>
      </c>
      <c r="S1970" s="24">
        <f t="shared" si="154"/>
        <v>0.05</v>
      </c>
    </row>
    <row r="1971" spans="1:19" x14ac:dyDescent="0.25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>VLOOKUP(F1971,'Customer Info'!$A:$B,2,0)</f>
        <v>Sarah</v>
      </c>
      <c r="H1971" s="6" t="str">
        <f>VLOOKUP(F1971,'Customer Info'!$A$1:$C$501,3,0)</f>
        <v>Foster</v>
      </c>
      <c r="I1971" s="6" t="str">
        <f>VLOOKUP(F1971,Customer,5,0)</f>
        <v>Harbin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2244</v>
      </c>
      <c r="O1971" s="2">
        <v>35</v>
      </c>
      <c r="P1971" s="8">
        <f t="shared" si="152"/>
        <v>2279</v>
      </c>
      <c r="Q1971" s="8">
        <f t="shared" si="153"/>
        <v>101</v>
      </c>
      <c r="R1971" s="2" t="s">
        <v>28</v>
      </c>
      <c r="S1971" s="24">
        <f t="shared" si="154"/>
        <v>0.02</v>
      </c>
    </row>
    <row r="1972" spans="1:19" x14ac:dyDescent="0.25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>VLOOKUP(F1972,'Customer Info'!$A:$B,2,0)</f>
        <v>Craig</v>
      </c>
      <c r="H1972" s="6" t="str">
        <f>VLOOKUP(F1972,'Customer Info'!$A$1:$C$501,3,0)</f>
        <v>Carroll</v>
      </c>
      <c r="I1972" s="6" t="str">
        <f>VLOOKUP(F1972,Customer,5,0)</f>
        <v>Suzhou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1908</v>
      </c>
      <c r="O1972" s="2">
        <v>62</v>
      </c>
      <c r="P1972" s="8">
        <f t="shared" si="152"/>
        <v>1970</v>
      </c>
      <c r="Q1972" s="8">
        <f t="shared" si="153"/>
        <v>106</v>
      </c>
      <c r="R1972" s="2" t="s">
        <v>28</v>
      </c>
      <c r="S1972" s="24">
        <f t="shared" si="154"/>
        <v>0.02</v>
      </c>
    </row>
    <row r="1973" spans="1:19" x14ac:dyDescent="0.25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>VLOOKUP(F1973,'Customer Info'!$A:$B,2,0)</f>
        <v>Heather</v>
      </c>
      <c r="H1973" s="6" t="str">
        <f>VLOOKUP(F1973,'Customer Info'!$A$1:$C$501,3,0)</f>
        <v>Kirkland</v>
      </c>
      <c r="I1973" s="6" t="str">
        <f>VLOOKUP(F1973,Customer,5,0)</f>
        <v>Luoyang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560</v>
      </c>
      <c r="O1973" s="2">
        <v>30</v>
      </c>
      <c r="P1973" s="8">
        <f t="shared" si="152"/>
        <v>590</v>
      </c>
      <c r="Q1973" s="8">
        <f t="shared" si="153"/>
        <v>12</v>
      </c>
      <c r="R1973" s="2" t="s">
        <v>28</v>
      </c>
      <c r="S1973" s="24">
        <f t="shared" si="154"/>
        <v>0.02</v>
      </c>
    </row>
    <row r="1974" spans="1:19" x14ac:dyDescent="0.25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>VLOOKUP(F1974,'Customer Info'!$A:$B,2,0)</f>
        <v>Alan</v>
      </c>
      <c r="H1974" s="6" t="str">
        <f>VLOOKUP(F1974,'Customer Info'!$A$1:$C$501,3,0)</f>
        <v>Schoenberger</v>
      </c>
      <c r="I1974" s="6" t="str">
        <f>VLOOKUP(F1974,Customer,5,0)</f>
        <v>Anshan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896</v>
      </c>
      <c r="O1974" s="2">
        <v>30</v>
      </c>
      <c r="P1974" s="8">
        <f t="shared" si="152"/>
        <v>926</v>
      </c>
      <c r="Q1974" s="8">
        <f t="shared" si="153"/>
        <v>91</v>
      </c>
      <c r="R1974" s="2" t="s">
        <v>28</v>
      </c>
      <c r="S1974" s="24">
        <f t="shared" si="154"/>
        <v>0.02</v>
      </c>
    </row>
    <row r="1975" spans="1:19" x14ac:dyDescent="0.25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>VLOOKUP(F1975,'Customer Info'!$A:$B,2,0)</f>
        <v>Neoma</v>
      </c>
      <c r="H1975" s="6" t="str">
        <f>VLOOKUP(F1975,'Customer Info'!$A$1:$C$501,3,0)</f>
        <v>Murray</v>
      </c>
      <c r="I1975" s="6" t="str">
        <f>VLOOKUP(F1975,Customer,5,0)</f>
        <v>Guwahati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83073</v>
      </c>
      <c r="O1975" s="2">
        <v>75</v>
      </c>
      <c r="P1975" s="8">
        <f t="shared" si="152"/>
        <v>83148</v>
      </c>
      <c r="Q1975" s="8">
        <f t="shared" si="153"/>
        <v>6225</v>
      </c>
      <c r="R1975" s="2" t="s">
        <v>28</v>
      </c>
      <c r="S1975" s="24">
        <f t="shared" si="154"/>
        <v>0.09</v>
      </c>
    </row>
    <row r="1976" spans="1:19" x14ac:dyDescent="0.25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>VLOOKUP(F1976,'Customer Info'!$A:$B,2,0)</f>
        <v>Resi</v>
      </c>
      <c r="H1976" s="6" t="str">
        <f>VLOOKUP(F1976,'Customer Info'!$A$1:$C$501,3,0)</f>
        <v>Pšlking</v>
      </c>
      <c r="I1976" s="6" t="str">
        <f>VLOOKUP(F1976,Customer,5,0)</f>
        <v>Gelsenkirchen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1246</v>
      </c>
      <c r="O1976" s="2">
        <v>58</v>
      </c>
      <c r="P1976" s="8">
        <f t="shared" si="152"/>
        <v>1304</v>
      </c>
      <c r="Q1976" s="8">
        <f t="shared" si="153"/>
        <v>82</v>
      </c>
      <c r="R1976" s="2" t="s">
        <v>50</v>
      </c>
      <c r="S1976" s="24">
        <f t="shared" si="154"/>
        <v>0.02</v>
      </c>
    </row>
    <row r="1977" spans="1:19" x14ac:dyDescent="0.25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>VLOOKUP(F1977,'Customer Info'!$A:$B,2,0)</f>
        <v>Toby</v>
      </c>
      <c r="H1977" s="6" t="str">
        <f>VLOOKUP(F1977,'Customer Info'!$A$1:$C$501,3,0)</f>
        <v>Swindell</v>
      </c>
      <c r="I1977" s="6" t="str">
        <f>VLOOKUP(F1977,Customer,5,0)</f>
        <v>Ninghai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5316</v>
      </c>
      <c r="O1977" s="2">
        <v>67</v>
      </c>
      <c r="P1977" s="8">
        <f t="shared" si="152"/>
        <v>5383</v>
      </c>
      <c r="Q1977" s="8">
        <f t="shared" si="153"/>
        <v>348</v>
      </c>
      <c r="R1977" s="2" t="s">
        <v>28</v>
      </c>
      <c r="S1977" s="24">
        <f t="shared" si="154"/>
        <v>0.05</v>
      </c>
    </row>
    <row r="1978" spans="1:19" x14ac:dyDescent="0.25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>VLOOKUP(F1978,'Customer Info'!$A:$B,2,0)</f>
        <v>Heather</v>
      </c>
      <c r="H1978" s="6" t="str">
        <f>VLOOKUP(F1978,'Customer Info'!$A$1:$C$501,3,0)</f>
        <v>Kirkland</v>
      </c>
      <c r="I1978" s="6" t="str">
        <f>VLOOKUP(F1978,Customer,5,0)</f>
        <v>Townsville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1176</v>
      </c>
      <c r="O1978" s="2">
        <v>58</v>
      </c>
      <c r="P1978" s="8">
        <f t="shared" si="152"/>
        <v>1234</v>
      </c>
      <c r="Q1978" s="8">
        <f t="shared" si="153"/>
        <v>108</v>
      </c>
      <c r="R1978" s="2" t="s">
        <v>50</v>
      </c>
      <c r="S1978" s="24">
        <f t="shared" si="154"/>
        <v>0.02</v>
      </c>
    </row>
    <row r="1979" spans="1:19" x14ac:dyDescent="0.25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>VLOOKUP(F1979,'Customer Info'!$A:$B,2,0)</f>
        <v>Christy</v>
      </c>
      <c r="H1979" s="6" t="str">
        <f>VLOOKUP(F1979,'Customer Info'!$A$1:$C$501,3,0)</f>
        <v>Brittain</v>
      </c>
      <c r="I1979" s="6" t="str">
        <f>VLOOKUP(F1979,Customer,5,0)</f>
        <v>Depok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28260</v>
      </c>
      <c r="O1979" s="2">
        <v>63</v>
      </c>
      <c r="P1979" s="8">
        <f t="shared" si="152"/>
        <v>28323</v>
      </c>
      <c r="Q1979" s="8">
        <f t="shared" si="153"/>
        <v>2080</v>
      </c>
      <c r="R1979" s="2" t="s">
        <v>56</v>
      </c>
      <c r="S1979" s="24">
        <f t="shared" si="154"/>
        <v>7.0000000000000007E-2</v>
      </c>
    </row>
    <row r="1980" spans="1:19" x14ac:dyDescent="0.25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>VLOOKUP(F1980,'Customer Info'!$A:$B,2,0)</f>
        <v>Cari</v>
      </c>
      <c r="H1980" s="6" t="str">
        <f>VLOOKUP(F1980,'Customer Info'!$A$1:$C$501,3,0)</f>
        <v>MacIntyre</v>
      </c>
      <c r="I1980" s="6" t="str">
        <f>VLOOKUP(F1980,Customer,5,0)</f>
        <v>Freiburg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334</v>
      </c>
      <c r="O1980" s="2">
        <v>30</v>
      </c>
      <c r="P1980" s="8">
        <f t="shared" si="152"/>
        <v>364</v>
      </c>
      <c r="Q1980" s="8">
        <f t="shared" si="153"/>
        <v>24</v>
      </c>
      <c r="R1980" s="2" t="s">
        <v>28</v>
      </c>
      <c r="S1980" s="24">
        <f t="shared" si="154"/>
        <v>0.02</v>
      </c>
    </row>
    <row r="1981" spans="1:19" x14ac:dyDescent="0.25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>VLOOKUP(F1981,'Customer Info'!$A:$B,2,0)</f>
        <v>Ryan</v>
      </c>
      <c r="H1981" s="6" t="str">
        <f>VLOOKUP(F1981,'Customer Info'!$A$1:$C$501,3,0)</f>
        <v>Crowe</v>
      </c>
      <c r="I1981" s="6" t="str">
        <f>VLOOKUP(F1981,Customer,5,0)</f>
        <v>Kanpur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8270</v>
      </c>
      <c r="O1981" s="2">
        <v>21</v>
      </c>
      <c r="P1981" s="8">
        <f t="shared" si="152"/>
        <v>8291</v>
      </c>
      <c r="Q1981" s="8">
        <f t="shared" si="153"/>
        <v>385</v>
      </c>
      <c r="R1981" s="2" t="s">
        <v>26</v>
      </c>
      <c r="S1981" s="24">
        <f t="shared" si="154"/>
        <v>0.05</v>
      </c>
    </row>
    <row r="1982" spans="1:19" x14ac:dyDescent="0.25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>VLOOKUP(F1982,'Customer Info'!$A:$B,2,0)</f>
        <v>Harry</v>
      </c>
      <c r="H1982" s="6" t="str">
        <f>VLOOKUP(F1982,'Customer Info'!$A$1:$C$501,3,0)</f>
        <v>Marie</v>
      </c>
      <c r="I1982" s="6" t="str">
        <f>VLOOKUP(F1982,Customer,5,0)</f>
        <v>Dortmund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10788</v>
      </c>
      <c r="O1982" s="2">
        <v>90</v>
      </c>
      <c r="P1982" s="8">
        <f t="shared" si="152"/>
        <v>10878</v>
      </c>
      <c r="Q1982" s="8">
        <f t="shared" si="153"/>
        <v>796</v>
      </c>
      <c r="R1982" s="2" t="s">
        <v>56</v>
      </c>
      <c r="S1982" s="24">
        <f t="shared" si="154"/>
        <v>0.05</v>
      </c>
    </row>
    <row r="1983" spans="1:19" x14ac:dyDescent="0.25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>VLOOKUP(F1983,'Customer Info'!$A:$B,2,0)</f>
        <v>Claudia</v>
      </c>
      <c r="H1983" s="6" t="str">
        <f>VLOOKUP(F1983,'Customer Info'!$A$1:$C$501,3,0)</f>
        <v>Bergmann</v>
      </c>
      <c r="I1983" s="6" t="str">
        <f>VLOOKUP(F1983,Customer,5,0)</f>
        <v>Aschaffenburg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2857</v>
      </c>
      <c r="O1983" s="2">
        <v>85</v>
      </c>
      <c r="P1983" s="8">
        <f t="shared" si="152"/>
        <v>2942</v>
      </c>
      <c r="Q1983" s="8">
        <f t="shared" si="153"/>
        <v>235</v>
      </c>
      <c r="R1983" s="2" t="s">
        <v>28</v>
      </c>
      <c r="S1983" s="24">
        <f t="shared" si="154"/>
        <v>0.02</v>
      </c>
    </row>
    <row r="1984" spans="1:19" x14ac:dyDescent="0.25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>VLOOKUP(F1984,'Customer Info'!$A:$B,2,0)</f>
        <v>Lisa</v>
      </c>
      <c r="H1984" s="6" t="str">
        <f>VLOOKUP(F1984,'Customer Info'!$A$1:$C$501,3,0)</f>
        <v>DeCherney</v>
      </c>
      <c r="I1984" s="6" t="str">
        <f>VLOOKUP(F1984,Customer,5,0)</f>
        <v>Sydney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7398</v>
      </c>
      <c r="O1984" s="2">
        <v>99</v>
      </c>
      <c r="P1984" s="8">
        <f t="shared" si="152"/>
        <v>7497</v>
      </c>
      <c r="Q1984" s="8">
        <f t="shared" si="153"/>
        <v>417</v>
      </c>
      <c r="R1984" s="2" t="s">
        <v>28</v>
      </c>
      <c r="S1984" s="24">
        <f t="shared" si="154"/>
        <v>0.05</v>
      </c>
    </row>
    <row r="1985" spans="1:19" x14ac:dyDescent="0.25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>VLOOKUP(F1985,'Customer Info'!$A:$B,2,0)</f>
        <v>Fred</v>
      </c>
      <c r="H1985" s="6" t="str">
        <f>VLOOKUP(F1985,'Customer Info'!$A$1:$C$501,3,0)</f>
        <v>Wasserman</v>
      </c>
      <c r="I1985" s="6" t="str">
        <f>VLOOKUP(F1985,Customer,5,0)</f>
        <v>Willich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12364</v>
      </c>
      <c r="O1985" s="2">
        <v>64</v>
      </c>
      <c r="P1985" s="8">
        <f t="shared" si="152"/>
        <v>12428</v>
      </c>
      <c r="Q1985" s="8">
        <f t="shared" si="153"/>
        <v>808</v>
      </c>
      <c r="R1985" s="2" t="s">
        <v>50</v>
      </c>
      <c r="S1985" s="24">
        <f t="shared" si="154"/>
        <v>0.05</v>
      </c>
    </row>
    <row r="1986" spans="1:19" x14ac:dyDescent="0.25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>VLOOKUP(F1986,'Customer Info'!$A:$B,2,0)</f>
        <v>Tom</v>
      </c>
      <c r="H1986" s="6" t="str">
        <f>VLOOKUP(F1986,'Customer Info'!$A$1:$C$501,3,0)</f>
        <v>Stivers</v>
      </c>
      <c r="I1986" s="6" t="str">
        <f>VLOOKUP(F1986,Customer,5,0)</f>
        <v>Guangzhou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2540</v>
      </c>
      <c r="O1986" s="2">
        <v>37</v>
      </c>
      <c r="P1986" s="8">
        <f t="shared" si="152"/>
        <v>2577</v>
      </c>
      <c r="Q1986" s="8">
        <f t="shared" si="153"/>
        <v>143</v>
      </c>
      <c r="R1986" s="2" t="s">
        <v>28</v>
      </c>
      <c r="S1986" s="24">
        <f t="shared" si="154"/>
        <v>0.02</v>
      </c>
    </row>
    <row r="1987" spans="1:19" x14ac:dyDescent="0.25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>VLOOKUP(F1987,'Customer Info'!$A:$B,2,0)</f>
        <v>Stefanie</v>
      </c>
      <c r="H1987" s="6" t="str">
        <f>VLOOKUP(F1987,'Customer Info'!$A$1:$C$501,3,0)</f>
        <v>Holloman</v>
      </c>
      <c r="I1987" s="6" t="str">
        <f>VLOOKUP(F1987,Customer,5,0)</f>
        <v>Durgapur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6819</v>
      </c>
      <c r="O1987" s="2">
        <v>49</v>
      </c>
      <c r="P1987" s="8">
        <f t="shared" si="152"/>
        <v>6868</v>
      </c>
      <c r="Q1987" s="8">
        <f t="shared" si="153"/>
        <v>132</v>
      </c>
      <c r="R1987" s="2" t="s">
        <v>50</v>
      </c>
      <c r="S1987" s="24">
        <f t="shared" si="154"/>
        <v>0.05</v>
      </c>
    </row>
    <row r="1988" spans="1:19" x14ac:dyDescent="0.25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>VLOOKUP(F1988,'Customer Info'!$A:$B,2,0)</f>
        <v>Tracy</v>
      </c>
      <c r="H1988" s="6" t="str">
        <f>VLOOKUP(F1988,'Customer Info'!$A$1:$C$501,3,0)</f>
        <v>Blumstein</v>
      </c>
      <c r="I1988" s="6" t="str">
        <f>VLOOKUP(F1988,Customer,5,0)</f>
        <v>Guangzhou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426</v>
      </c>
      <c r="O1988" s="2">
        <v>30</v>
      </c>
      <c r="P1988" s="8">
        <f t="shared" si="152"/>
        <v>456</v>
      </c>
      <c r="Q1988" s="8">
        <f t="shared" si="153"/>
        <v>24</v>
      </c>
      <c r="R1988" s="2" t="s">
        <v>28</v>
      </c>
      <c r="S1988" s="24">
        <f t="shared" si="154"/>
        <v>0.02</v>
      </c>
    </row>
    <row r="1989" spans="1:19" x14ac:dyDescent="0.25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>VLOOKUP(F1989,'Customer Info'!$A:$B,2,0)</f>
        <v>Bradley</v>
      </c>
      <c r="H1989" s="6" t="str">
        <f>VLOOKUP(F1989,'Customer Info'!$A$1:$C$501,3,0)</f>
        <v>Nguyen</v>
      </c>
      <c r="I1989" s="6" t="str">
        <f>VLOOKUP(F1989,Customer,5,0)</f>
        <v>Shenzhen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8281</v>
      </c>
      <c r="O1989" s="2">
        <v>51</v>
      </c>
      <c r="P1989" s="8">
        <f t="shared" si="152"/>
        <v>8332</v>
      </c>
      <c r="Q1989" s="8">
        <f t="shared" si="153"/>
        <v>608</v>
      </c>
      <c r="R1989" s="2" t="s">
        <v>28</v>
      </c>
      <c r="S1989" s="24">
        <f t="shared" si="154"/>
        <v>0.05</v>
      </c>
    </row>
    <row r="1990" spans="1:19" x14ac:dyDescent="0.25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>VLOOKUP(F1990,'Customer Info'!$A:$B,2,0)</f>
        <v>Darren</v>
      </c>
      <c r="H1990" s="6" t="str">
        <f>VLOOKUP(F1990,'Customer Info'!$A$1:$C$501,3,0)</f>
        <v>Budd</v>
      </c>
      <c r="I1990" s="6" t="str">
        <f>VLOOKUP(F1990,Customer,5,0)</f>
        <v>Regensburg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4239</v>
      </c>
      <c r="O1990" s="2">
        <v>42</v>
      </c>
      <c r="P1990" s="8">
        <f t="shared" si="152"/>
        <v>4281</v>
      </c>
      <c r="Q1990" s="8">
        <f t="shared" si="153"/>
        <v>237</v>
      </c>
      <c r="R1990" s="2" t="s">
        <v>28</v>
      </c>
      <c r="S1990" s="24">
        <f t="shared" si="154"/>
        <v>0.02</v>
      </c>
    </row>
    <row r="1991" spans="1:19" x14ac:dyDescent="0.25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>VLOOKUP(F1991,'Customer Info'!$A:$B,2,0)</f>
        <v>Claire</v>
      </c>
      <c r="H1991" s="6" t="str">
        <f>VLOOKUP(F1991,'Customer Info'!$A$1:$C$501,3,0)</f>
        <v>Gute</v>
      </c>
      <c r="I1991" s="6" t="str">
        <f>VLOOKUP(F1991,Customer,5,0)</f>
        <v>Worms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6384</v>
      </c>
      <c r="O1991" s="2">
        <v>97</v>
      </c>
      <c r="P1991" s="8">
        <f t="shared" si="152"/>
        <v>6481</v>
      </c>
      <c r="Q1991" s="8">
        <f t="shared" si="153"/>
        <v>362</v>
      </c>
      <c r="R1991" s="2" t="s">
        <v>28</v>
      </c>
      <c r="S1991" s="24">
        <f t="shared" si="154"/>
        <v>0.05</v>
      </c>
    </row>
    <row r="1992" spans="1:19" x14ac:dyDescent="0.25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>VLOOKUP(F1992,'Customer Info'!$A:$B,2,0)</f>
        <v>Anna</v>
      </c>
      <c r="H1992" s="6" t="str">
        <f>VLOOKUP(F1992,'Customer Info'!$A$1:$C$501,3,0)</f>
        <v>Gayman</v>
      </c>
      <c r="I1992" s="6" t="str">
        <f>VLOOKUP(F1992,Customer,5,0)</f>
        <v>Surat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5518</v>
      </c>
      <c r="O1992" s="2">
        <v>26</v>
      </c>
      <c r="P1992" s="8">
        <f t="shared" si="152"/>
        <v>5544</v>
      </c>
      <c r="Q1992" s="8">
        <f t="shared" si="153"/>
        <v>262</v>
      </c>
      <c r="R1992" s="2" t="s">
        <v>28</v>
      </c>
      <c r="S1992" s="24">
        <f t="shared" si="154"/>
        <v>0.05</v>
      </c>
    </row>
    <row r="1993" spans="1:19" x14ac:dyDescent="0.25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>VLOOKUP(F1993,'Customer Info'!$A:$B,2,0)</f>
        <v>Anthony</v>
      </c>
      <c r="H1993" s="6" t="str">
        <f>VLOOKUP(F1993,'Customer Info'!$A$1:$C$501,3,0)</f>
        <v>O'Donnell</v>
      </c>
      <c r="I1993" s="6" t="str">
        <f>VLOOKUP(F1993,Customer,5,0)</f>
        <v>Perth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90</v>
      </c>
      <c r="O1993" s="2">
        <v>10</v>
      </c>
      <c r="P1993" s="8">
        <f t="shared" si="152"/>
        <v>100</v>
      </c>
      <c r="Q1993" s="8">
        <f t="shared" si="153"/>
        <v>9</v>
      </c>
      <c r="R1993" s="2" t="s">
        <v>28</v>
      </c>
      <c r="S1993" s="24">
        <f t="shared" si="154"/>
        <v>0.02</v>
      </c>
    </row>
    <row r="1994" spans="1:19" x14ac:dyDescent="0.25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>VLOOKUP(F1994,'Customer Info'!$A:$B,2,0)</f>
        <v>Dean</v>
      </c>
      <c r="H1994" s="6" t="str">
        <f>VLOOKUP(F1994,'Customer Info'!$A$1:$C$501,3,0)</f>
        <v>Katz</v>
      </c>
      <c r="I1994" s="6" t="str">
        <f>VLOOKUP(F1994,Customer,5,0)</f>
        <v>Changzhou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69</v>
      </c>
      <c r="O1994" s="2">
        <v>10</v>
      </c>
      <c r="P1994" s="8">
        <f t="shared" si="152"/>
        <v>79</v>
      </c>
      <c r="Q1994" s="8">
        <f t="shared" si="153"/>
        <v>5</v>
      </c>
      <c r="R1994" s="2" t="s">
        <v>28</v>
      </c>
      <c r="S1994" s="24">
        <f t="shared" si="154"/>
        <v>0.02</v>
      </c>
    </row>
    <row r="1995" spans="1:19" x14ac:dyDescent="0.25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>VLOOKUP(F1995,'Customer Info'!$A:$B,2,0)</f>
        <v>Tamara</v>
      </c>
      <c r="H1995" s="6" t="str">
        <f>VLOOKUP(F1995,'Customer Info'!$A$1:$C$501,3,0)</f>
        <v>Chand</v>
      </c>
      <c r="I1995" s="6" t="str">
        <f>VLOOKUP(F1995,Customer,5,0)</f>
        <v>Yogyakarta</v>
      </c>
      <c r="J1995" s="2">
        <v>37949</v>
      </c>
      <c r="K1995" s="2">
        <v>34816</v>
      </c>
      <c r="L1995" s="2">
        <v>1</v>
      </c>
      <c r="M1995" s="7">
        <f t="shared" ref="M1995:M2058" si="155">K1995*L1995</f>
        <v>34816</v>
      </c>
      <c r="N1995" s="7">
        <f t="shared" ref="N1995:N2058" si="156">J1995*L1995</f>
        <v>37949</v>
      </c>
      <c r="O1995" s="2">
        <v>25</v>
      </c>
      <c r="P1995" s="8">
        <f t="shared" ref="P1995:P2058" si="157">N1995+O1995</f>
        <v>37974</v>
      </c>
      <c r="Q1995" s="8">
        <f t="shared" ref="Q1995:Q2058" si="158">N1995-M1995</f>
        <v>3133</v>
      </c>
      <c r="R1995" s="2" t="s">
        <v>28</v>
      </c>
      <c r="S1995" s="24">
        <f t="shared" ref="S1995:S2058" si="159">VLOOKUP(N1995,$T$1:$U$7,2,TRUE)</f>
        <v>7.0000000000000007E-2</v>
      </c>
    </row>
    <row r="1996" spans="1:19" x14ac:dyDescent="0.25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>VLOOKUP(F1996,'Customer Info'!$A:$B,2,0)</f>
        <v>Brooke</v>
      </c>
      <c r="H1996" s="6" t="str">
        <f>VLOOKUP(F1996,'Customer Info'!$A$1:$C$501,3,0)</f>
        <v>Gillingham</v>
      </c>
      <c r="I1996" s="6" t="str">
        <f>VLOOKUP(F1996,Customer,5,0)</f>
        <v>Geraldton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8">
        <f t="shared" si="157"/>
        <v>11043</v>
      </c>
      <c r="Q1996" s="8">
        <f t="shared" si="158"/>
        <v>1008</v>
      </c>
      <c r="R1996" s="2" t="s">
        <v>28</v>
      </c>
      <c r="S1996" s="24">
        <f t="shared" si="159"/>
        <v>0.05</v>
      </c>
    </row>
    <row r="1997" spans="1:19" x14ac:dyDescent="0.25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>VLOOKUP(F1997,'Customer Info'!$A:$B,2,0)</f>
        <v>Brendan</v>
      </c>
      <c r="H1997" s="6" t="str">
        <f>VLOOKUP(F1997,'Customer Info'!$A$1:$C$501,3,0)</f>
        <v>Dodson</v>
      </c>
      <c r="I1997" s="6" t="str">
        <f>VLOOKUP(F1997,Customer,5,0)</f>
        <v>Adelaide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8">
        <f t="shared" si="157"/>
        <v>1970</v>
      </c>
      <c r="Q1997" s="8">
        <f t="shared" si="158"/>
        <v>106</v>
      </c>
      <c r="R1997" s="2" t="s">
        <v>56</v>
      </c>
      <c r="S1997" s="24">
        <f t="shared" si="159"/>
        <v>0.02</v>
      </c>
    </row>
    <row r="1998" spans="1:19" x14ac:dyDescent="0.25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>VLOOKUP(F1998,'Customer Info'!$A:$B,2,0)</f>
        <v>Ivan</v>
      </c>
      <c r="H1998" s="6" t="str">
        <f>VLOOKUP(F1998,'Customer Info'!$A$1:$C$501,3,0)</f>
        <v>Gibson</v>
      </c>
      <c r="I1998" s="6" t="str">
        <f>VLOOKUP(F1998,Customer,5,0)</f>
        <v>Perth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8">
        <f t="shared" si="157"/>
        <v>4240</v>
      </c>
      <c r="Q1998" s="8">
        <f t="shared" si="158"/>
        <v>354</v>
      </c>
      <c r="R1998" s="2" t="s">
        <v>28</v>
      </c>
      <c r="S1998" s="24">
        <f t="shared" si="159"/>
        <v>0.02</v>
      </c>
    </row>
    <row r="1999" spans="1:19" x14ac:dyDescent="0.25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>VLOOKUP(F1999,'Customer Info'!$A:$B,2,0)</f>
        <v>Brad</v>
      </c>
      <c r="H1999" s="6" t="str">
        <f>VLOOKUP(F1999,'Customer Info'!$A$1:$C$501,3,0)</f>
        <v>Thomas</v>
      </c>
      <c r="I1999" s="6" t="str">
        <f>VLOOKUP(F1999,Customer,5,0)</f>
        <v>Bochum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8">
        <f t="shared" si="157"/>
        <v>741</v>
      </c>
      <c r="Q1999" s="8">
        <f t="shared" si="158"/>
        <v>45</v>
      </c>
      <c r="R1999" s="2" t="s">
        <v>50</v>
      </c>
      <c r="S1999" s="24">
        <f t="shared" si="159"/>
        <v>0.02</v>
      </c>
    </row>
    <row r="2000" spans="1:19" x14ac:dyDescent="0.25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>VLOOKUP(F2000,'Customer Info'!$A:$B,2,0)</f>
        <v>Mitch</v>
      </c>
      <c r="H2000" s="6" t="str">
        <f>VLOOKUP(F2000,'Customer Info'!$A$1:$C$501,3,0)</f>
        <v>Willingham</v>
      </c>
      <c r="I2000" s="6" t="str">
        <f>VLOOKUP(F2000,Customer,5,0)</f>
        <v>Surakarta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5544</v>
      </c>
      <c r="O2000" s="2">
        <v>95</v>
      </c>
      <c r="P2000" s="8">
        <f t="shared" si="157"/>
        <v>5639</v>
      </c>
      <c r="Q2000" s="8">
        <f t="shared" si="158"/>
        <v>208</v>
      </c>
      <c r="R2000" s="2" t="s">
        <v>28</v>
      </c>
      <c r="S2000" s="24">
        <f t="shared" si="159"/>
        <v>0.05</v>
      </c>
    </row>
    <row r="2001" spans="1:19" x14ac:dyDescent="0.25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>VLOOKUP(F2001,'Customer Info'!$A:$B,2,0)</f>
        <v>Patrick</v>
      </c>
      <c r="H2001" s="6" t="str">
        <f>VLOOKUP(F2001,'Customer Info'!$A$1:$C$501,3,0)</f>
        <v>Bzostek</v>
      </c>
      <c r="I2001" s="6" t="str">
        <f>VLOOKUP(F2001,Customer,5,0)</f>
        <v>Krefeld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52738</v>
      </c>
      <c r="O2001" s="2">
        <v>37</v>
      </c>
      <c r="P2001" s="8">
        <f t="shared" si="157"/>
        <v>52775</v>
      </c>
      <c r="Q2001" s="8">
        <f t="shared" si="158"/>
        <v>2996</v>
      </c>
      <c r="R2001" s="2" t="s">
        <v>28</v>
      </c>
      <c r="S2001" s="24">
        <f t="shared" si="159"/>
        <v>0.09</v>
      </c>
    </row>
    <row r="2002" spans="1:19" x14ac:dyDescent="0.25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>VLOOKUP(F2002,'Customer Info'!$A:$B,2,0)</f>
        <v>Michael</v>
      </c>
      <c r="H2002" s="6" t="str">
        <f>VLOOKUP(F2002,'Customer Info'!$A$1:$C$501,3,0)</f>
        <v>Moore</v>
      </c>
      <c r="I2002" s="6" t="str">
        <f>VLOOKUP(F2002,Customer,5,0)</f>
        <v>Geelong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416</v>
      </c>
      <c r="O2002" s="2">
        <v>90</v>
      </c>
      <c r="P2002" s="8">
        <f t="shared" si="157"/>
        <v>506</v>
      </c>
      <c r="Q2002" s="8">
        <f t="shared" si="158"/>
        <v>42</v>
      </c>
      <c r="R2002" s="2" t="s">
        <v>28</v>
      </c>
      <c r="S2002" s="24">
        <f t="shared" si="159"/>
        <v>0.02</v>
      </c>
    </row>
    <row r="2003" spans="1:19" x14ac:dyDescent="0.25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>VLOOKUP(F2003,'Customer Info'!$A:$B,2,0)</f>
        <v>Carol</v>
      </c>
      <c r="H2003" s="6" t="str">
        <f>VLOOKUP(F2003,'Customer Info'!$A$1:$C$501,3,0)</f>
        <v>Triggs</v>
      </c>
      <c r="I2003" s="6" t="str">
        <f>VLOOKUP(F2003,Customer,5,0)</f>
        <v>Durgapur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382</v>
      </c>
      <c r="O2003" s="2">
        <v>30</v>
      </c>
      <c r="P2003" s="8">
        <f t="shared" si="157"/>
        <v>412</v>
      </c>
      <c r="Q2003" s="8">
        <f t="shared" si="158"/>
        <v>42</v>
      </c>
      <c r="R2003" s="2" t="s">
        <v>28</v>
      </c>
      <c r="S2003" s="24">
        <f t="shared" si="159"/>
        <v>0.02</v>
      </c>
    </row>
    <row r="2004" spans="1:19" x14ac:dyDescent="0.25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>VLOOKUP(F2004,'Customer Info'!$A:$B,2,0)</f>
        <v>Stuart</v>
      </c>
      <c r="H2004" s="6" t="str">
        <f>VLOOKUP(F2004,'Customer Info'!$A$1:$C$501,3,0)</f>
        <v>Calhoun</v>
      </c>
      <c r="I2004" s="6" t="str">
        <f>VLOOKUP(F2004,Customer,5,0)</f>
        <v>Bochum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32039</v>
      </c>
      <c r="O2004" s="2">
        <v>66</v>
      </c>
      <c r="P2004" s="8">
        <f t="shared" si="157"/>
        <v>32105</v>
      </c>
      <c r="Q2004" s="8">
        <f t="shared" si="158"/>
        <v>2079</v>
      </c>
      <c r="R2004" s="2" t="s">
        <v>50</v>
      </c>
      <c r="S2004" s="24">
        <f t="shared" si="159"/>
        <v>7.0000000000000007E-2</v>
      </c>
    </row>
    <row r="2005" spans="1:19" x14ac:dyDescent="0.25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>VLOOKUP(F2005,'Customer Info'!$A:$B,2,0)</f>
        <v>Ruben</v>
      </c>
      <c r="H2005" s="6" t="str">
        <f>VLOOKUP(F2005,'Customer Info'!$A$1:$C$501,3,0)</f>
        <v>Ausman</v>
      </c>
      <c r="I2005" s="6" t="str">
        <f>VLOOKUP(F2005,Customer,5,0)</f>
        <v>Sonneberg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5930</v>
      </c>
      <c r="O2005" s="2">
        <v>30</v>
      </c>
      <c r="P2005" s="8">
        <f t="shared" si="157"/>
        <v>5960</v>
      </c>
      <c r="Q2005" s="8">
        <f t="shared" si="158"/>
        <v>542</v>
      </c>
      <c r="R2005" s="2" t="s">
        <v>50</v>
      </c>
      <c r="S2005" s="24">
        <f t="shared" si="159"/>
        <v>0.05</v>
      </c>
    </row>
    <row r="2006" spans="1:19" x14ac:dyDescent="0.25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>VLOOKUP(F2006,'Customer Info'!$A:$B,2,0)</f>
        <v>Michelle</v>
      </c>
      <c r="H2006" s="6" t="str">
        <f>VLOOKUP(F2006,'Customer Info'!$A$1:$C$501,3,0)</f>
        <v>Tran</v>
      </c>
      <c r="I2006" s="6" t="str">
        <f>VLOOKUP(F2006,Customer,5,0)</f>
        <v>Mount Gambier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124</v>
      </c>
      <c r="O2006" s="2">
        <v>10</v>
      </c>
      <c r="P2006" s="8">
        <f t="shared" si="157"/>
        <v>134</v>
      </c>
      <c r="Q2006" s="8">
        <f t="shared" si="158"/>
        <v>8</v>
      </c>
      <c r="R2006" s="2" t="s">
        <v>28</v>
      </c>
      <c r="S2006" s="24">
        <f t="shared" si="159"/>
        <v>0.02</v>
      </c>
    </row>
    <row r="2007" spans="1:19" x14ac:dyDescent="0.25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>VLOOKUP(F2007,'Customer Info'!$A:$B,2,0)</f>
        <v>Toby</v>
      </c>
      <c r="H2007" s="6" t="str">
        <f>VLOOKUP(F2007,'Customer Info'!$A$1:$C$501,3,0)</f>
        <v>Braunhardt</v>
      </c>
      <c r="I2007" s="6" t="str">
        <f>VLOOKUP(F2007,Customer,5,0)</f>
        <v>Jiangyan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67</v>
      </c>
      <c r="O2007" s="2">
        <v>10</v>
      </c>
      <c r="P2007" s="8">
        <f t="shared" si="157"/>
        <v>77</v>
      </c>
      <c r="Q2007" s="8">
        <f t="shared" si="158"/>
        <v>5</v>
      </c>
      <c r="R2007" s="2" t="s">
        <v>28</v>
      </c>
      <c r="S2007" s="24">
        <f t="shared" si="159"/>
        <v>0.02</v>
      </c>
    </row>
    <row r="2008" spans="1:19" x14ac:dyDescent="0.25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>VLOOKUP(F2008,'Customer Info'!$A:$B,2,0)</f>
        <v>Kelly</v>
      </c>
      <c r="H2008" s="6" t="str">
        <f>VLOOKUP(F2008,'Customer Info'!$A$1:$C$501,3,0)</f>
        <v>Collister</v>
      </c>
      <c r="I2008" s="6" t="str">
        <f>VLOOKUP(F2008,Customer,5,0)</f>
        <v>Tangshan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14352</v>
      </c>
      <c r="O2008" s="2">
        <v>91</v>
      </c>
      <c r="P2008" s="8">
        <f t="shared" si="157"/>
        <v>14443</v>
      </c>
      <c r="Q2008" s="8">
        <f t="shared" si="158"/>
        <v>798</v>
      </c>
      <c r="R2008" s="2" t="s">
        <v>26</v>
      </c>
      <c r="S2008" s="24">
        <f t="shared" si="159"/>
        <v>0.05</v>
      </c>
    </row>
    <row r="2009" spans="1:19" x14ac:dyDescent="0.25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>VLOOKUP(F2009,'Customer Info'!$A:$B,2,0)</f>
        <v>Jas</v>
      </c>
      <c r="H2009" s="6" t="str">
        <f>VLOOKUP(F2009,'Customer Info'!$A$1:$C$501,3,0)</f>
        <v>O'Carroll</v>
      </c>
      <c r="I2009" s="6" t="str">
        <f>VLOOKUP(F2009,Customer,5,0)</f>
        <v>Essen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4950</v>
      </c>
      <c r="O2009" s="2">
        <v>48</v>
      </c>
      <c r="P2009" s="8">
        <f t="shared" si="157"/>
        <v>4998</v>
      </c>
      <c r="Q2009" s="8">
        <f t="shared" si="158"/>
        <v>192</v>
      </c>
      <c r="R2009" s="2" t="s">
        <v>26</v>
      </c>
      <c r="S2009" s="24">
        <f t="shared" si="159"/>
        <v>0.02</v>
      </c>
    </row>
    <row r="2010" spans="1:19" x14ac:dyDescent="0.25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>VLOOKUP(F2010,'Customer Info'!$A:$B,2,0)</f>
        <v>Thomas</v>
      </c>
      <c r="H2010" s="6" t="str">
        <f>VLOOKUP(F2010,'Customer Info'!$A$1:$C$501,3,0)</f>
        <v>Seio</v>
      </c>
      <c r="I2010" s="6" t="str">
        <f>VLOOKUP(F2010,Customer,5,0)</f>
        <v>Melbourne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7359</v>
      </c>
      <c r="O2010" s="2">
        <v>89</v>
      </c>
      <c r="P2010" s="8">
        <f t="shared" si="157"/>
        <v>7448</v>
      </c>
      <c r="Q2010" s="8">
        <f t="shared" si="158"/>
        <v>351</v>
      </c>
      <c r="R2010" s="2" t="s">
        <v>28</v>
      </c>
      <c r="S2010" s="24">
        <f t="shared" si="159"/>
        <v>0.05</v>
      </c>
    </row>
    <row r="2011" spans="1:19" x14ac:dyDescent="0.25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>VLOOKUP(F2011,'Customer Info'!$A:$B,2,0)</f>
        <v>Anthony</v>
      </c>
      <c r="H2011" s="6" t="str">
        <f>VLOOKUP(F2011,'Customer Info'!$A$1:$C$501,3,0)</f>
        <v>O'Donnell</v>
      </c>
      <c r="I2011" s="6" t="str">
        <f>VLOOKUP(F2011,Customer,5,0)</f>
        <v>Perth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1770</v>
      </c>
      <c r="O2011" s="2">
        <v>76</v>
      </c>
      <c r="P2011" s="8">
        <f t="shared" si="157"/>
        <v>1846</v>
      </c>
      <c r="Q2011" s="8">
        <f t="shared" si="158"/>
        <v>178</v>
      </c>
      <c r="R2011" s="2" t="s">
        <v>50</v>
      </c>
      <c r="S2011" s="24">
        <f t="shared" si="159"/>
        <v>0.02</v>
      </c>
    </row>
    <row r="2012" spans="1:19" x14ac:dyDescent="0.25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>VLOOKUP(F2012,'Customer Info'!$A:$B,2,0)</f>
        <v>Stuart</v>
      </c>
      <c r="H2012" s="6" t="str">
        <f>VLOOKUP(F2012,'Customer Info'!$A$1:$C$501,3,0)</f>
        <v>Van</v>
      </c>
      <c r="I2012" s="6" t="str">
        <f>VLOOKUP(F2012,Customer,5,0)</f>
        <v>Hobart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76656</v>
      </c>
      <c r="O2012" s="2">
        <v>23</v>
      </c>
      <c r="P2012" s="8">
        <f t="shared" si="157"/>
        <v>76679</v>
      </c>
      <c r="Q2012" s="8">
        <f t="shared" si="158"/>
        <v>6328</v>
      </c>
      <c r="R2012" s="2" t="s">
        <v>50</v>
      </c>
      <c r="S2012" s="24">
        <f t="shared" si="159"/>
        <v>0.09</v>
      </c>
    </row>
    <row r="2013" spans="1:19" x14ac:dyDescent="0.25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>VLOOKUP(F2013,'Customer Info'!$A:$B,2,0)</f>
        <v>Dianna</v>
      </c>
      <c r="H2013" s="6" t="str">
        <f>VLOOKUP(F2013,'Customer Info'!$A$1:$C$501,3,0)</f>
        <v>Vittorini</v>
      </c>
      <c r="I2013" s="6" t="str">
        <f>VLOOKUP(F2013,Customer,5,0)</f>
        <v>Gold Coast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2565</v>
      </c>
      <c r="O2013" s="2">
        <v>60</v>
      </c>
      <c r="P2013" s="8">
        <f t="shared" si="157"/>
        <v>2625</v>
      </c>
      <c r="Q2013" s="8">
        <f t="shared" si="158"/>
        <v>234</v>
      </c>
      <c r="R2013" s="2" t="s">
        <v>50</v>
      </c>
      <c r="S2013" s="24">
        <f t="shared" si="159"/>
        <v>0.02</v>
      </c>
    </row>
    <row r="2014" spans="1:19" x14ac:dyDescent="0.25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>VLOOKUP(F2014,'Customer Info'!$A:$B,2,0)</f>
        <v>Bruce</v>
      </c>
      <c r="H2014" s="6" t="str">
        <f>VLOOKUP(F2014,'Customer Info'!$A$1:$C$501,3,0)</f>
        <v>Geld</v>
      </c>
      <c r="I2014" s="6" t="str">
        <f>VLOOKUP(F2014,Customer,5,0)</f>
        <v>Wollongong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10912</v>
      </c>
      <c r="O2014" s="2">
        <v>37</v>
      </c>
      <c r="P2014" s="8">
        <f t="shared" si="157"/>
        <v>10949</v>
      </c>
      <c r="Q2014" s="8">
        <f t="shared" si="158"/>
        <v>720</v>
      </c>
      <c r="R2014" s="2" t="s">
        <v>28</v>
      </c>
      <c r="S2014" s="24">
        <f t="shared" si="159"/>
        <v>0.05</v>
      </c>
    </row>
    <row r="2015" spans="1:19" x14ac:dyDescent="0.25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>VLOOKUP(F2015,'Customer Info'!$A:$B,2,0)</f>
        <v>Jack</v>
      </c>
      <c r="H2015" s="6" t="str">
        <f>VLOOKUP(F2015,'Customer Info'!$A$1:$C$501,3,0)</f>
        <v>Garza</v>
      </c>
      <c r="I2015" s="6" t="str">
        <f>VLOOKUP(F2015,Customer,5,0)</f>
        <v>Oldenburg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441</v>
      </c>
      <c r="O2015" s="2">
        <v>10</v>
      </c>
      <c r="P2015" s="8">
        <f t="shared" si="157"/>
        <v>451</v>
      </c>
      <c r="Q2015" s="8">
        <f t="shared" si="158"/>
        <v>35</v>
      </c>
      <c r="R2015" s="2" t="s">
        <v>28</v>
      </c>
      <c r="S2015" s="24">
        <f t="shared" si="159"/>
        <v>0.02</v>
      </c>
    </row>
    <row r="2016" spans="1:19" x14ac:dyDescent="0.25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>VLOOKUP(F2016,'Customer Info'!$A:$B,2,0)</f>
        <v>Tamara</v>
      </c>
      <c r="H2016" s="6" t="str">
        <f>VLOOKUP(F2016,'Customer Info'!$A$1:$C$501,3,0)</f>
        <v>Chand</v>
      </c>
      <c r="I2016" s="6" t="str">
        <f>VLOOKUP(F2016,Customer,5,0)</f>
        <v>Yogyakarta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3066</v>
      </c>
      <c r="O2016" s="2">
        <v>66</v>
      </c>
      <c r="P2016" s="8">
        <f t="shared" si="157"/>
        <v>3132</v>
      </c>
      <c r="Q2016" s="8">
        <f t="shared" si="158"/>
        <v>254</v>
      </c>
      <c r="R2016" s="2" t="s">
        <v>26</v>
      </c>
      <c r="S2016" s="24">
        <f t="shared" si="159"/>
        <v>0.02</v>
      </c>
    </row>
    <row r="2017" spans="1:19" x14ac:dyDescent="0.25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>VLOOKUP(F2017,'Customer Info'!$A:$B,2,0)</f>
        <v>Erica</v>
      </c>
      <c r="H2017" s="6" t="str">
        <f>VLOOKUP(F2017,'Customer Info'!$A$1:$C$501,3,0)</f>
        <v>Hackney</v>
      </c>
      <c r="I2017" s="6" t="str">
        <f>VLOOKUP(F2017,Customer,5,0)</f>
        <v>Adelaide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5204</v>
      </c>
      <c r="O2017" s="2">
        <v>78</v>
      </c>
      <c r="P2017" s="8">
        <f t="shared" si="157"/>
        <v>5282</v>
      </c>
      <c r="Q2017" s="8">
        <f t="shared" si="158"/>
        <v>478</v>
      </c>
      <c r="R2017" s="2" t="s">
        <v>50</v>
      </c>
      <c r="S2017" s="24">
        <f t="shared" si="159"/>
        <v>0.05</v>
      </c>
    </row>
    <row r="2018" spans="1:19" x14ac:dyDescent="0.25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>VLOOKUP(F2018,'Customer Info'!$A:$B,2,0)</f>
        <v>Adam</v>
      </c>
      <c r="H2018" s="6" t="str">
        <f>VLOOKUP(F2018,'Customer Info'!$A$1:$C$501,3,0)</f>
        <v>Bellavance</v>
      </c>
      <c r="I2018" s="6" t="str">
        <f>VLOOKUP(F2018,Customer,5,0)</f>
        <v>Medan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2187</v>
      </c>
      <c r="O2018" s="2">
        <v>49</v>
      </c>
      <c r="P2018" s="8">
        <f t="shared" si="157"/>
        <v>2236</v>
      </c>
      <c r="Q2018" s="8">
        <f t="shared" si="158"/>
        <v>120</v>
      </c>
      <c r="R2018" s="2" t="s">
        <v>50</v>
      </c>
      <c r="S2018" s="24">
        <f t="shared" si="159"/>
        <v>0.02</v>
      </c>
    </row>
    <row r="2019" spans="1:19" x14ac:dyDescent="0.25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>VLOOKUP(F2019,'Customer Info'!$A:$B,2,0)</f>
        <v>Jeremy</v>
      </c>
      <c r="H2019" s="6" t="str">
        <f>VLOOKUP(F2019,'Customer Info'!$A$1:$C$501,3,0)</f>
        <v>Ellison</v>
      </c>
      <c r="I2019" s="6" t="str">
        <f>VLOOKUP(F2019,Customer,5,0)</f>
        <v>Jammu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19999</v>
      </c>
      <c r="O2019" s="2">
        <v>78</v>
      </c>
      <c r="P2019" s="8">
        <f t="shared" si="157"/>
        <v>20077</v>
      </c>
      <c r="Q2019" s="8">
        <f t="shared" si="158"/>
        <v>1645</v>
      </c>
      <c r="R2019" s="2" t="s">
        <v>28</v>
      </c>
      <c r="S2019" s="24">
        <f t="shared" si="159"/>
        <v>0.05</v>
      </c>
    </row>
    <row r="2020" spans="1:19" x14ac:dyDescent="0.25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>VLOOKUP(F2020,'Customer Info'!$A:$B,2,0)</f>
        <v>Cari</v>
      </c>
      <c r="H2020" s="6" t="str">
        <f>VLOOKUP(F2020,'Customer Info'!$A$1:$C$501,3,0)</f>
        <v>MacIntyre</v>
      </c>
      <c r="I2020" s="6" t="str">
        <f>VLOOKUP(F2020,Customer,5,0)</f>
        <v>Freiburg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9808</v>
      </c>
      <c r="O2020" s="2">
        <v>24</v>
      </c>
      <c r="P2020" s="8">
        <f t="shared" si="157"/>
        <v>9832</v>
      </c>
      <c r="Q2020" s="8">
        <f t="shared" si="158"/>
        <v>810</v>
      </c>
      <c r="R2020" s="2" t="s">
        <v>50</v>
      </c>
      <c r="S2020" s="24">
        <f t="shared" si="159"/>
        <v>0.05</v>
      </c>
    </row>
    <row r="2021" spans="1:19" x14ac:dyDescent="0.25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>VLOOKUP(F2021,'Customer Info'!$A:$B,2,0)</f>
        <v>Ivan</v>
      </c>
      <c r="H2021" s="6" t="str">
        <f>VLOOKUP(F2021,'Customer Info'!$A$1:$C$501,3,0)</f>
        <v>Gibson</v>
      </c>
      <c r="I2021" s="6" t="str">
        <f>VLOOKUP(F2021,Customer,5,0)</f>
        <v>Perth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3288</v>
      </c>
      <c r="O2021" s="2">
        <v>46</v>
      </c>
      <c r="P2021" s="8">
        <f t="shared" si="157"/>
        <v>3334</v>
      </c>
      <c r="Q2021" s="8">
        <f t="shared" si="158"/>
        <v>247</v>
      </c>
      <c r="R2021" s="2" t="s">
        <v>28</v>
      </c>
      <c r="S2021" s="24">
        <f t="shared" si="159"/>
        <v>0.02</v>
      </c>
    </row>
    <row r="2022" spans="1:19" x14ac:dyDescent="0.25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>VLOOKUP(F2022,'Customer Info'!$A:$B,2,0)</f>
        <v>Max</v>
      </c>
      <c r="H2022" s="6" t="str">
        <f>VLOOKUP(F2022,'Customer Info'!$A$1:$C$501,3,0)</f>
        <v>Ludwig</v>
      </c>
      <c r="I2022" s="6" t="str">
        <f>VLOOKUP(F2022,Customer,5,0)</f>
        <v>Cirebon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1774</v>
      </c>
      <c r="O2022" s="2">
        <v>70</v>
      </c>
      <c r="P2022" s="8">
        <f t="shared" si="157"/>
        <v>1844</v>
      </c>
      <c r="Q2022" s="8">
        <f t="shared" si="158"/>
        <v>132</v>
      </c>
      <c r="R2022" s="2" t="s">
        <v>26</v>
      </c>
      <c r="S2022" s="24">
        <f t="shared" si="159"/>
        <v>0.02</v>
      </c>
    </row>
    <row r="2023" spans="1:19" x14ac:dyDescent="0.25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>VLOOKUP(F2023,'Customer Info'!$A:$B,2,0)</f>
        <v>Lynn</v>
      </c>
      <c r="H2023" s="6" t="str">
        <f>VLOOKUP(F2023,'Customer Info'!$A$1:$C$501,3,0)</f>
        <v>Smith</v>
      </c>
      <c r="I2023" s="6" t="str">
        <f>VLOOKUP(F2023,Customer,5,0)</f>
        <v>Kanpur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4904</v>
      </c>
      <c r="O2023" s="2">
        <v>36</v>
      </c>
      <c r="P2023" s="8">
        <f t="shared" si="157"/>
        <v>4940</v>
      </c>
      <c r="Q2023" s="8">
        <f t="shared" si="158"/>
        <v>405</v>
      </c>
      <c r="R2023" s="2" t="s">
        <v>50</v>
      </c>
      <c r="S2023" s="24">
        <f t="shared" si="159"/>
        <v>0.02</v>
      </c>
    </row>
    <row r="2024" spans="1:19" x14ac:dyDescent="0.25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>VLOOKUP(F2024,'Customer Info'!$A:$B,2,0)</f>
        <v>Annie</v>
      </c>
      <c r="H2024" s="6" t="str">
        <f>VLOOKUP(F2024,'Customer Info'!$A$1:$C$501,3,0)</f>
        <v>Zypern</v>
      </c>
      <c r="I2024" s="6" t="str">
        <f>VLOOKUP(F2024,Customer,5,0)</f>
        <v>Brisbane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53268</v>
      </c>
      <c r="O2024" s="2">
        <v>35</v>
      </c>
      <c r="P2024" s="8">
        <f t="shared" si="157"/>
        <v>53303</v>
      </c>
      <c r="Q2024" s="8">
        <f t="shared" si="158"/>
        <v>5784</v>
      </c>
      <c r="R2024" s="2" t="s">
        <v>26</v>
      </c>
      <c r="S2024" s="24">
        <f t="shared" si="159"/>
        <v>0.09</v>
      </c>
    </row>
    <row r="2025" spans="1:19" x14ac:dyDescent="0.25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>VLOOKUP(F2025,'Customer Info'!$A:$B,2,0)</f>
        <v>Kelly</v>
      </c>
      <c r="H2025" s="6" t="str">
        <f>VLOOKUP(F2025,'Customer Info'!$A$1:$C$501,3,0)</f>
        <v>Collister</v>
      </c>
      <c r="I2025" s="6" t="str">
        <f>VLOOKUP(F2025,Customer,5,0)</f>
        <v>Tangshan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69</v>
      </c>
      <c r="O2025" s="2">
        <v>10</v>
      </c>
      <c r="P2025" s="8">
        <f t="shared" si="157"/>
        <v>79</v>
      </c>
      <c r="Q2025" s="8">
        <f t="shared" si="158"/>
        <v>5</v>
      </c>
      <c r="R2025" s="2" t="s">
        <v>28</v>
      </c>
      <c r="S2025" s="24">
        <f t="shared" si="159"/>
        <v>0.02</v>
      </c>
    </row>
    <row r="2026" spans="1:19" x14ac:dyDescent="0.25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>VLOOKUP(F2026,'Customer Info'!$A:$B,2,0)</f>
        <v>Deanra</v>
      </c>
      <c r="H2026" s="6" t="str">
        <f>VLOOKUP(F2026,'Customer Info'!$A$1:$C$501,3,0)</f>
        <v>Eno</v>
      </c>
      <c r="I2026" s="6" t="str">
        <f>VLOOKUP(F2026,Customer,5,0)</f>
        <v>Langen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179</v>
      </c>
      <c r="O2026" s="2">
        <v>30</v>
      </c>
      <c r="P2026" s="8">
        <f t="shared" si="157"/>
        <v>209</v>
      </c>
      <c r="Q2026" s="8">
        <f t="shared" si="158"/>
        <v>13</v>
      </c>
      <c r="R2026" s="2" t="s">
        <v>56</v>
      </c>
      <c r="S2026" s="24">
        <f t="shared" si="159"/>
        <v>0.02</v>
      </c>
    </row>
    <row r="2027" spans="1:19" x14ac:dyDescent="0.25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>VLOOKUP(F2027,'Customer Info'!$A:$B,2,0)</f>
        <v>Steve</v>
      </c>
      <c r="H2027" s="6" t="str">
        <f>VLOOKUP(F2027,'Customer Info'!$A$1:$C$501,3,0)</f>
        <v>Carroll</v>
      </c>
      <c r="I2027" s="6" t="str">
        <f>VLOOKUP(F2027,Customer,5,0)</f>
        <v>Qingdao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10104</v>
      </c>
      <c r="O2027" s="2">
        <v>36</v>
      </c>
      <c r="P2027" s="8">
        <f t="shared" si="157"/>
        <v>10140</v>
      </c>
      <c r="Q2027" s="8">
        <f t="shared" si="158"/>
        <v>472</v>
      </c>
      <c r="R2027" s="2" t="s">
        <v>56</v>
      </c>
      <c r="S2027" s="24">
        <f t="shared" si="159"/>
        <v>0.05</v>
      </c>
    </row>
    <row r="2028" spans="1:19" x14ac:dyDescent="0.25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>VLOOKUP(F2028,'Customer Info'!$A:$B,2,0)</f>
        <v>Bruce</v>
      </c>
      <c r="H2028" s="6" t="str">
        <f>VLOOKUP(F2028,'Customer Info'!$A$1:$C$501,3,0)</f>
        <v>Geld</v>
      </c>
      <c r="I2028" s="6" t="str">
        <f>VLOOKUP(F2028,Customer,5,0)</f>
        <v>Wollongong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2862</v>
      </c>
      <c r="O2028" s="2">
        <v>95</v>
      </c>
      <c r="P2028" s="8">
        <f t="shared" si="157"/>
        <v>2957</v>
      </c>
      <c r="Q2028" s="8">
        <f t="shared" si="158"/>
        <v>159</v>
      </c>
      <c r="R2028" s="2" t="s">
        <v>28</v>
      </c>
      <c r="S2028" s="24">
        <f t="shared" si="159"/>
        <v>0.02</v>
      </c>
    </row>
    <row r="2029" spans="1:19" x14ac:dyDescent="0.25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>VLOOKUP(F2029,'Customer Info'!$A:$B,2,0)</f>
        <v>Ralph</v>
      </c>
      <c r="H2029" s="6" t="str">
        <f>VLOOKUP(F2029,'Customer Info'!$A$1:$C$501,3,0)</f>
        <v>Arnett</v>
      </c>
      <c r="I2029" s="6" t="str">
        <f>VLOOKUP(F2029,Customer,5,0)</f>
        <v>Shenyang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10204</v>
      </c>
      <c r="O2029" s="2">
        <v>86</v>
      </c>
      <c r="P2029" s="8">
        <f t="shared" si="157"/>
        <v>10290</v>
      </c>
      <c r="Q2029" s="8">
        <f t="shared" si="158"/>
        <v>380</v>
      </c>
      <c r="R2029" s="2" t="s">
        <v>28</v>
      </c>
      <c r="S2029" s="24">
        <f t="shared" si="159"/>
        <v>0.05</v>
      </c>
    </row>
    <row r="2030" spans="1:19" x14ac:dyDescent="0.25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>VLOOKUP(F2030,'Customer Info'!$A:$B,2,0)</f>
        <v>Lindsay</v>
      </c>
      <c r="H2030" s="6" t="str">
        <f>VLOOKUP(F2030,'Customer Info'!$A$1:$C$501,3,0)</f>
        <v>Castell</v>
      </c>
      <c r="I2030" s="6" t="str">
        <f>VLOOKUP(F2030,Customer,5,0)</f>
        <v>Depok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15090</v>
      </c>
      <c r="O2030" s="2">
        <v>26</v>
      </c>
      <c r="P2030" s="8">
        <f t="shared" si="157"/>
        <v>15116</v>
      </c>
      <c r="Q2030" s="8">
        <f t="shared" si="158"/>
        <v>708</v>
      </c>
      <c r="R2030" s="2" t="s">
        <v>26</v>
      </c>
      <c r="S2030" s="24">
        <f t="shared" si="159"/>
        <v>0.05</v>
      </c>
    </row>
    <row r="2031" spans="1:19" x14ac:dyDescent="0.25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>VLOOKUP(F2031,'Customer Info'!$A:$B,2,0)</f>
        <v>Bill</v>
      </c>
      <c r="H2031" s="6" t="str">
        <f>VLOOKUP(F2031,'Customer Info'!$A$1:$C$501,3,0)</f>
        <v>Stewart</v>
      </c>
      <c r="I2031" s="6" t="str">
        <f>VLOOKUP(F2031,Customer,5,0)</f>
        <v>Wenling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444</v>
      </c>
      <c r="O2031" s="2">
        <v>43</v>
      </c>
      <c r="P2031" s="8">
        <f t="shared" si="157"/>
        <v>487</v>
      </c>
      <c r="Q2031" s="8">
        <f t="shared" si="158"/>
        <v>36</v>
      </c>
      <c r="R2031" s="2" t="s">
        <v>28</v>
      </c>
      <c r="S2031" s="24">
        <f t="shared" si="159"/>
        <v>0.02</v>
      </c>
    </row>
    <row r="2032" spans="1:19" x14ac:dyDescent="0.25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>VLOOKUP(F2032,'Customer Info'!$A:$B,2,0)</f>
        <v>Dennis</v>
      </c>
      <c r="H2032" s="6" t="str">
        <f>VLOOKUP(F2032,'Customer Info'!$A$1:$C$501,3,0)</f>
        <v>Pardue</v>
      </c>
      <c r="I2032" s="6" t="str">
        <f>VLOOKUP(F2032,Customer,5,0)</f>
        <v>Townsville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5909</v>
      </c>
      <c r="O2032" s="2">
        <v>83</v>
      </c>
      <c r="P2032" s="8">
        <f t="shared" si="157"/>
        <v>5992</v>
      </c>
      <c r="Q2032" s="8">
        <f t="shared" si="158"/>
        <v>381</v>
      </c>
      <c r="R2032" s="2" t="s">
        <v>28</v>
      </c>
      <c r="S2032" s="24">
        <f t="shared" si="159"/>
        <v>0.05</v>
      </c>
    </row>
    <row r="2033" spans="1:19" x14ac:dyDescent="0.25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>VLOOKUP(F2033,'Customer Info'!$A:$B,2,0)</f>
        <v>Shui</v>
      </c>
      <c r="H2033" s="6" t="str">
        <f>VLOOKUP(F2033,'Customer Info'!$A$1:$C$501,3,0)</f>
        <v>Tom</v>
      </c>
      <c r="I2033" s="6" t="str">
        <f>VLOOKUP(F2033,Customer,5,0)</f>
        <v>Jakarta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36132</v>
      </c>
      <c r="O2033" s="2">
        <v>36</v>
      </c>
      <c r="P2033" s="8">
        <f t="shared" si="157"/>
        <v>36168</v>
      </c>
      <c r="Q2033" s="8">
        <f t="shared" si="158"/>
        <v>3604</v>
      </c>
      <c r="R2033" s="2" t="s">
        <v>28</v>
      </c>
      <c r="S2033" s="24">
        <f t="shared" si="159"/>
        <v>7.0000000000000007E-2</v>
      </c>
    </row>
    <row r="2034" spans="1:19" x14ac:dyDescent="0.25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>VLOOKUP(F2034,'Customer Info'!$A:$B,2,0)</f>
        <v>Damala</v>
      </c>
      <c r="H2034" s="6" t="str">
        <f>VLOOKUP(F2034,'Customer Info'!$A$1:$C$501,3,0)</f>
        <v>Kotsonis</v>
      </c>
      <c r="I2034" s="6" t="str">
        <f>VLOOKUP(F2034,Customer,5,0)</f>
        <v>Berlin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10062</v>
      </c>
      <c r="O2034" s="2">
        <v>48</v>
      </c>
      <c r="P2034" s="8">
        <f t="shared" si="157"/>
        <v>10110</v>
      </c>
      <c r="Q2034" s="8">
        <f t="shared" si="158"/>
        <v>756</v>
      </c>
      <c r="R2034" s="2" t="s">
        <v>50</v>
      </c>
      <c r="S2034" s="24">
        <f t="shared" si="159"/>
        <v>0.05</v>
      </c>
    </row>
    <row r="2035" spans="1:19" x14ac:dyDescent="0.25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>VLOOKUP(F2035,'Customer Info'!$A:$B,2,0)</f>
        <v>Bryan</v>
      </c>
      <c r="H2035" s="6" t="str">
        <f>VLOOKUP(F2035,'Customer Info'!$A$1:$C$501,3,0)</f>
        <v>Davis</v>
      </c>
      <c r="I2035" s="6" t="str">
        <f>VLOOKUP(F2035,Customer,5,0)</f>
        <v>Delhi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2017</v>
      </c>
      <c r="O2035" s="2">
        <v>44</v>
      </c>
      <c r="P2035" s="8">
        <f t="shared" si="157"/>
        <v>2061</v>
      </c>
      <c r="Q2035" s="8">
        <f t="shared" si="158"/>
        <v>183</v>
      </c>
      <c r="R2035" s="2" t="s">
        <v>50</v>
      </c>
      <c r="S2035" s="24">
        <f t="shared" si="159"/>
        <v>0.02</v>
      </c>
    </row>
    <row r="2036" spans="1:19" x14ac:dyDescent="0.25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>VLOOKUP(F2036,'Customer Info'!$A:$B,2,0)</f>
        <v>Evan</v>
      </c>
      <c r="H2036" s="6" t="str">
        <f>VLOOKUP(F2036,'Customer Info'!$A$1:$C$501,3,0)</f>
        <v>Bailliet</v>
      </c>
      <c r="I2036" s="6" t="str">
        <f>VLOOKUP(F2036,Customer,5,0)</f>
        <v>Brisbane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9214</v>
      </c>
      <c r="O2036" s="2">
        <v>84</v>
      </c>
      <c r="P2036" s="8">
        <f t="shared" si="157"/>
        <v>9298</v>
      </c>
      <c r="Q2036" s="8">
        <f t="shared" si="158"/>
        <v>919</v>
      </c>
      <c r="R2036" s="2" t="s">
        <v>50</v>
      </c>
      <c r="S2036" s="24">
        <f t="shared" si="159"/>
        <v>0.05</v>
      </c>
    </row>
    <row r="2037" spans="1:19" x14ac:dyDescent="0.25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>VLOOKUP(F2037,'Customer Info'!$A:$B,2,0)</f>
        <v>Laura</v>
      </c>
      <c r="H2037" s="6" t="str">
        <f>VLOOKUP(F2037,'Customer Info'!$A$1:$C$501,3,0)</f>
        <v>Armstrong</v>
      </c>
      <c r="I2037" s="6" t="str">
        <f>VLOOKUP(F2037,Customer,5,0)</f>
        <v>Torquay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744</v>
      </c>
      <c r="O2037" s="2">
        <v>10</v>
      </c>
      <c r="P2037" s="8">
        <f t="shared" si="157"/>
        <v>754</v>
      </c>
      <c r="Q2037" s="8">
        <f t="shared" si="158"/>
        <v>56</v>
      </c>
      <c r="R2037" s="2" t="s">
        <v>50</v>
      </c>
      <c r="S2037" s="24">
        <f t="shared" si="159"/>
        <v>0.02</v>
      </c>
    </row>
    <row r="2038" spans="1:19" x14ac:dyDescent="0.25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>VLOOKUP(F2038,'Customer Info'!$A:$B,2,0)</f>
        <v>Candace</v>
      </c>
      <c r="H2038" s="6" t="str">
        <f>VLOOKUP(F2038,'Customer Info'!$A$1:$C$501,3,0)</f>
        <v>McMahon</v>
      </c>
      <c r="I2038" s="6" t="str">
        <f>VLOOKUP(F2038,Customer,5,0)</f>
        <v>Canberra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2205</v>
      </c>
      <c r="O2038" s="2">
        <v>65</v>
      </c>
      <c r="P2038" s="8">
        <f t="shared" si="157"/>
        <v>2270</v>
      </c>
      <c r="Q2038" s="8">
        <f t="shared" si="158"/>
        <v>144</v>
      </c>
      <c r="R2038" s="2" t="s">
        <v>28</v>
      </c>
      <c r="S2038" s="24">
        <f t="shared" si="159"/>
        <v>0.02</v>
      </c>
    </row>
    <row r="2039" spans="1:19" x14ac:dyDescent="0.25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>VLOOKUP(F2039,'Customer Info'!$A:$B,2,0)</f>
        <v>Jack</v>
      </c>
      <c r="H2039" s="6" t="str">
        <f>VLOOKUP(F2039,'Customer Info'!$A$1:$C$501,3,0)</f>
        <v>Garza</v>
      </c>
      <c r="I2039" s="6" t="str">
        <f>VLOOKUP(F2039,Customer,5,0)</f>
        <v>Oldenburg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2728</v>
      </c>
      <c r="O2039" s="2">
        <v>85</v>
      </c>
      <c r="P2039" s="8">
        <f t="shared" si="157"/>
        <v>2813</v>
      </c>
      <c r="Q2039" s="8">
        <f t="shared" si="158"/>
        <v>180</v>
      </c>
      <c r="R2039" s="2" t="s">
        <v>28</v>
      </c>
      <c r="S2039" s="24">
        <f t="shared" si="159"/>
        <v>0.02</v>
      </c>
    </row>
    <row r="2040" spans="1:19" x14ac:dyDescent="0.25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>VLOOKUP(F2040,'Customer Info'!$A:$B,2,0)</f>
        <v>Adrian</v>
      </c>
      <c r="H2040" s="6" t="str">
        <f>VLOOKUP(F2040,'Customer Info'!$A$1:$C$501,3,0)</f>
        <v>Barton</v>
      </c>
      <c r="I2040" s="6" t="str">
        <f>VLOOKUP(F2040,Customer,5,0)</f>
        <v>Zigong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3375</v>
      </c>
      <c r="O2040" s="2">
        <v>45</v>
      </c>
      <c r="P2040" s="8">
        <f t="shared" si="157"/>
        <v>3420</v>
      </c>
      <c r="Q2040" s="8">
        <f t="shared" si="158"/>
        <v>255</v>
      </c>
      <c r="R2040" s="2" t="s">
        <v>50</v>
      </c>
      <c r="S2040" s="24">
        <f t="shared" si="159"/>
        <v>0.02</v>
      </c>
    </row>
    <row r="2041" spans="1:19" x14ac:dyDescent="0.25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>VLOOKUP(F2041,'Customer Info'!$A:$B,2,0)</f>
        <v>Troy</v>
      </c>
      <c r="H2041" s="6" t="str">
        <f>VLOOKUP(F2041,'Customer Info'!$A$1:$C$501,3,0)</f>
        <v>Blackwell</v>
      </c>
      <c r="I2041" s="6" t="str">
        <f>VLOOKUP(F2041,Customer,5,0)</f>
        <v>Akola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1997</v>
      </c>
      <c r="O2041" s="2">
        <v>54</v>
      </c>
      <c r="P2041" s="8">
        <f t="shared" si="157"/>
        <v>2051</v>
      </c>
      <c r="Q2041" s="8">
        <f t="shared" si="158"/>
        <v>181</v>
      </c>
      <c r="R2041" s="2" t="s">
        <v>28</v>
      </c>
      <c r="S2041" s="24">
        <f t="shared" si="159"/>
        <v>0.02</v>
      </c>
    </row>
    <row r="2042" spans="1:19" x14ac:dyDescent="0.25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>VLOOKUP(F2042,'Customer Info'!$A:$B,2,0)</f>
        <v>Michelle</v>
      </c>
      <c r="H2042" s="6" t="str">
        <f>VLOOKUP(F2042,'Customer Info'!$A$1:$C$501,3,0)</f>
        <v>Tran</v>
      </c>
      <c r="I2042" s="6" t="str">
        <f>VLOOKUP(F2042,Customer,5,0)</f>
        <v>Mount Gambier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810</v>
      </c>
      <c r="O2042" s="2">
        <v>30</v>
      </c>
      <c r="P2042" s="8">
        <f t="shared" si="157"/>
        <v>840</v>
      </c>
      <c r="Q2042" s="8">
        <f t="shared" si="158"/>
        <v>54</v>
      </c>
      <c r="R2042" s="2" t="s">
        <v>28</v>
      </c>
      <c r="S2042" s="24">
        <f t="shared" si="159"/>
        <v>0.02</v>
      </c>
    </row>
    <row r="2043" spans="1:19" x14ac:dyDescent="0.25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>VLOOKUP(F2043,'Customer Info'!$A:$B,2,0)</f>
        <v>Marc</v>
      </c>
      <c r="H2043" s="6" t="str">
        <f>VLOOKUP(F2043,'Customer Info'!$A$1:$C$501,3,0)</f>
        <v>Harrigan</v>
      </c>
      <c r="I2043" s="6" t="str">
        <f>VLOOKUP(F2043,Customer,5,0)</f>
        <v>Bogor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3596</v>
      </c>
      <c r="O2043" s="2">
        <v>73</v>
      </c>
      <c r="P2043" s="8">
        <f t="shared" si="157"/>
        <v>3669</v>
      </c>
      <c r="Q2043" s="8">
        <f t="shared" si="158"/>
        <v>296</v>
      </c>
      <c r="R2043" s="2" t="s">
        <v>28</v>
      </c>
      <c r="S2043" s="24">
        <f t="shared" si="159"/>
        <v>0.02</v>
      </c>
    </row>
    <row r="2044" spans="1:19" x14ac:dyDescent="0.25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>VLOOKUP(F2044,'Customer Info'!$A:$B,2,0)</f>
        <v>Jim</v>
      </c>
      <c r="H2044" s="6" t="str">
        <f>VLOOKUP(F2044,'Customer Info'!$A$1:$C$501,3,0)</f>
        <v>Karlsson</v>
      </c>
      <c r="I2044" s="6" t="str">
        <f>VLOOKUP(F2044,Customer,5,0)</f>
        <v>Geelong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2338</v>
      </c>
      <c r="O2044" s="2">
        <v>69</v>
      </c>
      <c r="P2044" s="8">
        <f t="shared" si="157"/>
        <v>2407</v>
      </c>
      <c r="Q2044" s="8">
        <f t="shared" si="158"/>
        <v>194</v>
      </c>
      <c r="R2044" s="2" t="s">
        <v>28</v>
      </c>
      <c r="S2044" s="24">
        <f t="shared" si="159"/>
        <v>0.02</v>
      </c>
    </row>
    <row r="2045" spans="1:19" x14ac:dyDescent="0.25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>VLOOKUP(F2045,'Customer Info'!$A:$B,2,0)</f>
        <v>Carlos</v>
      </c>
      <c r="H2045" s="6" t="str">
        <f>VLOOKUP(F2045,'Customer Info'!$A$1:$C$501,3,0)</f>
        <v>Soltero</v>
      </c>
      <c r="I2045" s="6" t="str">
        <f>VLOOKUP(F2045,Customer,5,0)</f>
        <v>Wodonga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10848</v>
      </c>
      <c r="O2045" s="2">
        <v>84</v>
      </c>
      <c r="P2045" s="8">
        <f t="shared" si="157"/>
        <v>10932</v>
      </c>
      <c r="Q2045" s="8">
        <f t="shared" si="158"/>
        <v>408</v>
      </c>
      <c r="R2045" s="2" t="s">
        <v>28</v>
      </c>
      <c r="S2045" s="24">
        <f t="shared" si="159"/>
        <v>0.05</v>
      </c>
    </row>
    <row r="2046" spans="1:19" x14ac:dyDescent="0.25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>VLOOKUP(F2046,'Customer Info'!$A:$B,2,0)</f>
        <v>Michelle</v>
      </c>
      <c r="H2046" s="6" t="str">
        <f>VLOOKUP(F2046,'Customer Info'!$A$1:$C$501,3,0)</f>
        <v>Arnett</v>
      </c>
      <c r="I2046" s="6" t="str">
        <f>VLOOKUP(F2046,Customer,5,0)</f>
        <v>Palembang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5030</v>
      </c>
      <c r="O2046" s="2">
        <v>89</v>
      </c>
      <c r="P2046" s="8">
        <f t="shared" si="157"/>
        <v>5119</v>
      </c>
      <c r="Q2046" s="8">
        <f t="shared" si="158"/>
        <v>236</v>
      </c>
      <c r="R2046" s="2" t="s">
        <v>28</v>
      </c>
      <c r="S2046" s="24">
        <f t="shared" si="159"/>
        <v>0.05</v>
      </c>
    </row>
    <row r="2047" spans="1:19" x14ac:dyDescent="0.25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>VLOOKUP(F2047,'Customer Info'!$A:$B,2,0)</f>
        <v>Patrick</v>
      </c>
      <c r="H2047" s="6" t="str">
        <f>VLOOKUP(F2047,'Customer Info'!$A$1:$C$501,3,0)</f>
        <v>O'Donnell</v>
      </c>
      <c r="I2047" s="6" t="str">
        <f>VLOOKUP(F2047,Customer,5,0)</f>
        <v>Sydney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5256</v>
      </c>
      <c r="O2047" s="2">
        <v>88</v>
      </c>
      <c r="P2047" s="8">
        <f t="shared" si="157"/>
        <v>5344</v>
      </c>
      <c r="Q2047" s="8">
        <f t="shared" si="158"/>
        <v>528</v>
      </c>
      <c r="R2047" s="2" t="s">
        <v>28</v>
      </c>
      <c r="S2047" s="24">
        <f t="shared" si="159"/>
        <v>0.05</v>
      </c>
    </row>
    <row r="2048" spans="1:19" x14ac:dyDescent="0.25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>VLOOKUP(F2048,'Customer Info'!$A:$B,2,0)</f>
        <v>Kristina</v>
      </c>
      <c r="H2048" s="6" t="str">
        <f>VLOOKUP(F2048,'Customer Info'!$A$1:$C$501,3,0)</f>
        <v>Nunn</v>
      </c>
      <c r="I2048" s="6" t="str">
        <f>VLOOKUP(F2048,Customer,5,0)</f>
        <v>Sydney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895</v>
      </c>
      <c r="O2048" s="2">
        <v>30</v>
      </c>
      <c r="P2048" s="8">
        <f t="shared" si="157"/>
        <v>925</v>
      </c>
      <c r="Q2048" s="8">
        <f t="shared" si="158"/>
        <v>40</v>
      </c>
      <c r="R2048" s="2" t="s">
        <v>50</v>
      </c>
      <c r="S2048" s="24">
        <f t="shared" si="159"/>
        <v>0.02</v>
      </c>
    </row>
    <row r="2049" spans="1:19" x14ac:dyDescent="0.25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>VLOOKUP(F2049,'Customer Info'!$A:$B,2,0)</f>
        <v>Roland</v>
      </c>
      <c r="H2049" s="6" t="str">
        <f>VLOOKUP(F2049,'Customer Info'!$A$1:$C$501,3,0)</f>
        <v>Murray</v>
      </c>
      <c r="I2049" s="6" t="str">
        <f>VLOOKUP(F2049,Customer,5,0)</f>
        <v>Frankfurt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4722</v>
      </c>
      <c r="O2049" s="2">
        <v>59</v>
      </c>
      <c r="P2049" s="8">
        <f t="shared" si="157"/>
        <v>4781</v>
      </c>
      <c r="Q2049" s="8">
        <f t="shared" si="158"/>
        <v>348</v>
      </c>
      <c r="R2049" s="2" t="s">
        <v>50</v>
      </c>
      <c r="S2049" s="24">
        <f t="shared" si="159"/>
        <v>0.02</v>
      </c>
    </row>
    <row r="2050" spans="1:19" x14ac:dyDescent="0.25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>VLOOKUP(F2050,'Customer Info'!$A:$B,2,0)</f>
        <v>Jonathan</v>
      </c>
      <c r="H2050" s="6" t="str">
        <f>VLOOKUP(F2050,'Customer Info'!$A$1:$C$501,3,0)</f>
        <v>Howell</v>
      </c>
      <c r="I2050" s="6" t="str">
        <f>VLOOKUP(F2050,Customer,5,0)</f>
        <v>Guangshui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3504</v>
      </c>
      <c r="O2050" s="2">
        <v>30</v>
      </c>
      <c r="P2050" s="8">
        <f t="shared" si="157"/>
        <v>3534</v>
      </c>
      <c r="Q2050" s="8">
        <f t="shared" si="158"/>
        <v>352</v>
      </c>
      <c r="R2050" s="2" t="s">
        <v>28</v>
      </c>
      <c r="S2050" s="24">
        <f t="shared" si="159"/>
        <v>0.02</v>
      </c>
    </row>
    <row r="2051" spans="1:19" x14ac:dyDescent="0.25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>VLOOKUP(F2051,'Customer Info'!$A:$B,2,0)</f>
        <v>Tracy</v>
      </c>
      <c r="H2051" s="6" t="str">
        <f>VLOOKUP(F2051,'Customer Info'!$A$1:$C$501,3,0)</f>
        <v>Blumstein</v>
      </c>
      <c r="I2051" s="6" t="str">
        <f>VLOOKUP(F2051,Customer,5,0)</f>
        <v>Guangzhou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6729</v>
      </c>
      <c r="O2051" s="2">
        <v>58</v>
      </c>
      <c r="P2051" s="8">
        <f t="shared" si="157"/>
        <v>6787</v>
      </c>
      <c r="Q2051" s="8">
        <f t="shared" si="158"/>
        <v>729</v>
      </c>
      <c r="R2051" s="2" t="s">
        <v>50</v>
      </c>
      <c r="S2051" s="24">
        <f t="shared" si="159"/>
        <v>0.05</v>
      </c>
    </row>
    <row r="2052" spans="1:19" x14ac:dyDescent="0.25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>VLOOKUP(F2052,'Customer Info'!$A:$B,2,0)</f>
        <v>Victoria</v>
      </c>
      <c r="H2052" s="6" t="str">
        <f>VLOOKUP(F2052,'Customer Info'!$A$1:$C$501,3,0)</f>
        <v>Wilson</v>
      </c>
      <c r="I2052" s="6" t="str">
        <f>VLOOKUP(F2052,Customer,5,0)</f>
        <v>Berlin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7943</v>
      </c>
      <c r="O2052" s="2">
        <v>81</v>
      </c>
      <c r="P2052" s="8">
        <f t="shared" si="157"/>
        <v>8024</v>
      </c>
      <c r="Q2052" s="8">
        <f t="shared" si="158"/>
        <v>153</v>
      </c>
      <c r="R2052" s="2" t="s">
        <v>28</v>
      </c>
      <c r="S2052" s="24">
        <f t="shared" si="159"/>
        <v>0.05</v>
      </c>
    </row>
    <row r="2053" spans="1:19" x14ac:dyDescent="0.25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>VLOOKUP(F2053,'Customer Info'!$A:$B,2,0)</f>
        <v>Thomas</v>
      </c>
      <c r="H2053" s="6" t="str">
        <f>VLOOKUP(F2053,'Customer Info'!$A$1:$C$501,3,0)</f>
        <v>Brumley</v>
      </c>
      <c r="I2053" s="6" t="str">
        <f>VLOOKUP(F2053,Customer,5,0)</f>
        <v>Jinan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8277</v>
      </c>
      <c r="O2053" s="2">
        <v>56</v>
      </c>
      <c r="P2053" s="8">
        <f t="shared" si="157"/>
        <v>8333</v>
      </c>
      <c r="Q2053" s="8">
        <f t="shared" si="158"/>
        <v>393</v>
      </c>
      <c r="R2053" s="2" t="s">
        <v>28</v>
      </c>
      <c r="S2053" s="24">
        <f t="shared" si="159"/>
        <v>0.05</v>
      </c>
    </row>
    <row r="2054" spans="1:19" x14ac:dyDescent="0.25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>VLOOKUP(F2054,'Customer Info'!$A:$B,2,0)</f>
        <v>Michelle</v>
      </c>
      <c r="H2054" s="6" t="str">
        <f>VLOOKUP(F2054,'Customer Info'!$A$1:$C$501,3,0)</f>
        <v>Tran</v>
      </c>
      <c r="I2054" s="6" t="str">
        <f>VLOOKUP(F2054,Customer,5,0)</f>
        <v>Mount Gambier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8686</v>
      </c>
      <c r="O2054" s="2">
        <v>54</v>
      </c>
      <c r="P2054" s="8">
        <f t="shared" si="157"/>
        <v>8740</v>
      </c>
      <c r="Q2054" s="8">
        <f t="shared" si="158"/>
        <v>651</v>
      </c>
      <c r="R2054" s="2" t="s">
        <v>28</v>
      </c>
      <c r="S2054" s="24">
        <f t="shared" si="159"/>
        <v>0.05</v>
      </c>
    </row>
    <row r="2055" spans="1:19" x14ac:dyDescent="0.25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>VLOOKUP(F2055,'Customer Info'!$A:$B,2,0)</f>
        <v>Larry</v>
      </c>
      <c r="H2055" s="6" t="str">
        <f>VLOOKUP(F2055,'Customer Info'!$A$1:$C$501,3,0)</f>
        <v>Blacks</v>
      </c>
      <c r="I2055" s="6" t="str">
        <f>VLOOKUP(F2055,Customer,5,0)</f>
        <v>Shangyu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360</v>
      </c>
      <c r="O2055" s="2">
        <v>10</v>
      </c>
      <c r="P2055" s="8">
        <f t="shared" si="157"/>
        <v>370</v>
      </c>
      <c r="Q2055" s="8">
        <f t="shared" si="158"/>
        <v>36</v>
      </c>
      <c r="R2055" s="2" t="s">
        <v>28</v>
      </c>
      <c r="S2055" s="24">
        <f t="shared" si="159"/>
        <v>0.02</v>
      </c>
    </row>
    <row r="2056" spans="1:19" x14ac:dyDescent="0.25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>VLOOKUP(F2056,'Customer Info'!$A:$B,2,0)</f>
        <v>Dave</v>
      </c>
      <c r="H2056" s="6" t="str">
        <f>VLOOKUP(F2056,'Customer Info'!$A$1:$C$501,3,0)</f>
        <v>Poirier</v>
      </c>
      <c r="I2056" s="6" t="str">
        <f>VLOOKUP(F2056,Customer,5,0)</f>
        <v>Changchun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9306</v>
      </c>
      <c r="O2056" s="2">
        <v>37</v>
      </c>
      <c r="P2056" s="8">
        <f t="shared" si="157"/>
        <v>9343</v>
      </c>
      <c r="Q2056" s="8">
        <f t="shared" si="158"/>
        <v>845</v>
      </c>
      <c r="R2056" s="2" t="s">
        <v>28</v>
      </c>
      <c r="S2056" s="24">
        <f t="shared" si="159"/>
        <v>0.05</v>
      </c>
    </row>
    <row r="2057" spans="1:19" x14ac:dyDescent="0.25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>VLOOKUP(F2057,'Customer Info'!$A:$B,2,0)</f>
        <v>Claire</v>
      </c>
      <c r="H2057" s="6" t="str">
        <f>VLOOKUP(F2057,'Customer Info'!$A$1:$C$501,3,0)</f>
        <v>Gute</v>
      </c>
      <c r="I2057" s="6" t="str">
        <f>VLOOKUP(F2057,Customer,5,0)</f>
        <v>Shenzhen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1864</v>
      </c>
      <c r="O2057" s="2">
        <v>25</v>
      </c>
      <c r="P2057" s="8">
        <f t="shared" si="157"/>
        <v>1889</v>
      </c>
      <c r="Q2057" s="8">
        <f t="shared" si="158"/>
        <v>188</v>
      </c>
      <c r="R2057" s="2" t="s">
        <v>56</v>
      </c>
      <c r="S2057" s="24">
        <f t="shared" si="159"/>
        <v>0.02</v>
      </c>
    </row>
    <row r="2058" spans="1:19" x14ac:dyDescent="0.25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>VLOOKUP(F2058,'Customer Info'!$A:$B,2,0)</f>
        <v>Michael</v>
      </c>
      <c r="H2058" s="6" t="str">
        <f>VLOOKUP(F2058,'Customer Info'!$A$1:$C$501,3,0)</f>
        <v>Moore</v>
      </c>
      <c r="I2058" s="6" t="str">
        <f>VLOOKUP(F2058,Customer,5,0)</f>
        <v>Medan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405</v>
      </c>
      <c r="O2058" s="2">
        <v>30</v>
      </c>
      <c r="P2058" s="8">
        <f t="shared" si="157"/>
        <v>435</v>
      </c>
      <c r="Q2058" s="8">
        <f t="shared" si="158"/>
        <v>18</v>
      </c>
      <c r="R2058" s="2" t="s">
        <v>56</v>
      </c>
      <c r="S2058" s="24">
        <f t="shared" si="159"/>
        <v>0.02</v>
      </c>
    </row>
    <row r="2059" spans="1:19" x14ac:dyDescent="0.25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>VLOOKUP(F2059,'Customer Info'!$A:$B,2,0)</f>
        <v>Dave</v>
      </c>
      <c r="H2059" s="6" t="str">
        <f>VLOOKUP(F2059,'Customer Info'!$A$1:$C$501,3,0)</f>
        <v>Poirier</v>
      </c>
      <c r="I2059" s="6" t="str">
        <f>VLOOKUP(F2059,Customer,5,0)</f>
        <v>Changchun</v>
      </c>
      <c r="J2059" s="2">
        <v>185</v>
      </c>
      <c r="K2059" s="2">
        <v>174</v>
      </c>
      <c r="L2059" s="2">
        <v>5</v>
      </c>
      <c r="M2059" s="7">
        <f t="shared" ref="M2059:M2122" si="160">K2059*L2059</f>
        <v>870</v>
      </c>
      <c r="N2059" s="7">
        <f t="shared" ref="N2059:N2122" si="161">J2059*L2059</f>
        <v>925</v>
      </c>
      <c r="O2059" s="2">
        <v>30</v>
      </c>
      <c r="P2059" s="8">
        <f t="shared" ref="P2059:P2122" si="162">N2059+O2059</f>
        <v>955</v>
      </c>
      <c r="Q2059" s="8">
        <f t="shared" ref="Q2059:Q2122" si="163">N2059-M2059</f>
        <v>55</v>
      </c>
      <c r="R2059" s="2" t="s">
        <v>28</v>
      </c>
      <c r="S2059" s="24">
        <f t="shared" ref="S2059:S2122" si="164">VLOOKUP(N2059,$T$1:$U$7,2,TRUE)</f>
        <v>0.02</v>
      </c>
    </row>
    <row r="2060" spans="1:19" x14ac:dyDescent="0.25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>VLOOKUP(F2060,'Customer Info'!$A:$B,2,0)</f>
        <v>Roy</v>
      </c>
      <c r="H2060" s="6" t="str">
        <f>VLOOKUP(F2060,'Customer Info'!$A$1:$C$501,3,0)</f>
        <v>Phan</v>
      </c>
      <c r="I2060" s="6" t="str">
        <f>VLOOKUP(F2060,Customer,5,0)</f>
        <v>Melbourne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8">
        <f t="shared" si="162"/>
        <v>9627</v>
      </c>
      <c r="Q2060" s="8">
        <f t="shared" si="163"/>
        <v>543</v>
      </c>
      <c r="R2060" s="2" t="s">
        <v>28</v>
      </c>
      <c r="S2060" s="24">
        <f t="shared" si="164"/>
        <v>0.05</v>
      </c>
    </row>
    <row r="2061" spans="1:19" x14ac:dyDescent="0.25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>VLOOKUP(F2061,'Customer Info'!$A:$B,2,0)</f>
        <v>Ben</v>
      </c>
      <c r="H2061" s="6" t="str">
        <f>VLOOKUP(F2061,'Customer Info'!$A$1:$C$501,3,0)</f>
        <v>Peterman</v>
      </c>
      <c r="I2061" s="6" t="str">
        <f>VLOOKUP(F2061,Customer,5,0)</f>
        <v>Bielefeld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8">
        <f t="shared" si="162"/>
        <v>3266</v>
      </c>
      <c r="Q2061" s="8">
        <f t="shared" si="163"/>
        <v>60</v>
      </c>
      <c r="R2061" s="2" t="s">
        <v>56</v>
      </c>
      <c r="S2061" s="24">
        <f t="shared" si="164"/>
        <v>0.02</v>
      </c>
    </row>
    <row r="2062" spans="1:19" x14ac:dyDescent="0.25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>VLOOKUP(F2062,'Customer Info'!$A:$B,2,0)</f>
        <v>Susan</v>
      </c>
      <c r="H2062" s="6" t="str">
        <f>VLOOKUP(F2062,'Customer Info'!$A$1:$C$501,3,0)</f>
        <v>Pistek</v>
      </c>
      <c r="I2062" s="6" t="str">
        <f>VLOOKUP(F2062,Customer,5,0)</f>
        <v>Padang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8">
        <f t="shared" si="162"/>
        <v>875</v>
      </c>
      <c r="Q2062" s="8">
        <f t="shared" si="163"/>
        <v>45</v>
      </c>
      <c r="R2062" s="2" t="s">
        <v>26</v>
      </c>
      <c r="S2062" s="24">
        <f t="shared" si="164"/>
        <v>0.02</v>
      </c>
    </row>
    <row r="2063" spans="1:19" x14ac:dyDescent="0.25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>VLOOKUP(F2063,'Customer Info'!$A:$B,2,0)</f>
        <v>Emily</v>
      </c>
      <c r="H2063" s="6" t="str">
        <f>VLOOKUP(F2063,'Customer Info'!$A$1:$C$501,3,0)</f>
        <v>Burns</v>
      </c>
      <c r="I2063" s="6" t="str">
        <f>VLOOKUP(F2063,Customer,5,0)</f>
        <v>Nasik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8">
        <f t="shared" si="162"/>
        <v>1152</v>
      </c>
      <c r="Q2063" s="8">
        <f t="shared" si="163"/>
        <v>66</v>
      </c>
      <c r="R2063" s="2" t="s">
        <v>28</v>
      </c>
      <c r="S2063" s="24">
        <f t="shared" si="164"/>
        <v>0.02</v>
      </c>
    </row>
    <row r="2064" spans="1:19" x14ac:dyDescent="0.25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>VLOOKUP(F2064,'Customer Info'!$A:$B,2,0)</f>
        <v>Alex</v>
      </c>
      <c r="H2064" s="6" t="str">
        <f>VLOOKUP(F2064,'Customer Info'!$A$1:$C$501,3,0)</f>
        <v>Avila</v>
      </c>
      <c r="I2064" s="6" t="str">
        <f>VLOOKUP(F2064,Customer,5,0)</f>
        <v>Newcastle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890</v>
      </c>
      <c r="O2064" s="2">
        <v>36</v>
      </c>
      <c r="P2064" s="8">
        <f t="shared" si="162"/>
        <v>926</v>
      </c>
      <c r="Q2064" s="8">
        <f t="shared" si="163"/>
        <v>60</v>
      </c>
      <c r="R2064" s="2" t="s">
        <v>50</v>
      </c>
      <c r="S2064" s="24">
        <f t="shared" si="164"/>
        <v>0.02</v>
      </c>
    </row>
    <row r="2065" spans="1:19" x14ac:dyDescent="0.25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>VLOOKUP(F2065,'Customer Info'!$A:$B,2,0)</f>
        <v>Larry</v>
      </c>
      <c r="H2065" s="6" t="str">
        <f>VLOOKUP(F2065,'Customer Info'!$A$1:$C$501,3,0)</f>
        <v>Blacks</v>
      </c>
      <c r="I2065" s="6" t="str">
        <f>VLOOKUP(F2065,Customer,5,0)</f>
        <v>Shangyu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15920</v>
      </c>
      <c r="O2065" s="2">
        <v>28</v>
      </c>
      <c r="P2065" s="8">
        <f t="shared" si="162"/>
        <v>15948</v>
      </c>
      <c r="Q2065" s="8">
        <f t="shared" si="163"/>
        <v>1170</v>
      </c>
      <c r="R2065" s="2" t="s">
        <v>28</v>
      </c>
      <c r="S2065" s="24">
        <f t="shared" si="164"/>
        <v>0.05</v>
      </c>
    </row>
    <row r="2066" spans="1:19" x14ac:dyDescent="0.25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>VLOOKUP(F2066,'Customer Info'!$A:$B,2,0)</f>
        <v>Daniel</v>
      </c>
      <c r="H2066" s="6" t="str">
        <f>VLOOKUP(F2066,'Customer Info'!$A$1:$C$501,3,0)</f>
        <v>Raglin</v>
      </c>
      <c r="I2066" s="6" t="str">
        <f>VLOOKUP(F2066,Customer,5,0)</f>
        <v>Gold Coast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508</v>
      </c>
      <c r="O2066" s="2">
        <v>30</v>
      </c>
      <c r="P2066" s="8">
        <f t="shared" si="162"/>
        <v>538</v>
      </c>
      <c r="Q2066" s="8">
        <f t="shared" si="163"/>
        <v>44</v>
      </c>
      <c r="R2066" s="2" t="s">
        <v>28</v>
      </c>
      <c r="S2066" s="24">
        <f t="shared" si="164"/>
        <v>0.02</v>
      </c>
    </row>
    <row r="2067" spans="1:19" x14ac:dyDescent="0.25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>VLOOKUP(F2067,'Customer Info'!$A:$B,2,0)</f>
        <v>Lindsay</v>
      </c>
      <c r="H2067" s="6" t="str">
        <f>VLOOKUP(F2067,'Customer Info'!$A$1:$C$501,3,0)</f>
        <v>Shagiari</v>
      </c>
      <c r="I2067" s="6" t="str">
        <f>VLOOKUP(F2067,Customer,5,0)</f>
        <v>Canberra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13024</v>
      </c>
      <c r="O2067" s="2">
        <v>61</v>
      </c>
      <c r="P2067" s="8">
        <f t="shared" si="162"/>
        <v>13085</v>
      </c>
      <c r="Q2067" s="8">
        <f t="shared" si="163"/>
        <v>1188</v>
      </c>
      <c r="R2067" s="2" t="s">
        <v>28</v>
      </c>
      <c r="S2067" s="24">
        <f t="shared" si="164"/>
        <v>0.05</v>
      </c>
    </row>
    <row r="2068" spans="1:19" x14ac:dyDescent="0.25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>VLOOKUP(F2068,'Customer Info'!$A:$B,2,0)</f>
        <v>Corinna</v>
      </c>
      <c r="H2068" s="6" t="str">
        <f>VLOOKUP(F2068,'Customer Info'!$A$1:$C$501,3,0)</f>
        <v>Mitchell</v>
      </c>
      <c r="I2068" s="6" t="str">
        <f>VLOOKUP(F2068,Customer,5,0)</f>
        <v>Augsburg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7932</v>
      </c>
      <c r="O2068" s="2">
        <v>95</v>
      </c>
      <c r="P2068" s="8">
        <f t="shared" si="162"/>
        <v>8027</v>
      </c>
      <c r="Q2068" s="8">
        <f t="shared" si="163"/>
        <v>657</v>
      </c>
      <c r="R2068" s="2" t="s">
        <v>28</v>
      </c>
      <c r="S2068" s="24">
        <f t="shared" si="164"/>
        <v>0.05</v>
      </c>
    </row>
    <row r="2069" spans="1:19" x14ac:dyDescent="0.25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>VLOOKUP(F2069,'Customer Info'!$A:$B,2,0)</f>
        <v>Brian</v>
      </c>
      <c r="H2069" s="6" t="str">
        <f>VLOOKUP(F2069,'Customer Info'!$A$1:$C$501,3,0)</f>
        <v>Stugart</v>
      </c>
      <c r="I2069" s="6" t="str">
        <f>VLOOKUP(F2069,Customer,5,0)</f>
        <v>Jakarta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576</v>
      </c>
      <c r="O2069" s="2">
        <v>30</v>
      </c>
      <c r="P2069" s="8">
        <f t="shared" si="162"/>
        <v>606</v>
      </c>
      <c r="Q2069" s="8">
        <f t="shared" si="163"/>
        <v>44</v>
      </c>
      <c r="R2069" s="2" t="s">
        <v>50</v>
      </c>
      <c r="S2069" s="24">
        <f t="shared" si="164"/>
        <v>0.02</v>
      </c>
    </row>
    <row r="2070" spans="1:19" x14ac:dyDescent="0.25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>VLOOKUP(F2070,'Customer Info'!$A:$B,2,0)</f>
        <v>Heather</v>
      </c>
      <c r="H2070" s="6" t="str">
        <f>VLOOKUP(F2070,'Customer Info'!$A$1:$C$501,3,0)</f>
        <v>Kirkland</v>
      </c>
      <c r="I2070" s="6" t="str">
        <f>VLOOKUP(F2070,Customer,5,0)</f>
        <v>Townsville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2372</v>
      </c>
      <c r="O2070" s="2">
        <v>100</v>
      </c>
      <c r="P2070" s="8">
        <f t="shared" si="162"/>
        <v>2472</v>
      </c>
      <c r="Q2070" s="8">
        <f t="shared" si="163"/>
        <v>90</v>
      </c>
      <c r="R2070" s="2" t="s">
        <v>28</v>
      </c>
      <c r="S2070" s="24">
        <f t="shared" si="164"/>
        <v>0.02</v>
      </c>
    </row>
    <row r="2071" spans="1:19" x14ac:dyDescent="0.25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>VLOOKUP(F2071,'Customer Info'!$A:$B,2,0)</f>
        <v>Rob</v>
      </c>
      <c r="H2071" s="6" t="str">
        <f>VLOOKUP(F2071,'Customer Info'!$A$1:$C$501,3,0)</f>
        <v>Haberlin</v>
      </c>
      <c r="I2071" s="6" t="str">
        <f>VLOOKUP(F2071,Customer,5,0)</f>
        <v>Harbin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29889</v>
      </c>
      <c r="O2071" s="2">
        <v>59</v>
      </c>
      <c r="P2071" s="8">
        <f t="shared" si="162"/>
        <v>29948</v>
      </c>
      <c r="Q2071" s="8">
        <f t="shared" si="163"/>
        <v>2988</v>
      </c>
      <c r="R2071" s="2" t="s">
        <v>28</v>
      </c>
      <c r="S2071" s="24">
        <f t="shared" si="164"/>
        <v>7.0000000000000007E-2</v>
      </c>
    </row>
    <row r="2072" spans="1:19" x14ac:dyDescent="0.25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>VLOOKUP(F2072,'Customer Info'!$A:$B,2,0)</f>
        <v>Dianna</v>
      </c>
      <c r="H2072" s="6" t="str">
        <f>VLOOKUP(F2072,'Customer Info'!$A$1:$C$501,3,0)</f>
        <v>Vittorini</v>
      </c>
      <c r="I2072" s="6" t="str">
        <f>VLOOKUP(F2072,Customer,5,0)</f>
        <v>Gold Coast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8869</v>
      </c>
      <c r="O2072" s="2">
        <v>33</v>
      </c>
      <c r="P2072" s="8">
        <f t="shared" si="162"/>
        <v>8902</v>
      </c>
      <c r="Q2072" s="8">
        <f t="shared" si="163"/>
        <v>963</v>
      </c>
      <c r="R2072" s="2" t="s">
        <v>50</v>
      </c>
      <c r="S2072" s="24">
        <f t="shared" si="164"/>
        <v>0.05</v>
      </c>
    </row>
    <row r="2073" spans="1:19" x14ac:dyDescent="0.25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>VLOOKUP(F2073,'Customer Info'!$A:$B,2,0)</f>
        <v>Hunter</v>
      </c>
      <c r="H2073" s="6" t="str">
        <f>VLOOKUP(F2073,'Customer Info'!$A$1:$C$501,3,0)</f>
        <v>Glantz</v>
      </c>
      <c r="I2073" s="6" t="str">
        <f>VLOOKUP(F2073,Customer,5,0)</f>
        <v>Panihati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24136</v>
      </c>
      <c r="O2073" s="2">
        <v>90</v>
      </c>
      <c r="P2073" s="8">
        <f t="shared" si="162"/>
        <v>24226</v>
      </c>
      <c r="Q2073" s="8">
        <f t="shared" si="163"/>
        <v>1536</v>
      </c>
      <c r="R2073" s="2" t="s">
        <v>28</v>
      </c>
      <c r="S2073" s="24">
        <f t="shared" si="164"/>
        <v>0.05</v>
      </c>
    </row>
    <row r="2074" spans="1:19" x14ac:dyDescent="0.25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>VLOOKUP(F2074,'Customer Info'!$A:$B,2,0)</f>
        <v>Irene</v>
      </c>
      <c r="H2074" s="6" t="str">
        <f>VLOOKUP(F2074,'Customer Info'!$A$1:$C$501,3,0)</f>
        <v>Maddox</v>
      </c>
      <c r="I2074" s="6" t="str">
        <f>VLOOKUP(F2074,Customer,5,0)</f>
        <v>Bhavnagar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5151</v>
      </c>
      <c r="O2074" s="2">
        <v>24</v>
      </c>
      <c r="P2074" s="8">
        <f t="shared" si="162"/>
        <v>5175</v>
      </c>
      <c r="Q2074" s="8">
        <f t="shared" si="163"/>
        <v>195</v>
      </c>
      <c r="R2074" s="2" t="s">
        <v>28</v>
      </c>
      <c r="S2074" s="24">
        <f t="shared" si="164"/>
        <v>0.05</v>
      </c>
    </row>
    <row r="2075" spans="1:19" x14ac:dyDescent="0.25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>VLOOKUP(F2075,'Customer Info'!$A:$B,2,0)</f>
        <v>Denise</v>
      </c>
      <c r="H2075" s="6" t="str">
        <f>VLOOKUP(F2075,'Customer Info'!$A$1:$C$501,3,0)</f>
        <v>Leinenbach</v>
      </c>
      <c r="I2075" s="6" t="str">
        <f>VLOOKUP(F2075,Customer,5,0)</f>
        <v>Bhiwandi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1728</v>
      </c>
      <c r="O2075" s="2">
        <v>34</v>
      </c>
      <c r="P2075" s="8">
        <f t="shared" si="162"/>
        <v>1762</v>
      </c>
      <c r="Q2075" s="8">
        <f t="shared" si="163"/>
        <v>144</v>
      </c>
      <c r="R2075" s="2" t="s">
        <v>56</v>
      </c>
      <c r="S2075" s="24">
        <f t="shared" si="164"/>
        <v>0.02</v>
      </c>
    </row>
    <row r="2076" spans="1:19" x14ac:dyDescent="0.25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>VLOOKUP(F2076,'Customer Info'!$A:$B,2,0)</f>
        <v>Ivan</v>
      </c>
      <c r="H2076" s="6" t="str">
        <f>VLOOKUP(F2076,'Customer Info'!$A$1:$C$501,3,0)</f>
        <v>Gibson</v>
      </c>
      <c r="I2076" s="6" t="str">
        <f>VLOOKUP(F2076,Customer,5,0)</f>
        <v>Shanghai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520</v>
      </c>
      <c r="O2076" s="2">
        <v>30</v>
      </c>
      <c r="P2076" s="8">
        <f t="shared" si="162"/>
        <v>550</v>
      </c>
      <c r="Q2076" s="8">
        <f t="shared" si="163"/>
        <v>32</v>
      </c>
      <c r="R2076" s="2" t="s">
        <v>26</v>
      </c>
      <c r="S2076" s="24">
        <f t="shared" si="164"/>
        <v>0.02</v>
      </c>
    </row>
    <row r="2077" spans="1:19" x14ac:dyDescent="0.25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>VLOOKUP(F2077,'Customer Info'!$A:$B,2,0)</f>
        <v>Aaron</v>
      </c>
      <c r="H2077" s="6" t="str">
        <f>VLOOKUP(F2077,'Customer Info'!$A$1:$C$501,3,0)</f>
        <v>Hawkins</v>
      </c>
      <c r="I2077" s="6" t="str">
        <f>VLOOKUP(F2077,Customer,5,0)</f>
        <v>Minden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3066</v>
      </c>
      <c r="O2077" s="2">
        <v>89</v>
      </c>
      <c r="P2077" s="8">
        <f t="shared" si="162"/>
        <v>3155</v>
      </c>
      <c r="Q2077" s="8">
        <f t="shared" si="163"/>
        <v>254</v>
      </c>
      <c r="R2077" s="2" t="s">
        <v>28</v>
      </c>
      <c r="S2077" s="24">
        <f t="shared" si="164"/>
        <v>0.02</v>
      </c>
    </row>
    <row r="2078" spans="1:19" x14ac:dyDescent="0.25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>VLOOKUP(F2078,'Customer Info'!$A:$B,2,0)</f>
        <v>Darren</v>
      </c>
      <c r="H2078" s="6" t="str">
        <f>VLOOKUP(F2078,'Customer Info'!$A$1:$C$501,3,0)</f>
        <v>Budd</v>
      </c>
      <c r="I2078" s="6" t="str">
        <f>VLOOKUP(F2078,Customer,5,0)</f>
        <v>Jakarta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671</v>
      </c>
      <c r="O2078" s="2">
        <v>31</v>
      </c>
      <c r="P2078" s="8">
        <f t="shared" si="162"/>
        <v>702</v>
      </c>
      <c r="Q2078" s="8">
        <f t="shared" si="163"/>
        <v>44</v>
      </c>
      <c r="R2078" s="2" t="s">
        <v>26</v>
      </c>
      <c r="S2078" s="24">
        <f t="shared" si="164"/>
        <v>0.02</v>
      </c>
    </row>
    <row r="2079" spans="1:19" x14ac:dyDescent="0.25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>VLOOKUP(F2079,'Customer Info'!$A:$B,2,0)</f>
        <v>Trudy</v>
      </c>
      <c r="H2079" s="6" t="str">
        <f>VLOOKUP(F2079,'Customer Info'!$A$1:$C$501,3,0)</f>
        <v>Glocke</v>
      </c>
      <c r="I2079" s="6" t="str">
        <f>VLOOKUP(F2079,Customer,5,0)</f>
        <v>Huaiyin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338</v>
      </c>
      <c r="O2079" s="2">
        <v>30</v>
      </c>
      <c r="P2079" s="8">
        <f t="shared" si="162"/>
        <v>368</v>
      </c>
      <c r="Q2079" s="8">
        <f t="shared" si="163"/>
        <v>18</v>
      </c>
      <c r="R2079" s="2" t="s">
        <v>56</v>
      </c>
      <c r="S2079" s="24">
        <f t="shared" si="164"/>
        <v>0.02</v>
      </c>
    </row>
    <row r="2080" spans="1:19" x14ac:dyDescent="0.25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>VLOOKUP(F2080,'Customer Info'!$A:$B,2,0)</f>
        <v>Vivek</v>
      </c>
      <c r="H2080" s="6" t="str">
        <f>VLOOKUP(F2080,'Customer Info'!$A$1:$C$501,3,0)</f>
        <v>Gonzalez</v>
      </c>
      <c r="I2080" s="6" t="str">
        <f>VLOOKUP(F2080,Customer,5,0)</f>
        <v>Nanyang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2951</v>
      </c>
      <c r="O2080" s="2">
        <v>90</v>
      </c>
      <c r="P2080" s="8">
        <f t="shared" si="162"/>
        <v>3041</v>
      </c>
      <c r="Q2080" s="8">
        <f t="shared" si="163"/>
        <v>165</v>
      </c>
      <c r="R2080" s="2" t="s">
        <v>56</v>
      </c>
      <c r="S2080" s="24">
        <f t="shared" si="164"/>
        <v>0.02</v>
      </c>
    </row>
    <row r="2081" spans="1:19" x14ac:dyDescent="0.25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>VLOOKUP(F2081,'Customer Info'!$A:$B,2,0)</f>
        <v>Philisse</v>
      </c>
      <c r="H2081" s="6" t="str">
        <f>VLOOKUP(F2081,'Customer Info'!$A$1:$C$501,3,0)</f>
        <v>Overcash</v>
      </c>
      <c r="I2081" s="6" t="str">
        <f>VLOOKUP(F2081,Customer,5,0)</f>
        <v>Potsdam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366</v>
      </c>
      <c r="O2081" s="2">
        <v>30</v>
      </c>
      <c r="P2081" s="8">
        <f t="shared" si="162"/>
        <v>396</v>
      </c>
      <c r="Q2081" s="8">
        <f t="shared" si="163"/>
        <v>30</v>
      </c>
      <c r="R2081" s="2" t="s">
        <v>28</v>
      </c>
      <c r="S2081" s="24">
        <f t="shared" si="164"/>
        <v>0.02</v>
      </c>
    </row>
    <row r="2082" spans="1:19" x14ac:dyDescent="0.25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>VLOOKUP(F2082,'Customer Info'!$A:$B,2,0)</f>
        <v>Meg</v>
      </c>
      <c r="H2082" s="6" t="str">
        <f>VLOOKUP(F2082,'Customer Info'!$A$1:$C$501,3,0)</f>
        <v>Tillman</v>
      </c>
      <c r="I2082" s="6" t="str">
        <f>VLOOKUP(F2082,Customer,5,0)</f>
        <v>Bangalore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11882</v>
      </c>
      <c r="O2082" s="2">
        <v>88</v>
      </c>
      <c r="P2082" s="8">
        <f t="shared" si="162"/>
        <v>11970</v>
      </c>
      <c r="Q2082" s="8">
        <f t="shared" si="163"/>
        <v>228</v>
      </c>
      <c r="R2082" s="2" t="s">
        <v>28</v>
      </c>
      <c r="S2082" s="24">
        <f t="shared" si="164"/>
        <v>0.05</v>
      </c>
    </row>
    <row r="2083" spans="1:19" x14ac:dyDescent="0.25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>VLOOKUP(F2083,'Customer Info'!$A:$B,2,0)</f>
        <v>Harry</v>
      </c>
      <c r="H2083" s="6" t="str">
        <f>VLOOKUP(F2083,'Customer Info'!$A$1:$C$501,3,0)</f>
        <v>Marie</v>
      </c>
      <c r="I2083" s="6" t="str">
        <f>VLOOKUP(F2083,Customer,5,0)</f>
        <v>Dortmund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4770</v>
      </c>
      <c r="O2083" s="2">
        <v>43</v>
      </c>
      <c r="P2083" s="8">
        <f t="shared" si="162"/>
        <v>4813</v>
      </c>
      <c r="Q2083" s="8">
        <f t="shared" si="163"/>
        <v>265</v>
      </c>
      <c r="R2083" s="2" t="s">
        <v>50</v>
      </c>
      <c r="S2083" s="24">
        <f t="shared" si="164"/>
        <v>0.02</v>
      </c>
    </row>
    <row r="2084" spans="1:19" x14ac:dyDescent="0.25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>VLOOKUP(F2084,'Customer Info'!$A:$B,2,0)</f>
        <v>Debra</v>
      </c>
      <c r="H2084" s="6" t="str">
        <f>VLOOKUP(F2084,'Customer Info'!$A$1:$C$501,3,0)</f>
        <v>Catini</v>
      </c>
      <c r="I2084" s="6" t="str">
        <f>VLOOKUP(F2084,Customer,5,0)</f>
        <v>Zhengzhou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2934</v>
      </c>
      <c r="O2084" s="2">
        <v>45</v>
      </c>
      <c r="P2084" s="8">
        <f t="shared" si="162"/>
        <v>2979</v>
      </c>
      <c r="Q2084" s="8">
        <f t="shared" si="163"/>
        <v>168</v>
      </c>
      <c r="R2084" s="2" t="s">
        <v>28</v>
      </c>
      <c r="S2084" s="24">
        <f t="shared" si="164"/>
        <v>0.02</v>
      </c>
    </row>
    <row r="2085" spans="1:19" x14ac:dyDescent="0.25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>VLOOKUP(F2085,'Customer Info'!$A:$B,2,0)</f>
        <v>Greg</v>
      </c>
      <c r="H2085" s="6" t="str">
        <f>VLOOKUP(F2085,'Customer Info'!$A$1:$C$501,3,0)</f>
        <v>Hansen</v>
      </c>
      <c r="I2085" s="6" t="str">
        <f>VLOOKUP(F2085,Customer,5,0)</f>
        <v>Canberra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2250</v>
      </c>
      <c r="O2085" s="2">
        <v>40</v>
      </c>
      <c r="P2085" s="8">
        <f t="shared" si="162"/>
        <v>2290</v>
      </c>
      <c r="Q2085" s="8">
        <f t="shared" si="163"/>
        <v>170</v>
      </c>
      <c r="R2085" s="2" t="s">
        <v>28</v>
      </c>
      <c r="S2085" s="24">
        <f t="shared" si="164"/>
        <v>0.02</v>
      </c>
    </row>
    <row r="2086" spans="1:19" x14ac:dyDescent="0.25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>VLOOKUP(F2086,'Customer Info'!$A:$B,2,0)</f>
        <v>Yana</v>
      </c>
      <c r="H2086" s="6" t="str">
        <f>VLOOKUP(F2086,'Customer Info'!$A$1:$C$501,3,0)</f>
        <v>Sorensen</v>
      </c>
      <c r="I2086" s="6" t="str">
        <f>VLOOKUP(F2086,Customer,5,0)</f>
        <v>Hangzhou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2187</v>
      </c>
      <c r="O2086" s="2">
        <v>71</v>
      </c>
      <c r="P2086" s="8">
        <f t="shared" si="162"/>
        <v>2258</v>
      </c>
      <c r="Q2086" s="8">
        <f t="shared" si="163"/>
        <v>120</v>
      </c>
      <c r="R2086" s="2" t="s">
        <v>28</v>
      </c>
      <c r="S2086" s="24">
        <f t="shared" si="164"/>
        <v>0.02</v>
      </c>
    </row>
    <row r="2087" spans="1:19" x14ac:dyDescent="0.25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>VLOOKUP(F2087,'Customer Info'!$A:$B,2,0)</f>
        <v>Nancy</v>
      </c>
      <c r="H2087" s="6" t="str">
        <f>VLOOKUP(F2087,'Customer Info'!$A$1:$C$501,3,0)</f>
        <v>Lomonaco</v>
      </c>
      <c r="I2087" s="6" t="str">
        <f>VLOOKUP(F2087,Customer,5,0)</f>
        <v>Tengzhou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19136</v>
      </c>
      <c r="O2087" s="2">
        <v>63</v>
      </c>
      <c r="P2087" s="8">
        <f t="shared" si="162"/>
        <v>19199</v>
      </c>
      <c r="Q2087" s="8">
        <f t="shared" si="163"/>
        <v>1064</v>
      </c>
      <c r="R2087" s="2" t="s">
        <v>28</v>
      </c>
      <c r="S2087" s="24">
        <f t="shared" si="164"/>
        <v>0.05</v>
      </c>
    </row>
    <row r="2088" spans="1:19" x14ac:dyDescent="0.25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>VLOOKUP(F2088,'Customer Info'!$A:$B,2,0)</f>
        <v>Rob</v>
      </c>
      <c r="H2088" s="6" t="str">
        <f>VLOOKUP(F2088,'Customer Info'!$A$1:$C$501,3,0)</f>
        <v>Williams</v>
      </c>
      <c r="I2088" s="6" t="str">
        <f>VLOOKUP(F2088,Customer,5,0)</f>
        <v>Wodonga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10988</v>
      </c>
      <c r="O2088" s="2">
        <v>42</v>
      </c>
      <c r="P2088" s="8">
        <f t="shared" si="162"/>
        <v>11030</v>
      </c>
      <c r="Q2088" s="8">
        <f t="shared" si="163"/>
        <v>808</v>
      </c>
      <c r="R2088" s="2" t="s">
        <v>50</v>
      </c>
      <c r="S2088" s="24">
        <f t="shared" si="164"/>
        <v>0.05</v>
      </c>
    </row>
    <row r="2089" spans="1:19" x14ac:dyDescent="0.25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>VLOOKUP(F2089,'Customer Info'!$A:$B,2,0)</f>
        <v>Nancy</v>
      </c>
      <c r="H2089" s="6" t="str">
        <f>VLOOKUP(F2089,'Customer Info'!$A$1:$C$501,3,0)</f>
        <v>Lomonaco</v>
      </c>
      <c r="I2089" s="6" t="str">
        <f>VLOOKUP(F2089,Customer,5,0)</f>
        <v>Tengzhou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3632</v>
      </c>
      <c r="O2089" s="2">
        <v>67</v>
      </c>
      <c r="P2089" s="8">
        <f t="shared" si="162"/>
        <v>3699</v>
      </c>
      <c r="Q2089" s="8">
        <f t="shared" si="163"/>
        <v>232</v>
      </c>
      <c r="R2089" s="2" t="s">
        <v>50</v>
      </c>
      <c r="S2089" s="24">
        <f t="shared" si="164"/>
        <v>0.02</v>
      </c>
    </row>
    <row r="2090" spans="1:19" x14ac:dyDescent="0.25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>VLOOKUP(F2090,'Customer Info'!$A:$B,2,0)</f>
        <v>Steve</v>
      </c>
      <c r="H2090" s="6" t="str">
        <f>VLOOKUP(F2090,'Customer Info'!$A$1:$C$501,3,0)</f>
        <v>Carroll</v>
      </c>
      <c r="I2090" s="6" t="str">
        <f>VLOOKUP(F2090,Customer,5,0)</f>
        <v>Qingdao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5109</v>
      </c>
      <c r="O2090" s="2">
        <v>23</v>
      </c>
      <c r="P2090" s="8">
        <f t="shared" si="162"/>
        <v>5132</v>
      </c>
      <c r="Q2090" s="8">
        <f t="shared" si="163"/>
        <v>192</v>
      </c>
      <c r="R2090" s="2" t="s">
        <v>28</v>
      </c>
      <c r="S2090" s="24">
        <f t="shared" si="164"/>
        <v>0.05</v>
      </c>
    </row>
    <row r="2091" spans="1:19" x14ac:dyDescent="0.25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>VLOOKUP(F2091,'Customer Info'!$A:$B,2,0)</f>
        <v>Roy</v>
      </c>
      <c r="H2091" s="6" t="str">
        <f>VLOOKUP(F2091,'Customer Info'!$A$1:$C$501,3,0)</f>
        <v>Skaria</v>
      </c>
      <c r="I2091" s="6" t="str">
        <f>VLOOKUP(F2091,Customer,5,0)</f>
        <v>Bogor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24354</v>
      </c>
      <c r="O2091" s="2">
        <v>77</v>
      </c>
      <c r="P2091" s="8">
        <f t="shared" si="162"/>
        <v>24431</v>
      </c>
      <c r="Q2091" s="8">
        <f t="shared" si="163"/>
        <v>1377</v>
      </c>
      <c r="R2091" s="2" t="s">
        <v>50</v>
      </c>
      <c r="S2091" s="24">
        <f t="shared" si="164"/>
        <v>0.05</v>
      </c>
    </row>
    <row r="2092" spans="1:19" x14ac:dyDescent="0.25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>VLOOKUP(F2092,'Customer Info'!$A:$B,2,0)</f>
        <v>Benjamin</v>
      </c>
      <c r="H2092" s="6" t="str">
        <f>VLOOKUP(F2092,'Customer Info'!$A$1:$C$501,3,0)</f>
        <v>Patterson</v>
      </c>
      <c r="I2092" s="6" t="str">
        <f>VLOOKUP(F2092,Customer,5,0)</f>
        <v>Wollongong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16664</v>
      </c>
      <c r="O2092" s="2">
        <v>49</v>
      </c>
      <c r="P2092" s="8">
        <f t="shared" si="162"/>
        <v>16713</v>
      </c>
      <c r="Q2092" s="8">
        <f t="shared" si="163"/>
        <v>632</v>
      </c>
      <c r="R2092" s="2" t="s">
        <v>50</v>
      </c>
      <c r="S2092" s="24">
        <f t="shared" si="164"/>
        <v>0.05</v>
      </c>
    </row>
    <row r="2093" spans="1:19" x14ac:dyDescent="0.25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>VLOOKUP(F2093,'Customer Info'!$A:$B,2,0)</f>
        <v>Art</v>
      </c>
      <c r="H2093" s="6" t="str">
        <f>VLOOKUP(F2093,'Customer Info'!$A$1:$C$501,3,0)</f>
        <v>Foster</v>
      </c>
      <c r="I2093" s="6" t="str">
        <f>VLOOKUP(F2093,Customer,5,0)</f>
        <v>Devonport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561</v>
      </c>
      <c r="O2093" s="2">
        <v>30</v>
      </c>
      <c r="P2093" s="8">
        <f t="shared" si="162"/>
        <v>591</v>
      </c>
      <c r="Q2093" s="8">
        <f t="shared" si="163"/>
        <v>33</v>
      </c>
      <c r="R2093" s="2" t="s">
        <v>28</v>
      </c>
      <c r="S2093" s="24">
        <f t="shared" si="164"/>
        <v>0.02</v>
      </c>
    </row>
    <row r="2094" spans="1:19" x14ac:dyDescent="0.25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>VLOOKUP(F2094,'Customer Info'!$A:$B,2,0)</f>
        <v>Alex</v>
      </c>
      <c r="H2094" s="6" t="str">
        <f>VLOOKUP(F2094,'Customer Info'!$A$1:$C$501,3,0)</f>
        <v>Grayson</v>
      </c>
      <c r="I2094" s="6" t="str">
        <f>VLOOKUP(F2094,Customer,5,0)</f>
        <v>Anyang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9768</v>
      </c>
      <c r="O2094" s="2">
        <v>65</v>
      </c>
      <c r="P2094" s="8">
        <f t="shared" si="162"/>
        <v>9833</v>
      </c>
      <c r="Q2094" s="8">
        <f t="shared" si="163"/>
        <v>636</v>
      </c>
      <c r="R2094" s="2" t="s">
        <v>50</v>
      </c>
      <c r="S2094" s="24">
        <f t="shared" si="164"/>
        <v>0.05</v>
      </c>
    </row>
    <row r="2095" spans="1:19" x14ac:dyDescent="0.25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>VLOOKUP(F2095,'Customer Info'!$A:$B,2,0)</f>
        <v>Elpida</v>
      </c>
      <c r="H2095" s="6" t="str">
        <f>VLOOKUP(F2095,'Customer Info'!$A$1:$C$501,3,0)</f>
        <v>Rittenbach</v>
      </c>
      <c r="I2095" s="6" t="str">
        <f>VLOOKUP(F2095,Customer,5,0)</f>
        <v>Melbourne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3256</v>
      </c>
      <c r="O2095" s="2">
        <v>90</v>
      </c>
      <c r="P2095" s="8">
        <f t="shared" si="162"/>
        <v>3346</v>
      </c>
      <c r="Q2095" s="8">
        <f t="shared" si="163"/>
        <v>297</v>
      </c>
      <c r="R2095" s="2" t="s">
        <v>26</v>
      </c>
      <c r="S2095" s="24">
        <f t="shared" si="164"/>
        <v>0.02</v>
      </c>
    </row>
    <row r="2096" spans="1:19" x14ac:dyDescent="0.25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>VLOOKUP(F2096,'Customer Info'!$A:$B,2,0)</f>
        <v>Eugene</v>
      </c>
      <c r="H2096" s="6" t="str">
        <f>VLOOKUP(F2096,'Customer Info'!$A$1:$C$501,3,0)</f>
        <v>Moren</v>
      </c>
      <c r="I2096" s="6" t="str">
        <f>VLOOKUP(F2096,Customer,5,0)</f>
        <v>Patiala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458</v>
      </c>
      <c r="O2096" s="2">
        <v>58</v>
      </c>
      <c r="P2096" s="8">
        <f t="shared" si="162"/>
        <v>516</v>
      </c>
      <c r="Q2096" s="8">
        <f t="shared" si="163"/>
        <v>39</v>
      </c>
      <c r="R2096" s="2" t="s">
        <v>50</v>
      </c>
      <c r="S2096" s="24">
        <f t="shared" si="164"/>
        <v>0.02</v>
      </c>
    </row>
    <row r="2097" spans="1:19" x14ac:dyDescent="0.25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>VLOOKUP(F2097,'Customer Info'!$A:$B,2,0)</f>
        <v>Anthony</v>
      </c>
      <c r="H2097" s="6" t="str">
        <f>VLOOKUP(F2097,'Customer Info'!$A$1:$C$501,3,0)</f>
        <v>O'Donnell</v>
      </c>
      <c r="I2097" s="6" t="str">
        <f>VLOOKUP(F2097,Customer,5,0)</f>
        <v>Perth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9808</v>
      </c>
      <c r="O2097" s="2">
        <v>55</v>
      </c>
      <c r="P2097" s="8">
        <f t="shared" si="162"/>
        <v>9863</v>
      </c>
      <c r="Q2097" s="8">
        <f t="shared" si="163"/>
        <v>810</v>
      </c>
      <c r="R2097" s="2" t="s">
        <v>50</v>
      </c>
      <c r="S2097" s="24">
        <f t="shared" si="164"/>
        <v>0.05</v>
      </c>
    </row>
    <row r="2098" spans="1:19" x14ac:dyDescent="0.25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>VLOOKUP(F2098,'Customer Info'!$A:$B,2,0)</f>
        <v>Laurel</v>
      </c>
      <c r="H2098" s="6" t="str">
        <f>VLOOKUP(F2098,'Customer Info'!$A$1:$C$501,3,0)</f>
        <v>Beltran</v>
      </c>
      <c r="I2098" s="6" t="str">
        <f>VLOOKUP(F2098,Customer,5,0)</f>
        <v>Wuppertal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354</v>
      </c>
      <c r="O2098" s="2">
        <v>30</v>
      </c>
      <c r="P2098" s="8">
        <f t="shared" si="162"/>
        <v>384</v>
      </c>
      <c r="Q2098" s="8">
        <f t="shared" si="163"/>
        <v>16</v>
      </c>
      <c r="R2098" s="2" t="s">
        <v>28</v>
      </c>
      <c r="S2098" s="24">
        <f t="shared" si="164"/>
        <v>0.02</v>
      </c>
    </row>
    <row r="2099" spans="1:19" x14ac:dyDescent="0.25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>VLOOKUP(F2099,'Customer Info'!$A:$B,2,0)</f>
        <v>Georgia</v>
      </c>
      <c r="H2099" s="6" t="str">
        <f>VLOOKUP(F2099,'Customer Info'!$A$1:$C$501,3,0)</f>
        <v>Rosenberg</v>
      </c>
      <c r="I2099" s="6" t="str">
        <f>VLOOKUP(F2099,Customer,5,0)</f>
        <v>Srinagar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15920</v>
      </c>
      <c r="O2099" s="2">
        <v>69</v>
      </c>
      <c r="P2099" s="8">
        <f t="shared" si="162"/>
        <v>15989</v>
      </c>
      <c r="Q2099" s="8">
        <f t="shared" si="163"/>
        <v>1170</v>
      </c>
      <c r="R2099" s="2" t="s">
        <v>28</v>
      </c>
      <c r="S2099" s="24">
        <f t="shared" si="164"/>
        <v>0.05</v>
      </c>
    </row>
    <row r="2100" spans="1:19" x14ac:dyDescent="0.25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>VLOOKUP(F2100,'Customer Info'!$A:$B,2,0)</f>
        <v>Ritsa</v>
      </c>
      <c r="H2100" s="6" t="str">
        <f>VLOOKUP(F2100,'Customer Info'!$A$1:$C$501,3,0)</f>
        <v>Hightower</v>
      </c>
      <c r="I2100" s="6" t="str">
        <f>VLOOKUP(F2100,Customer,5,0)</f>
        <v>Hamburg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7725</v>
      </c>
      <c r="O2100" s="2">
        <v>92</v>
      </c>
      <c r="P2100" s="8">
        <f t="shared" si="162"/>
        <v>7817</v>
      </c>
      <c r="Q2100" s="8">
        <f t="shared" si="163"/>
        <v>295</v>
      </c>
      <c r="R2100" s="2" t="s">
        <v>50</v>
      </c>
      <c r="S2100" s="24">
        <f t="shared" si="164"/>
        <v>0.05</v>
      </c>
    </row>
    <row r="2101" spans="1:19" x14ac:dyDescent="0.25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>VLOOKUP(F2101,'Customer Info'!$A:$B,2,0)</f>
        <v>Jessica</v>
      </c>
      <c r="H2101" s="6" t="str">
        <f>VLOOKUP(F2101,'Customer Info'!$A$1:$C$501,3,0)</f>
        <v>Myrick</v>
      </c>
      <c r="I2101" s="6" t="str">
        <f>VLOOKUP(F2101,Customer,5,0)</f>
        <v>Krefeld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7515</v>
      </c>
      <c r="O2101" s="2">
        <v>26</v>
      </c>
      <c r="P2101" s="8">
        <f t="shared" si="162"/>
        <v>7541</v>
      </c>
      <c r="Q2101" s="8">
        <f t="shared" si="163"/>
        <v>351</v>
      </c>
      <c r="R2101" s="2" t="s">
        <v>28</v>
      </c>
      <c r="S2101" s="24">
        <f t="shared" si="164"/>
        <v>0.05</v>
      </c>
    </row>
    <row r="2102" spans="1:19" x14ac:dyDescent="0.25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>VLOOKUP(F2102,'Customer Info'!$A:$B,2,0)</f>
        <v>Gary</v>
      </c>
      <c r="H2102" s="6" t="str">
        <f>VLOOKUP(F2102,'Customer Info'!$A$1:$C$501,3,0)</f>
        <v>Mitchum</v>
      </c>
      <c r="I2102" s="6" t="str">
        <f>VLOOKUP(F2102,Customer,5,0)</f>
        <v>Mildura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4074</v>
      </c>
      <c r="O2102" s="2">
        <v>58</v>
      </c>
      <c r="P2102" s="8">
        <f t="shared" si="162"/>
        <v>4132</v>
      </c>
      <c r="Q2102" s="8">
        <f t="shared" si="163"/>
        <v>264</v>
      </c>
      <c r="R2102" s="2" t="s">
        <v>50</v>
      </c>
      <c r="S2102" s="24">
        <f t="shared" si="164"/>
        <v>0.02</v>
      </c>
    </row>
    <row r="2103" spans="1:19" x14ac:dyDescent="0.25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>VLOOKUP(F2103,'Customer Info'!$A:$B,2,0)</f>
        <v>Cassandra</v>
      </c>
      <c r="H2103" s="6" t="str">
        <f>VLOOKUP(F2103,'Customer Info'!$A$1:$C$501,3,0)</f>
        <v>Brandow</v>
      </c>
      <c r="I2103" s="6" t="str">
        <f>VLOOKUP(F2103,Customer,5,0)</f>
        <v>Hamburg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43255</v>
      </c>
      <c r="O2103" s="2">
        <v>26</v>
      </c>
      <c r="P2103" s="8">
        <f t="shared" si="162"/>
        <v>43281</v>
      </c>
      <c r="Q2103" s="8">
        <f t="shared" si="163"/>
        <v>2850</v>
      </c>
      <c r="R2103" s="2" t="s">
        <v>50</v>
      </c>
      <c r="S2103" s="24">
        <f t="shared" si="164"/>
        <v>7.0000000000000007E-2</v>
      </c>
    </row>
    <row r="2104" spans="1:19" x14ac:dyDescent="0.25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>VLOOKUP(F2104,'Customer Info'!$A:$B,2,0)</f>
        <v>Roger</v>
      </c>
      <c r="H2104" s="6" t="str">
        <f>VLOOKUP(F2104,'Customer Info'!$A$1:$C$501,3,0)</f>
        <v>Demir</v>
      </c>
      <c r="I2104" s="6" t="str">
        <f>VLOOKUP(F2104,Customer,5,0)</f>
        <v>Wollongong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21863</v>
      </c>
      <c r="O2104" s="2">
        <v>55</v>
      </c>
      <c r="P2104" s="8">
        <f t="shared" si="162"/>
        <v>21918</v>
      </c>
      <c r="Q2104" s="8">
        <f t="shared" si="163"/>
        <v>1042</v>
      </c>
      <c r="R2104" s="2" t="s">
        <v>28</v>
      </c>
      <c r="S2104" s="24">
        <f t="shared" si="164"/>
        <v>0.05</v>
      </c>
    </row>
    <row r="2105" spans="1:19" x14ac:dyDescent="0.25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>VLOOKUP(F2105,'Customer Info'!$A:$B,2,0)</f>
        <v>Larry</v>
      </c>
      <c r="H2105" s="6" t="str">
        <f>VLOOKUP(F2105,'Customer Info'!$A$1:$C$501,3,0)</f>
        <v>Blacks</v>
      </c>
      <c r="I2105" s="6" t="str">
        <f>VLOOKUP(F2105,Customer,5,0)</f>
        <v>Shangyu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2370</v>
      </c>
      <c r="O2105" s="2">
        <v>79</v>
      </c>
      <c r="P2105" s="8">
        <f t="shared" si="162"/>
        <v>2449</v>
      </c>
      <c r="Q2105" s="8">
        <f t="shared" si="163"/>
        <v>155</v>
      </c>
      <c r="R2105" s="2" t="s">
        <v>50</v>
      </c>
      <c r="S2105" s="24">
        <f t="shared" si="164"/>
        <v>0.02</v>
      </c>
    </row>
    <row r="2106" spans="1:19" x14ac:dyDescent="0.25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>VLOOKUP(F2106,'Customer Info'!$A:$B,2,0)</f>
        <v>Jessica</v>
      </c>
      <c r="H2106" s="6" t="str">
        <f>VLOOKUP(F2106,'Customer Info'!$A$1:$C$501,3,0)</f>
        <v>Myrick</v>
      </c>
      <c r="I2106" s="6" t="str">
        <f>VLOOKUP(F2106,Customer,5,0)</f>
        <v>Jakarta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7014</v>
      </c>
      <c r="O2106" s="2">
        <v>87</v>
      </c>
      <c r="P2106" s="8">
        <f t="shared" si="162"/>
        <v>7101</v>
      </c>
      <c r="Q2106" s="8">
        <f t="shared" si="163"/>
        <v>396</v>
      </c>
      <c r="R2106" s="2" t="s">
        <v>28</v>
      </c>
      <c r="S2106" s="24">
        <f t="shared" si="164"/>
        <v>0.05</v>
      </c>
    </row>
    <row r="2107" spans="1:19" x14ac:dyDescent="0.25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>VLOOKUP(F2107,'Customer Info'!$A:$B,2,0)</f>
        <v>Caroline</v>
      </c>
      <c r="H2107" s="6" t="str">
        <f>VLOOKUP(F2107,'Customer Info'!$A$1:$C$501,3,0)</f>
        <v>Jumper</v>
      </c>
      <c r="I2107" s="6" t="str">
        <f>VLOOKUP(F2107,Customer,5,0)</f>
        <v>Xuzhou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8148</v>
      </c>
      <c r="O2107" s="2">
        <v>50</v>
      </c>
      <c r="P2107" s="8">
        <f t="shared" si="162"/>
        <v>8198</v>
      </c>
      <c r="Q2107" s="8">
        <f t="shared" si="163"/>
        <v>384</v>
      </c>
      <c r="R2107" s="2" t="s">
        <v>28</v>
      </c>
      <c r="S2107" s="24">
        <f t="shared" si="164"/>
        <v>0.05</v>
      </c>
    </row>
    <row r="2108" spans="1:19" x14ac:dyDescent="0.25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>VLOOKUP(F2108,'Customer Info'!$A:$B,2,0)</f>
        <v>Delfina</v>
      </c>
      <c r="H2108" s="6" t="str">
        <f>VLOOKUP(F2108,'Customer Info'!$A$1:$C$501,3,0)</f>
        <v>Latchford</v>
      </c>
      <c r="I2108" s="6" t="str">
        <f>VLOOKUP(F2108,Customer,5,0)</f>
        <v>Yogyakarta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1692</v>
      </c>
      <c r="O2108" s="2">
        <v>30</v>
      </c>
      <c r="P2108" s="8">
        <f t="shared" si="162"/>
        <v>1722</v>
      </c>
      <c r="Q2108" s="8">
        <f t="shared" si="163"/>
        <v>120</v>
      </c>
      <c r="R2108" s="2" t="s">
        <v>28</v>
      </c>
      <c r="S2108" s="24">
        <f t="shared" si="164"/>
        <v>0.02</v>
      </c>
    </row>
    <row r="2109" spans="1:19" x14ac:dyDescent="0.25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>VLOOKUP(F2109,'Customer Info'!$A:$B,2,0)</f>
        <v>Adrian</v>
      </c>
      <c r="H2109" s="6" t="str">
        <f>VLOOKUP(F2109,'Customer Info'!$A$1:$C$501,3,0)</f>
        <v>Barton</v>
      </c>
      <c r="I2109" s="6" t="str">
        <f>VLOOKUP(F2109,Customer,5,0)</f>
        <v>Wetzlar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183</v>
      </c>
      <c r="O2109" s="2">
        <v>10</v>
      </c>
      <c r="P2109" s="8">
        <f t="shared" si="162"/>
        <v>193</v>
      </c>
      <c r="Q2109" s="8">
        <f t="shared" si="163"/>
        <v>12</v>
      </c>
      <c r="R2109" s="2" t="s">
        <v>50</v>
      </c>
      <c r="S2109" s="24">
        <f t="shared" si="164"/>
        <v>0.02</v>
      </c>
    </row>
    <row r="2110" spans="1:19" x14ac:dyDescent="0.25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>VLOOKUP(F2110,'Customer Info'!$A:$B,2,0)</f>
        <v>Dana</v>
      </c>
      <c r="H2110" s="6" t="str">
        <f>VLOOKUP(F2110,'Customer Info'!$A$1:$C$501,3,0)</f>
        <v>Kaydos</v>
      </c>
      <c r="I2110" s="6" t="str">
        <f>VLOOKUP(F2110,Customer,5,0)</f>
        <v>Nagercoil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13731</v>
      </c>
      <c r="O2110" s="2">
        <v>85</v>
      </c>
      <c r="P2110" s="8">
        <f t="shared" si="162"/>
        <v>13816</v>
      </c>
      <c r="Q2110" s="8">
        <f t="shared" si="163"/>
        <v>876</v>
      </c>
      <c r="R2110" s="2" t="s">
        <v>50</v>
      </c>
      <c r="S2110" s="24">
        <f t="shared" si="164"/>
        <v>0.05</v>
      </c>
    </row>
    <row r="2111" spans="1:19" x14ac:dyDescent="0.25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>VLOOKUP(F2111,'Customer Info'!$A:$B,2,0)</f>
        <v>Dave</v>
      </c>
      <c r="H2111" s="6" t="str">
        <f>VLOOKUP(F2111,'Customer Info'!$A$1:$C$501,3,0)</f>
        <v>Poirier</v>
      </c>
      <c r="I2111" s="6" t="str">
        <f>VLOOKUP(F2111,Customer,5,0)</f>
        <v>Suizhou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987</v>
      </c>
      <c r="O2111" s="2">
        <v>30</v>
      </c>
      <c r="P2111" s="8">
        <f t="shared" si="162"/>
        <v>1017</v>
      </c>
      <c r="Q2111" s="8">
        <f t="shared" si="163"/>
        <v>70</v>
      </c>
      <c r="R2111" s="2" t="s">
        <v>50</v>
      </c>
      <c r="S2111" s="24">
        <f t="shared" si="164"/>
        <v>0.02</v>
      </c>
    </row>
    <row r="2112" spans="1:19" x14ac:dyDescent="0.25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>VLOOKUP(F2112,'Customer Info'!$A:$B,2,0)</f>
        <v>Pamela</v>
      </c>
      <c r="H2112" s="6" t="str">
        <f>VLOOKUP(F2112,'Customer Info'!$A$1:$C$501,3,0)</f>
        <v>Coakley</v>
      </c>
      <c r="I2112" s="6" t="str">
        <f>VLOOKUP(F2112,Customer,5,0)</f>
        <v>Jakarta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3558</v>
      </c>
      <c r="O2112" s="2">
        <v>88</v>
      </c>
      <c r="P2112" s="8">
        <f t="shared" si="162"/>
        <v>3646</v>
      </c>
      <c r="Q2112" s="8">
        <f t="shared" si="163"/>
        <v>135</v>
      </c>
      <c r="R2112" s="2" t="s">
        <v>28</v>
      </c>
      <c r="S2112" s="24">
        <f t="shared" si="164"/>
        <v>0.02</v>
      </c>
    </row>
    <row r="2113" spans="1:19" x14ac:dyDescent="0.25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>VLOOKUP(F2113,'Customer Info'!$A:$B,2,0)</f>
        <v>Kunst</v>
      </c>
      <c r="H2113" s="6" t="str">
        <f>VLOOKUP(F2113,'Customer Info'!$A$1:$C$501,3,0)</f>
        <v>Miller</v>
      </c>
      <c r="I2113" s="6" t="str">
        <f>VLOOKUP(F2113,Customer,5,0)</f>
        <v>Jakarta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582</v>
      </c>
      <c r="O2113" s="2">
        <v>30</v>
      </c>
      <c r="P2113" s="8">
        <f t="shared" si="162"/>
        <v>612</v>
      </c>
      <c r="Q2113" s="8">
        <f t="shared" si="163"/>
        <v>54</v>
      </c>
      <c r="R2113" s="2" t="s">
        <v>26</v>
      </c>
      <c r="S2113" s="24">
        <f t="shared" si="164"/>
        <v>0.02</v>
      </c>
    </row>
    <row r="2114" spans="1:19" x14ac:dyDescent="0.25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>VLOOKUP(F2114,'Customer Info'!$A:$B,2,0)</f>
        <v>Tamara</v>
      </c>
      <c r="H2114" s="6" t="str">
        <f>VLOOKUP(F2114,'Customer Info'!$A$1:$C$501,3,0)</f>
        <v>Willingham</v>
      </c>
      <c r="I2114" s="6" t="str">
        <f>VLOOKUP(F2114,Customer,5,0)</f>
        <v>Sindelfingen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224</v>
      </c>
      <c r="O2114" s="2">
        <v>64</v>
      </c>
      <c r="P2114" s="8">
        <f t="shared" si="162"/>
        <v>288</v>
      </c>
      <c r="Q2114" s="8">
        <f t="shared" si="163"/>
        <v>14</v>
      </c>
      <c r="R2114" s="2" t="s">
        <v>26</v>
      </c>
      <c r="S2114" s="24">
        <f t="shared" si="164"/>
        <v>0.02</v>
      </c>
    </row>
    <row r="2115" spans="1:19" x14ac:dyDescent="0.25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>VLOOKUP(F2115,'Customer Info'!$A:$B,2,0)</f>
        <v>Ivan</v>
      </c>
      <c r="H2115" s="6" t="str">
        <f>VLOOKUP(F2115,'Customer Info'!$A$1:$C$501,3,0)</f>
        <v>Gibson</v>
      </c>
      <c r="I2115" s="6" t="str">
        <f>VLOOKUP(F2115,Customer,5,0)</f>
        <v>Shanghai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49686</v>
      </c>
      <c r="O2115" s="2">
        <v>60</v>
      </c>
      <c r="P2115" s="8">
        <f t="shared" si="162"/>
        <v>49746</v>
      </c>
      <c r="Q2115" s="8">
        <f t="shared" si="163"/>
        <v>3648</v>
      </c>
      <c r="R2115" s="2" t="s">
        <v>28</v>
      </c>
      <c r="S2115" s="24">
        <f t="shared" si="164"/>
        <v>7.0000000000000007E-2</v>
      </c>
    </row>
    <row r="2116" spans="1:19" x14ac:dyDescent="0.25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>VLOOKUP(F2116,'Customer Info'!$A:$B,2,0)</f>
        <v>Brian</v>
      </c>
      <c r="H2116" s="6" t="str">
        <f>VLOOKUP(F2116,'Customer Info'!$A$1:$C$501,3,0)</f>
        <v>Dahlen</v>
      </c>
      <c r="I2116" s="6" t="str">
        <f>VLOOKUP(F2116,Customer,5,0)</f>
        <v>Shantou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15920</v>
      </c>
      <c r="O2116" s="2">
        <v>90</v>
      </c>
      <c r="P2116" s="8">
        <f t="shared" si="162"/>
        <v>16010</v>
      </c>
      <c r="Q2116" s="8">
        <f t="shared" si="163"/>
        <v>1170</v>
      </c>
      <c r="R2116" s="2" t="s">
        <v>28</v>
      </c>
      <c r="S2116" s="24">
        <f t="shared" si="164"/>
        <v>0.05</v>
      </c>
    </row>
    <row r="2117" spans="1:19" x14ac:dyDescent="0.25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>VLOOKUP(F2117,'Customer Info'!$A:$B,2,0)</f>
        <v>Barry</v>
      </c>
      <c r="H2117" s="6" t="str">
        <f>VLOOKUP(F2117,'Customer Info'!$A$1:$C$501,3,0)</f>
        <v>Blumstein</v>
      </c>
      <c r="I2117" s="6" t="str">
        <f>VLOOKUP(F2117,Customer,5,0)</f>
        <v>Toowoomba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17302</v>
      </c>
      <c r="O2117" s="2">
        <v>49</v>
      </c>
      <c r="P2117" s="8">
        <f t="shared" si="162"/>
        <v>17351</v>
      </c>
      <c r="Q2117" s="8">
        <f t="shared" si="163"/>
        <v>1140</v>
      </c>
      <c r="R2117" s="2" t="s">
        <v>28</v>
      </c>
      <c r="S2117" s="24">
        <f t="shared" si="164"/>
        <v>0.05</v>
      </c>
    </row>
    <row r="2118" spans="1:19" x14ac:dyDescent="0.25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>VLOOKUP(F2118,'Customer Info'!$A:$B,2,0)</f>
        <v>Robert</v>
      </c>
      <c r="H2118" s="6" t="str">
        <f>VLOOKUP(F2118,'Customer Info'!$A$1:$C$501,3,0)</f>
        <v>Waldorf</v>
      </c>
      <c r="I2118" s="6" t="str">
        <f>VLOOKUP(F2118,Customer,5,0)</f>
        <v>Emden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12174</v>
      </c>
      <c r="O2118" s="2">
        <v>90</v>
      </c>
      <c r="P2118" s="8">
        <f t="shared" si="162"/>
        <v>12264</v>
      </c>
      <c r="Q2118" s="8">
        <f t="shared" si="163"/>
        <v>558</v>
      </c>
      <c r="R2118" s="2" t="s">
        <v>28</v>
      </c>
      <c r="S2118" s="24">
        <f t="shared" si="164"/>
        <v>0.05</v>
      </c>
    </row>
    <row r="2119" spans="1:19" x14ac:dyDescent="0.25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>VLOOKUP(F2119,'Customer Info'!$A:$B,2,0)</f>
        <v>Nick</v>
      </c>
      <c r="H2119" s="6" t="str">
        <f>VLOOKUP(F2119,'Customer Info'!$A$1:$C$501,3,0)</f>
        <v>Radford</v>
      </c>
      <c r="I2119" s="6" t="str">
        <f>VLOOKUP(F2119,Customer,5,0)</f>
        <v>Lucknow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17646</v>
      </c>
      <c r="O2119" s="2">
        <v>100</v>
      </c>
      <c r="P2119" s="8">
        <f t="shared" si="162"/>
        <v>17746</v>
      </c>
      <c r="Q2119" s="8">
        <f t="shared" si="163"/>
        <v>507</v>
      </c>
      <c r="R2119" s="2" t="s">
        <v>26</v>
      </c>
      <c r="S2119" s="24">
        <f t="shared" si="164"/>
        <v>0.05</v>
      </c>
    </row>
    <row r="2120" spans="1:19" x14ac:dyDescent="0.25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>VLOOKUP(F2120,'Customer Info'!$A:$B,2,0)</f>
        <v>Alex</v>
      </c>
      <c r="H2120" s="6" t="str">
        <f>VLOOKUP(F2120,'Customer Info'!$A$1:$C$501,3,0)</f>
        <v>Avila</v>
      </c>
      <c r="I2120" s="6" t="str">
        <f>VLOOKUP(F2120,Customer,5,0)</f>
        <v>Agra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129</v>
      </c>
      <c r="O2120" s="2">
        <v>30</v>
      </c>
      <c r="P2120" s="8">
        <f t="shared" si="162"/>
        <v>159</v>
      </c>
      <c r="Q2120" s="8">
        <f t="shared" si="163"/>
        <v>11</v>
      </c>
      <c r="R2120" s="2" t="s">
        <v>28</v>
      </c>
      <c r="S2120" s="24">
        <f t="shared" si="164"/>
        <v>0.02</v>
      </c>
    </row>
    <row r="2121" spans="1:19" x14ac:dyDescent="0.25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>VLOOKUP(F2121,'Customer Info'!$A:$B,2,0)</f>
        <v>Anthony</v>
      </c>
      <c r="H2121" s="6" t="str">
        <f>VLOOKUP(F2121,'Customer Info'!$A$1:$C$501,3,0)</f>
        <v>O'Donnell</v>
      </c>
      <c r="I2121" s="6" t="str">
        <f>VLOOKUP(F2121,Customer,5,0)</f>
        <v>Perth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1651</v>
      </c>
      <c r="O2121" s="2">
        <v>55</v>
      </c>
      <c r="P2121" s="8">
        <f t="shared" si="162"/>
        <v>1706</v>
      </c>
      <c r="Q2121" s="8">
        <f t="shared" si="163"/>
        <v>47</v>
      </c>
      <c r="R2121" s="2" t="s">
        <v>56</v>
      </c>
      <c r="S2121" s="24">
        <f t="shared" si="164"/>
        <v>0.02</v>
      </c>
    </row>
    <row r="2122" spans="1:19" x14ac:dyDescent="0.25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>VLOOKUP(F2122,'Customer Info'!$A:$B,2,0)</f>
        <v>Lisa</v>
      </c>
      <c r="H2122" s="6" t="str">
        <f>VLOOKUP(F2122,'Customer Info'!$A$1:$C$501,3,0)</f>
        <v>Ryan</v>
      </c>
      <c r="I2122" s="6" t="str">
        <f>VLOOKUP(F2122,Customer,5,0)</f>
        <v>Townsville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668</v>
      </c>
      <c r="O2122" s="2">
        <v>30</v>
      </c>
      <c r="P2122" s="8">
        <f t="shared" si="162"/>
        <v>698</v>
      </c>
      <c r="Q2122" s="8">
        <f t="shared" si="163"/>
        <v>48</v>
      </c>
      <c r="R2122" s="2" t="s">
        <v>28</v>
      </c>
      <c r="S2122" s="24">
        <f t="shared" si="164"/>
        <v>0.02</v>
      </c>
    </row>
    <row r="2123" spans="1:19" x14ac:dyDescent="0.25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>VLOOKUP(F2123,'Customer Info'!$A:$B,2,0)</f>
        <v>Jennifer</v>
      </c>
      <c r="H2123" s="6" t="str">
        <f>VLOOKUP(F2123,'Customer Info'!$A$1:$C$501,3,0)</f>
        <v>Halladay</v>
      </c>
      <c r="I2123" s="6" t="str">
        <f>VLOOKUP(F2123,Customer,5,0)</f>
        <v>Bielefeld</v>
      </c>
      <c r="J2123" s="2">
        <v>1845</v>
      </c>
      <c r="K2123" s="2">
        <v>1742</v>
      </c>
      <c r="L2123" s="2">
        <v>3</v>
      </c>
      <c r="M2123" s="7">
        <f t="shared" ref="M2123:M2186" si="165">K2123*L2123</f>
        <v>5226</v>
      </c>
      <c r="N2123" s="7">
        <f t="shared" ref="N2123:N2186" si="166">J2123*L2123</f>
        <v>5535</v>
      </c>
      <c r="O2123" s="2">
        <v>74</v>
      </c>
      <c r="P2123" s="8">
        <f t="shared" ref="P2123:P2186" si="167">N2123+O2123</f>
        <v>5609</v>
      </c>
      <c r="Q2123" s="8">
        <f t="shared" ref="Q2123:Q2186" si="168">N2123-M2123</f>
        <v>309</v>
      </c>
      <c r="R2123" s="2" t="s">
        <v>28</v>
      </c>
      <c r="S2123" s="24">
        <f t="shared" ref="S2123:S2186" si="169">VLOOKUP(N2123,$T$1:$U$7,2,TRUE)</f>
        <v>0.05</v>
      </c>
    </row>
    <row r="2124" spans="1:19" x14ac:dyDescent="0.25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>VLOOKUP(F2124,'Customer Info'!$A:$B,2,0)</f>
        <v>Ralph</v>
      </c>
      <c r="H2124" s="6" t="str">
        <f>VLOOKUP(F2124,'Customer Info'!$A$1:$C$501,3,0)</f>
        <v>Kennedy</v>
      </c>
      <c r="I2124" s="6" t="str">
        <f>VLOOKUP(F2124,Customer,5,0)</f>
        <v>Perth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8">
        <f t="shared" si="167"/>
        <v>204</v>
      </c>
      <c r="Q2124" s="8">
        <f t="shared" si="168"/>
        <v>10</v>
      </c>
      <c r="R2124" s="2" t="s">
        <v>28</v>
      </c>
      <c r="S2124" s="24">
        <f t="shared" si="169"/>
        <v>0.02</v>
      </c>
    </row>
    <row r="2125" spans="1:19" x14ac:dyDescent="0.25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>VLOOKUP(F2125,'Customer Info'!$A:$B,2,0)</f>
        <v>Laurel</v>
      </c>
      <c r="H2125" s="6" t="str">
        <f>VLOOKUP(F2125,'Customer Info'!$A$1:$C$501,3,0)</f>
        <v>Elliston</v>
      </c>
      <c r="I2125" s="6" t="str">
        <f>VLOOKUP(F2125,Customer,5,0)</f>
        <v>Herten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8">
        <f t="shared" si="167"/>
        <v>528</v>
      </c>
      <c r="Q2125" s="8">
        <f t="shared" si="168"/>
        <v>51</v>
      </c>
      <c r="R2125" s="2" t="s">
        <v>50</v>
      </c>
      <c r="S2125" s="24">
        <f t="shared" si="169"/>
        <v>0.02</v>
      </c>
    </row>
    <row r="2126" spans="1:19" x14ac:dyDescent="0.25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>VLOOKUP(F2126,'Customer Info'!$A:$B,2,0)</f>
        <v>Bill</v>
      </c>
      <c r="H2126" s="6" t="str">
        <f>VLOOKUP(F2126,'Customer Info'!$A$1:$C$501,3,0)</f>
        <v>Shonely</v>
      </c>
      <c r="I2126" s="6" t="str">
        <f>VLOOKUP(F2126,Customer,5,0)</f>
        <v>Jinjiang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8">
        <f t="shared" si="167"/>
        <v>1616</v>
      </c>
      <c r="Q2126" s="8">
        <f t="shared" si="168"/>
        <v>129</v>
      </c>
      <c r="R2126" s="2" t="s">
        <v>28</v>
      </c>
      <c r="S2126" s="24">
        <f t="shared" si="169"/>
        <v>0.02</v>
      </c>
    </row>
    <row r="2127" spans="1:19" x14ac:dyDescent="0.25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>VLOOKUP(F2127,'Customer Info'!$A:$B,2,0)</f>
        <v>Charles</v>
      </c>
      <c r="H2127" s="6" t="str">
        <f>VLOOKUP(F2127,'Customer Info'!$A$1:$C$501,3,0)</f>
        <v>Sheldon</v>
      </c>
      <c r="I2127" s="6" t="str">
        <f>VLOOKUP(F2127,Customer,5,0)</f>
        <v>Jakarta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8">
        <f t="shared" si="167"/>
        <v>15362</v>
      </c>
      <c r="Q2127" s="8">
        <f t="shared" si="168"/>
        <v>1264</v>
      </c>
      <c r="R2127" s="2" t="s">
        <v>50</v>
      </c>
      <c r="S2127" s="24">
        <f t="shared" si="169"/>
        <v>0.05</v>
      </c>
    </row>
    <row r="2128" spans="1:19" x14ac:dyDescent="0.25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>VLOOKUP(F2128,'Customer Info'!$A:$B,2,0)</f>
        <v>Sam</v>
      </c>
      <c r="H2128" s="6" t="str">
        <f>VLOOKUP(F2128,'Customer Info'!$A$1:$C$501,3,0)</f>
        <v>Zeldin</v>
      </c>
      <c r="I2128" s="6" t="str">
        <f>VLOOKUP(F2128,Customer,5,0)</f>
        <v>Yanji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552</v>
      </c>
      <c r="O2128" s="2">
        <v>30</v>
      </c>
      <c r="P2128" s="8">
        <f t="shared" si="167"/>
        <v>582</v>
      </c>
      <c r="Q2128" s="8">
        <f t="shared" si="168"/>
        <v>24</v>
      </c>
      <c r="R2128" s="2" t="s">
        <v>28</v>
      </c>
      <c r="S2128" s="24">
        <f t="shared" si="169"/>
        <v>0.02</v>
      </c>
    </row>
    <row r="2129" spans="1:19" x14ac:dyDescent="0.25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>VLOOKUP(F2129,'Customer Info'!$A:$B,2,0)</f>
        <v>Alan</v>
      </c>
      <c r="H2129" s="6" t="str">
        <f>VLOOKUP(F2129,'Customer Info'!$A$1:$C$501,3,0)</f>
        <v>Shonely</v>
      </c>
      <c r="I2129" s="6" t="str">
        <f>VLOOKUP(F2129,Customer,5,0)</f>
        <v>Canberra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15068</v>
      </c>
      <c r="O2129" s="2">
        <v>47</v>
      </c>
      <c r="P2129" s="8">
        <f t="shared" si="167"/>
        <v>15115</v>
      </c>
      <c r="Q2129" s="8">
        <f t="shared" si="168"/>
        <v>856</v>
      </c>
      <c r="R2129" s="2" t="s">
        <v>28</v>
      </c>
      <c r="S2129" s="24">
        <f t="shared" si="169"/>
        <v>0.05</v>
      </c>
    </row>
    <row r="2130" spans="1:19" x14ac:dyDescent="0.25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>VLOOKUP(F2130,'Customer Info'!$A:$B,2,0)</f>
        <v>Paul</v>
      </c>
      <c r="H2130" s="6" t="str">
        <f>VLOOKUP(F2130,'Customer Info'!$A$1:$C$501,3,0)</f>
        <v>Knutson</v>
      </c>
      <c r="I2130" s="6" t="str">
        <f>VLOOKUP(F2130,Customer,5,0)</f>
        <v>Gold Coast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17562</v>
      </c>
      <c r="O2130" s="2">
        <v>88</v>
      </c>
      <c r="P2130" s="8">
        <f t="shared" si="167"/>
        <v>17650</v>
      </c>
      <c r="Q2130" s="8">
        <f t="shared" si="168"/>
        <v>1906</v>
      </c>
      <c r="R2130" s="2" t="s">
        <v>28</v>
      </c>
      <c r="S2130" s="24">
        <f t="shared" si="169"/>
        <v>0.05</v>
      </c>
    </row>
    <row r="2131" spans="1:19" x14ac:dyDescent="0.25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>VLOOKUP(F2131,'Customer Info'!$A:$B,2,0)</f>
        <v>Patricia</v>
      </c>
      <c r="H2131" s="6" t="str">
        <f>VLOOKUP(F2131,'Customer Info'!$A$1:$C$501,3,0)</f>
        <v>Hirasaki</v>
      </c>
      <c r="I2131" s="6" t="str">
        <f>VLOOKUP(F2131,Customer,5,0)</f>
        <v>Pimpri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25096</v>
      </c>
      <c r="O2131" s="2">
        <v>44</v>
      </c>
      <c r="P2131" s="8">
        <f t="shared" si="167"/>
        <v>25140</v>
      </c>
      <c r="Q2131" s="8">
        <f t="shared" si="168"/>
        <v>724</v>
      </c>
      <c r="R2131" s="2" t="s">
        <v>50</v>
      </c>
      <c r="S2131" s="24">
        <f t="shared" si="169"/>
        <v>7.0000000000000007E-2</v>
      </c>
    </row>
    <row r="2132" spans="1:19" x14ac:dyDescent="0.25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>VLOOKUP(F2132,'Customer Info'!$A:$B,2,0)</f>
        <v>Mike</v>
      </c>
      <c r="H2132" s="6" t="str">
        <f>VLOOKUP(F2132,'Customer Info'!$A$1:$C$501,3,0)</f>
        <v>Gockenbach</v>
      </c>
      <c r="I2132" s="6" t="str">
        <f>VLOOKUP(F2132,Customer,5,0)</f>
        <v>Caloundra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5394</v>
      </c>
      <c r="O2132" s="2">
        <v>67</v>
      </c>
      <c r="P2132" s="8">
        <f t="shared" si="167"/>
        <v>5461</v>
      </c>
      <c r="Q2132" s="8">
        <f t="shared" si="168"/>
        <v>398</v>
      </c>
      <c r="R2132" s="2" t="s">
        <v>28</v>
      </c>
      <c r="S2132" s="24">
        <f t="shared" si="169"/>
        <v>0.05</v>
      </c>
    </row>
    <row r="2133" spans="1:19" x14ac:dyDescent="0.25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>VLOOKUP(F2133,'Customer Info'!$A:$B,2,0)</f>
        <v>Ralph</v>
      </c>
      <c r="H2133" s="6" t="str">
        <f>VLOOKUP(F2133,'Customer Info'!$A$1:$C$501,3,0)</f>
        <v>Kennedy</v>
      </c>
      <c r="I2133" s="6" t="str">
        <f>VLOOKUP(F2133,Customer,5,0)</f>
        <v>Perth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189</v>
      </c>
      <c r="O2133" s="2">
        <v>10</v>
      </c>
      <c r="P2133" s="8">
        <f t="shared" si="167"/>
        <v>199</v>
      </c>
      <c r="Q2133" s="8">
        <f t="shared" si="168"/>
        <v>15</v>
      </c>
      <c r="R2133" s="2" t="s">
        <v>28</v>
      </c>
      <c r="S2133" s="24">
        <f t="shared" si="169"/>
        <v>0.02</v>
      </c>
    </row>
    <row r="2134" spans="1:19" x14ac:dyDescent="0.25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>VLOOKUP(F2134,'Customer Info'!$A:$B,2,0)</f>
        <v>Robert</v>
      </c>
      <c r="H2134" s="6" t="str">
        <f>VLOOKUP(F2134,'Customer Info'!$A$1:$C$501,3,0)</f>
        <v>Dilbeck</v>
      </c>
      <c r="I2134" s="6" t="str">
        <f>VLOOKUP(F2134,Customer,5,0)</f>
        <v>Melton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4707</v>
      </c>
      <c r="O2134" s="2">
        <v>28</v>
      </c>
      <c r="P2134" s="8">
        <f t="shared" si="167"/>
        <v>4735</v>
      </c>
      <c r="Q2134" s="8">
        <f t="shared" si="168"/>
        <v>309</v>
      </c>
      <c r="R2134" s="2" t="s">
        <v>28</v>
      </c>
      <c r="S2134" s="24">
        <f t="shared" si="169"/>
        <v>0.02</v>
      </c>
    </row>
    <row r="2135" spans="1:19" x14ac:dyDescent="0.25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>VLOOKUP(F2135,'Customer Info'!$A:$B,2,0)</f>
        <v>Bill</v>
      </c>
      <c r="H2135" s="6" t="str">
        <f>VLOOKUP(F2135,'Customer Info'!$A$1:$C$501,3,0)</f>
        <v>Eplett</v>
      </c>
      <c r="I2135" s="6" t="str">
        <f>VLOOKUP(F2135,Customer,5,0)</f>
        <v>Newcastle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28522</v>
      </c>
      <c r="O2135" s="2">
        <v>88</v>
      </c>
      <c r="P2135" s="8">
        <f t="shared" si="167"/>
        <v>28610</v>
      </c>
      <c r="Q2135" s="8">
        <f t="shared" si="168"/>
        <v>2138</v>
      </c>
      <c r="R2135" s="2" t="s">
        <v>26</v>
      </c>
      <c r="S2135" s="24">
        <f t="shared" si="169"/>
        <v>7.0000000000000007E-2</v>
      </c>
    </row>
    <row r="2136" spans="1:19" x14ac:dyDescent="0.25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>VLOOKUP(F2136,'Customer Info'!$A:$B,2,0)</f>
        <v>Sanjit</v>
      </c>
      <c r="H2136" s="6" t="str">
        <f>VLOOKUP(F2136,'Customer Info'!$A$1:$C$501,3,0)</f>
        <v>Chand</v>
      </c>
      <c r="I2136" s="6" t="str">
        <f>VLOOKUP(F2136,Customer,5,0)</f>
        <v>Thiruvananthapuram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2042</v>
      </c>
      <c r="O2136" s="2">
        <v>31</v>
      </c>
      <c r="P2136" s="8">
        <f t="shared" si="167"/>
        <v>2073</v>
      </c>
      <c r="Q2136" s="8">
        <f t="shared" si="168"/>
        <v>77</v>
      </c>
      <c r="R2136" s="2" t="s">
        <v>50</v>
      </c>
      <c r="S2136" s="24">
        <f t="shared" si="169"/>
        <v>0.02</v>
      </c>
    </row>
    <row r="2137" spans="1:19" x14ac:dyDescent="0.25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>VLOOKUP(F2137,'Customer Info'!$A:$B,2,0)</f>
        <v>Peter</v>
      </c>
      <c r="H2137" s="6" t="str">
        <f>VLOOKUP(F2137,'Customer Info'!$A$1:$C$501,3,0)</f>
        <v>BŸhler</v>
      </c>
      <c r="I2137" s="6" t="str">
        <f>VLOOKUP(F2137,Customer,5,0)</f>
        <v>Dresden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596</v>
      </c>
      <c r="O2137" s="2">
        <v>30</v>
      </c>
      <c r="P2137" s="8">
        <f t="shared" si="167"/>
        <v>626</v>
      </c>
      <c r="Q2137" s="8">
        <f t="shared" si="168"/>
        <v>72</v>
      </c>
      <c r="R2137" s="2" t="s">
        <v>28</v>
      </c>
      <c r="S2137" s="24">
        <f t="shared" si="169"/>
        <v>0.02</v>
      </c>
    </row>
    <row r="2138" spans="1:19" x14ac:dyDescent="0.25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>VLOOKUP(F2138,'Customer Info'!$A:$B,2,0)</f>
        <v>Joy</v>
      </c>
      <c r="H2138" s="6" t="str">
        <f>VLOOKUP(F2138,'Customer Info'!$A$1:$C$501,3,0)</f>
        <v>Bell</v>
      </c>
      <c r="I2138" s="6" t="str">
        <f>VLOOKUP(F2138,Customer,5,0)</f>
        <v>Vijayawada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630</v>
      </c>
      <c r="O2138" s="2">
        <v>35</v>
      </c>
      <c r="P2138" s="8">
        <f t="shared" si="167"/>
        <v>665</v>
      </c>
      <c r="Q2138" s="8">
        <f t="shared" si="168"/>
        <v>57</v>
      </c>
      <c r="R2138" s="2" t="s">
        <v>28</v>
      </c>
      <c r="S2138" s="24">
        <f t="shared" si="169"/>
        <v>0.02</v>
      </c>
    </row>
    <row r="2139" spans="1:19" x14ac:dyDescent="0.25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>VLOOKUP(F2139,'Customer Info'!$A:$B,2,0)</f>
        <v>Allen</v>
      </c>
      <c r="H2139" s="6" t="str">
        <f>VLOOKUP(F2139,'Customer Info'!$A$1:$C$501,3,0)</f>
        <v>Armold</v>
      </c>
      <c r="I2139" s="6" t="str">
        <f>VLOOKUP(F2139,Customer,5,0)</f>
        <v>Wuchuan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12054</v>
      </c>
      <c r="O2139" s="2">
        <v>60</v>
      </c>
      <c r="P2139" s="8">
        <f t="shared" si="167"/>
        <v>12114</v>
      </c>
      <c r="Q2139" s="8">
        <f t="shared" si="168"/>
        <v>666</v>
      </c>
      <c r="R2139" s="2" t="s">
        <v>50</v>
      </c>
      <c r="S2139" s="24">
        <f t="shared" si="169"/>
        <v>0.05</v>
      </c>
    </row>
    <row r="2140" spans="1:19" x14ac:dyDescent="0.25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>VLOOKUP(F2140,'Customer Info'!$A:$B,2,0)</f>
        <v>Julie</v>
      </c>
      <c r="H2140" s="6" t="str">
        <f>VLOOKUP(F2140,'Customer Info'!$A$1:$C$501,3,0)</f>
        <v>Creighton</v>
      </c>
      <c r="I2140" s="6" t="str">
        <f>VLOOKUP(F2140,Customer,5,0)</f>
        <v>Ballarat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8184</v>
      </c>
      <c r="O2140" s="2">
        <v>71</v>
      </c>
      <c r="P2140" s="8">
        <f t="shared" si="167"/>
        <v>8255</v>
      </c>
      <c r="Q2140" s="8">
        <f t="shared" si="168"/>
        <v>540</v>
      </c>
      <c r="R2140" s="2" t="s">
        <v>50</v>
      </c>
      <c r="S2140" s="24">
        <f t="shared" si="169"/>
        <v>0.05</v>
      </c>
    </row>
    <row r="2141" spans="1:19" x14ac:dyDescent="0.25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>VLOOKUP(F2141,'Customer Info'!$A:$B,2,0)</f>
        <v>Giulietta</v>
      </c>
      <c r="H2141" s="6" t="str">
        <f>VLOOKUP(F2141,'Customer Info'!$A$1:$C$501,3,0)</f>
        <v>Weimer</v>
      </c>
      <c r="I2141" s="6" t="str">
        <f>VLOOKUP(F2141,Customer,5,0)</f>
        <v>Suihua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9170</v>
      </c>
      <c r="O2141" s="2">
        <v>94</v>
      </c>
      <c r="P2141" s="8">
        <f t="shared" si="167"/>
        <v>9264</v>
      </c>
      <c r="Q2141" s="8">
        <f t="shared" si="168"/>
        <v>590</v>
      </c>
      <c r="R2141" s="2" t="s">
        <v>28</v>
      </c>
      <c r="S2141" s="24">
        <f t="shared" si="169"/>
        <v>0.05</v>
      </c>
    </row>
    <row r="2142" spans="1:19" x14ac:dyDescent="0.25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>VLOOKUP(F2142,'Customer Info'!$A:$B,2,0)</f>
        <v>Cari</v>
      </c>
      <c r="H2142" s="6" t="str">
        <f>VLOOKUP(F2142,'Customer Info'!$A$1:$C$501,3,0)</f>
        <v>MacIntyre</v>
      </c>
      <c r="I2142" s="6" t="str">
        <f>VLOOKUP(F2142,Customer,5,0)</f>
        <v>Freiburg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692</v>
      </c>
      <c r="O2142" s="2">
        <v>30</v>
      </c>
      <c r="P2142" s="8">
        <f t="shared" si="167"/>
        <v>722</v>
      </c>
      <c r="Q2142" s="8">
        <f t="shared" si="168"/>
        <v>72</v>
      </c>
      <c r="R2142" s="2" t="s">
        <v>28</v>
      </c>
      <c r="S2142" s="24">
        <f t="shared" si="169"/>
        <v>0.02</v>
      </c>
    </row>
    <row r="2143" spans="1:19" x14ac:dyDescent="0.25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>VLOOKUP(F2143,'Customer Info'!$A:$B,2,0)</f>
        <v>Rob</v>
      </c>
      <c r="H2143" s="6" t="str">
        <f>VLOOKUP(F2143,'Customer Info'!$A$1:$C$501,3,0)</f>
        <v>Williams</v>
      </c>
      <c r="I2143" s="6" t="str">
        <f>VLOOKUP(F2143,Customer,5,0)</f>
        <v>Wodonga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5292</v>
      </c>
      <c r="O2143" s="2">
        <v>94</v>
      </c>
      <c r="P2143" s="8">
        <f t="shared" si="167"/>
        <v>5386</v>
      </c>
      <c r="Q2143" s="8">
        <f t="shared" si="168"/>
        <v>384</v>
      </c>
      <c r="R2143" s="2" t="s">
        <v>50</v>
      </c>
      <c r="S2143" s="24">
        <f t="shared" si="169"/>
        <v>0.05</v>
      </c>
    </row>
    <row r="2144" spans="1:19" x14ac:dyDescent="0.25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>VLOOKUP(F2144,'Customer Info'!$A:$B,2,0)</f>
        <v>Ryan</v>
      </c>
      <c r="H2144" s="6" t="str">
        <f>VLOOKUP(F2144,'Customer Info'!$A$1:$C$501,3,0)</f>
        <v>Akin</v>
      </c>
      <c r="I2144" s="6" t="str">
        <f>VLOOKUP(F2144,Customer,5,0)</f>
        <v>Bayreuth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13364</v>
      </c>
      <c r="O2144" s="2">
        <v>96</v>
      </c>
      <c r="P2144" s="8">
        <f t="shared" si="167"/>
        <v>13460</v>
      </c>
      <c r="Q2144" s="8">
        <f t="shared" si="168"/>
        <v>756</v>
      </c>
      <c r="R2144" s="2" t="s">
        <v>28</v>
      </c>
      <c r="S2144" s="24">
        <f t="shared" si="169"/>
        <v>0.05</v>
      </c>
    </row>
    <row r="2145" spans="1:19" x14ac:dyDescent="0.25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>VLOOKUP(F2145,'Customer Info'!$A:$B,2,0)</f>
        <v>Kristen</v>
      </c>
      <c r="H2145" s="6" t="str">
        <f>VLOOKUP(F2145,'Customer Info'!$A$1:$C$501,3,0)</f>
        <v>Hastings</v>
      </c>
      <c r="I2145" s="6" t="str">
        <f>VLOOKUP(F2145,Customer,5,0)</f>
        <v>Shihezi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2372</v>
      </c>
      <c r="O2145" s="2">
        <v>83</v>
      </c>
      <c r="P2145" s="8">
        <f t="shared" si="167"/>
        <v>2455</v>
      </c>
      <c r="Q2145" s="8">
        <f t="shared" si="168"/>
        <v>90</v>
      </c>
      <c r="R2145" s="2" t="s">
        <v>26</v>
      </c>
      <c r="S2145" s="24">
        <f t="shared" si="169"/>
        <v>0.02</v>
      </c>
    </row>
    <row r="2146" spans="1:19" x14ac:dyDescent="0.25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>VLOOKUP(F2146,'Customer Info'!$A:$B,2,0)</f>
        <v>Toby</v>
      </c>
      <c r="H2146" s="6" t="str">
        <f>VLOOKUP(F2146,'Customer Info'!$A$1:$C$501,3,0)</f>
        <v>Braunhardt</v>
      </c>
      <c r="I2146" s="6" t="str">
        <f>VLOOKUP(F2146,Customer,5,0)</f>
        <v>Perth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4798</v>
      </c>
      <c r="O2146" s="2">
        <v>66</v>
      </c>
      <c r="P2146" s="8">
        <f t="shared" si="167"/>
        <v>4864</v>
      </c>
      <c r="Q2146" s="8">
        <f t="shared" si="168"/>
        <v>350</v>
      </c>
      <c r="R2146" s="2" t="s">
        <v>28</v>
      </c>
      <c r="S2146" s="24">
        <f t="shared" si="169"/>
        <v>0.02</v>
      </c>
    </row>
    <row r="2147" spans="1:19" x14ac:dyDescent="0.25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>VLOOKUP(F2147,'Customer Info'!$A:$B,2,0)</f>
        <v>Brendan</v>
      </c>
      <c r="H2147" s="6" t="str">
        <f>VLOOKUP(F2147,'Customer Info'!$A$1:$C$501,3,0)</f>
        <v>Dodson</v>
      </c>
      <c r="I2147" s="6" t="str">
        <f>VLOOKUP(F2147,Customer,5,0)</f>
        <v>Adelaide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8399</v>
      </c>
      <c r="O2147" s="2">
        <v>93</v>
      </c>
      <c r="P2147" s="8">
        <f t="shared" si="167"/>
        <v>8492</v>
      </c>
      <c r="Q2147" s="8">
        <f t="shared" si="168"/>
        <v>398</v>
      </c>
      <c r="R2147" s="2" t="s">
        <v>28</v>
      </c>
      <c r="S2147" s="24">
        <f t="shared" si="169"/>
        <v>0.05</v>
      </c>
    </row>
    <row r="2148" spans="1:19" x14ac:dyDescent="0.25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>VLOOKUP(F2148,'Customer Info'!$A:$B,2,0)</f>
        <v>Lindsay</v>
      </c>
      <c r="H2148" s="6" t="str">
        <f>VLOOKUP(F2148,'Customer Info'!$A$1:$C$501,3,0)</f>
        <v>Williams</v>
      </c>
      <c r="I2148" s="6" t="str">
        <f>VLOOKUP(F2148,Customer,5,0)</f>
        <v>Akola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59</v>
      </c>
      <c r="O2148" s="2">
        <v>10</v>
      </c>
      <c r="P2148" s="8">
        <f t="shared" si="167"/>
        <v>69</v>
      </c>
      <c r="Q2148" s="8">
        <f t="shared" si="168"/>
        <v>4</v>
      </c>
      <c r="R2148" s="2" t="s">
        <v>28</v>
      </c>
      <c r="S2148" s="24">
        <f t="shared" si="169"/>
        <v>0.02</v>
      </c>
    </row>
    <row r="2149" spans="1:19" x14ac:dyDescent="0.25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>VLOOKUP(F2149,'Customer Info'!$A:$B,2,0)</f>
        <v>Claire</v>
      </c>
      <c r="H2149" s="6" t="str">
        <f>VLOOKUP(F2149,'Customer Info'!$A$1:$C$501,3,0)</f>
        <v>Gute</v>
      </c>
      <c r="I2149" s="6" t="str">
        <f>VLOOKUP(F2149,Customer,5,0)</f>
        <v>Worms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525</v>
      </c>
      <c r="O2149" s="2">
        <v>30</v>
      </c>
      <c r="P2149" s="8">
        <f t="shared" si="167"/>
        <v>555</v>
      </c>
      <c r="Q2149" s="8">
        <f t="shared" si="168"/>
        <v>39</v>
      </c>
      <c r="R2149" s="2" t="s">
        <v>28</v>
      </c>
      <c r="S2149" s="24">
        <f t="shared" si="169"/>
        <v>0.02</v>
      </c>
    </row>
    <row r="2150" spans="1:19" x14ac:dyDescent="0.25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>VLOOKUP(F2150,'Customer Info'!$A:$B,2,0)</f>
        <v>Greg</v>
      </c>
      <c r="H2150" s="6" t="str">
        <f>VLOOKUP(F2150,'Customer Info'!$A$1:$C$501,3,0)</f>
        <v>Tran</v>
      </c>
      <c r="I2150" s="6" t="str">
        <f>VLOOKUP(F2150,Customer,5,0)</f>
        <v>Recklinghausen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222</v>
      </c>
      <c r="O2150" s="2">
        <v>25</v>
      </c>
      <c r="P2150" s="8">
        <f t="shared" si="167"/>
        <v>247</v>
      </c>
      <c r="Q2150" s="8">
        <f t="shared" si="168"/>
        <v>18</v>
      </c>
      <c r="R2150" s="2" t="s">
        <v>28</v>
      </c>
      <c r="S2150" s="24">
        <f t="shared" si="169"/>
        <v>0.02</v>
      </c>
    </row>
    <row r="2151" spans="1:19" x14ac:dyDescent="0.25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>VLOOKUP(F2151,'Customer Info'!$A:$B,2,0)</f>
        <v>Steven</v>
      </c>
      <c r="H2151" s="6" t="str">
        <f>VLOOKUP(F2151,'Customer Info'!$A$1:$C$501,3,0)</f>
        <v>Cartwright</v>
      </c>
      <c r="I2151" s="6" t="str">
        <f>VLOOKUP(F2151,Customer,5,0)</f>
        <v>Newcastle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22827</v>
      </c>
      <c r="O2151" s="2">
        <v>77</v>
      </c>
      <c r="P2151" s="8">
        <f t="shared" si="167"/>
        <v>22904</v>
      </c>
      <c r="Q2151" s="8">
        <f t="shared" si="168"/>
        <v>1083</v>
      </c>
      <c r="R2151" s="2" t="s">
        <v>50</v>
      </c>
      <c r="S2151" s="24">
        <f t="shared" si="169"/>
        <v>0.05</v>
      </c>
    </row>
    <row r="2152" spans="1:19" x14ac:dyDescent="0.25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>VLOOKUP(F2152,'Customer Info'!$A:$B,2,0)</f>
        <v>Pamela</v>
      </c>
      <c r="H2152" s="6" t="str">
        <f>VLOOKUP(F2152,'Customer Info'!$A$1:$C$501,3,0)</f>
        <v>Coakley</v>
      </c>
      <c r="I2152" s="6" t="str">
        <f>VLOOKUP(F2152,Customer,5,0)</f>
        <v>Jakarta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1637</v>
      </c>
      <c r="O2152" s="2">
        <v>94</v>
      </c>
      <c r="P2152" s="8">
        <f t="shared" si="167"/>
        <v>1731</v>
      </c>
      <c r="Q2152" s="8">
        <f t="shared" si="168"/>
        <v>46</v>
      </c>
      <c r="R2152" s="2" t="s">
        <v>28</v>
      </c>
      <c r="S2152" s="24">
        <f t="shared" si="169"/>
        <v>0.02</v>
      </c>
    </row>
    <row r="2153" spans="1:19" x14ac:dyDescent="0.25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>VLOOKUP(F2153,'Customer Info'!$A:$B,2,0)</f>
        <v>MaryBeth</v>
      </c>
      <c r="H2153" s="6" t="str">
        <f>VLOOKUP(F2153,'Customer Info'!$A$1:$C$501,3,0)</f>
        <v>Skach</v>
      </c>
      <c r="I2153" s="6" t="str">
        <f>VLOOKUP(F2153,Customer,5,0)</f>
        <v>Licheng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34744</v>
      </c>
      <c r="O2153" s="2">
        <v>34</v>
      </c>
      <c r="P2153" s="8">
        <f t="shared" si="167"/>
        <v>34778</v>
      </c>
      <c r="Q2153" s="8">
        <f t="shared" si="168"/>
        <v>2604</v>
      </c>
      <c r="R2153" s="2" t="s">
        <v>28</v>
      </c>
      <c r="S2153" s="24">
        <f t="shared" si="169"/>
        <v>7.0000000000000007E-2</v>
      </c>
    </row>
    <row r="2154" spans="1:19" x14ac:dyDescent="0.25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>VLOOKUP(F2154,'Customer Info'!$A:$B,2,0)</f>
        <v>Tamara</v>
      </c>
      <c r="H2154" s="6" t="str">
        <f>VLOOKUP(F2154,'Customer Info'!$A$1:$C$501,3,0)</f>
        <v>Chand</v>
      </c>
      <c r="I2154" s="6" t="str">
        <f>VLOOKUP(F2154,Customer,5,0)</f>
        <v>Canberra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9672</v>
      </c>
      <c r="O2154" s="2">
        <v>58</v>
      </c>
      <c r="P2154" s="8">
        <f t="shared" si="167"/>
        <v>9730</v>
      </c>
      <c r="Q2154" s="8">
        <f t="shared" si="168"/>
        <v>720</v>
      </c>
      <c r="R2154" s="2" t="s">
        <v>50</v>
      </c>
      <c r="S2154" s="24">
        <f t="shared" si="169"/>
        <v>0.05</v>
      </c>
    </row>
    <row r="2155" spans="1:19" x14ac:dyDescent="0.25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>VLOOKUP(F2155,'Customer Info'!$A:$B,2,0)</f>
        <v>Alan</v>
      </c>
      <c r="H2155" s="6" t="str">
        <f>VLOOKUP(F2155,'Customer Info'!$A$1:$C$501,3,0)</f>
        <v>Schoenberger</v>
      </c>
      <c r="I2155" s="6" t="str">
        <f>VLOOKUP(F2155,Customer,5,0)</f>
        <v>Anshan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26970</v>
      </c>
      <c r="O2155" s="2">
        <v>50</v>
      </c>
      <c r="P2155" s="8">
        <f t="shared" si="167"/>
        <v>27020</v>
      </c>
      <c r="Q2155" s="8">
        <f t="shared" si="168"/>
        <v>1990</v>
      </c>
      <c r="R2155" s="2" t="s">
        <v>28</v>
      </c>
      <c r="S2155" s="24">
        <f t="shared" si="169"/>
        <v>7.0000000000000007E-2</v>
      </c>
    </row>
    <row r="2156" spans="1:19" x14ac:dyDescent="0.25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>VLOOKUP(F2156,'Customer Info'!$A:$B,2,0)</f>
        <v>Mitch</v>
      </c>
      <c r="H2156" s="6" t="str">
        <f>VLOOKUP(F2156,'Customer Info'!$A$1:$C$501,3,0)</f>
        <v>Willingham</v>
      </c>
      <c r="I2156" s="6" t="str">
        <f>VLOOKUP(F2156,Customer,5,0)</f>
        <v>Surakarta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2280</v>
      </c>
      <c r="O2156" s="2">
        <v>59</v>
      </c>
      <c r="P2156" s="8">
        <f t="shared" si="167"/>
        <v>2339</v>
      </c>
      <c r="Q2156" s="8">
        <f t="shared" si="168"/>
        <v>130</v>
      </c>
      <c r="R2156" s="2" t="s">
        <v>50</v>
      </c>
      <c r="S2156" s="24">
        <f t="shared" si="169"/>
        <v>0.02</v>
      </c>
    </row>
    <row r="2157" spans="1:19" x14ac:dyDescent="0.25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>VLOOKUP(F2157,'Customer Info'!$A:$B,2,0)</f>
        <v>Logan</v>
      </c>
      <c r="H2157" s="6" t="str">
        <f>VLOOKUP(F2157,'Customer Info'!$A$1:$C$501,3,0)</f>
        <v>Currie</v>
      </c>
      <c r="I2157" s="6" t="str">
        <f>VLOOKUP(F2157,Customer,5,0)</f>
        <v>Amravati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114088</v>
      </c>
      <c r="O2157" s="2">
        <v>94</v>
      </c>
      <c r="P2157" s="8">
        <f t="shared" si="167"/>
        <v>114182</v>
      </c>
      <c r="Q2157" s="8">
        <f t="shared" si="168"/>
        <v>8552</v>
      </c>
      <c r="R2157" s="2" t="s">
        <v>50</v>
      </c>
      <c r="S2157" s="24">
        <f t="shared" si="169"/>
        <v>0.12</v>
      </c>
    </row>
    <row r="2158" spans="1:19" x14ac:dyDescent="0.25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>VLOOKUP(F2158,'Customer Info'!$A:$B,2,0)</f>
        <v>Thais</v>
      </c>
      <c r="H2158" s="6" t="str">
        <f>VLOOKUP(F2158,'Customer Info'!$A$1:$C$501,3,0)</f>
        <v>Sissman</v>
      </c>
      <c r="I2158" s="6" t="str">
        <f>VLOOKUP(F2158,Customer,5,0)</f>
        <v>Essen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5991</v>
      </c>
      <c r="O2158" s="2">
        <v>92</v>
      </c>
      <c r="P2158" s="8">
        <f t="shared" si="167"/>
        <v>6083</v>
      </c>
      <c r="Q2158" s="8">
        <f t="shared" si="168"/>
        <v>543</v>
      </c>
      <c r="R2158" s="2" t="s">
        <v>26</v>
      </c>
      <c r="S2158" s="24">
        <f t="shared" si="169"/>
        <v>0.05</v>
      </c>
    </row>
    <row r="2159" spans="1:19" x14ac:dyDescent="0.25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>VLOOKUP(F2159,'Customer Info'!$A:$B,2,0)</f>
        <v>Marc</v>
      </c>
      <c r="H2159" s="6" t="str">
        <f>VLOOKUP(F2159,'Customer Info'!$A$1:$C$501,3,0)</f>
        <v>Harrigan</v>
      </c>
      <c r="I2159" s="6" t="str">
        <f>VLOOKUP(F2159,Customer,5,0)</f>
        <v>Bogor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4002</v>
      </c>
      <c r="O2159" s="2">
        <v>88</v>
      </c>
      <c r="P2159" s="8">
        <f t="shared" si="167"/>
        <v>4090</v>
      </c>
      <c r="Q2159" s="8">
        <f t="shared" si="168"/>
        <v>258</v>
      </c>
      <c r="R2159" s="2" t="s">
        <v>28</v>
      </c>
      <c r="S2159" s="24">
        <f t="shared" si="169"/>
        <v>0.02</v>
      </c>
    </row>
    <row r="2160" spans="1:19" x14ac:dyDescent="0.25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>VLOOKUP(F2160,'Customer Info'!$A:$B,2,0)</f>
        <v>Paul</v>
      </c>
      <c r="H2160" s="6" t="str">
        <f>VLOOKUP(F2160,'Customer Info'!$A$1:$C$501,3,0)</f>
        <v>Stevenson</v>
      </c>
      <c r="I2160" s="6" t="str">
        <f>VLOOKUP(F2160,Customer,5,0)</f>
        <v>Kwinana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5703</v>
      </c>
      <c r="O2160" s="2">
        <v>81</v>
      </c>
      <c r="P2160" s="8">
        <f t="shared" si="167"/>
        <v>5784</v>
      </c>
      <c r="Q2160" s="8">
        <f t="shared" si="168"/>
        <v>273</v>
      </c>
      <c r="R2160" s="2" t="s">
        <v>28</v>
      </c>
      <c r="S2160" s="24">
        <f t="shared" si="169"/>
        <v>0.05</v>
      </c>
    </row>
    <row r="2161" spans="1:19" x14ac:dyDescent="0.25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>VLOOKUP(F2161,'Customer Info'!$A:$B,2,0)</f>
        <v>Darren</v>
      </c>
      <c r="H2161" s="6" t="str">
        <f>VLOOKUP(F2161,'Customer Info'!$A$1:$C$501,3,0)</f>
        <v>Koutras</v>
      </c>
      <c r="I2161" s="6" t="str">
        <f>VLOOKUP(F2161,Customer,5,0)</f>
        <v>Pune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14464</v>
      </c>
      <c r="O2161" s="2">
        <v>98</v>
      </c>
      <c r="P2161" s="8">
        <f t="shared" si="167"/>
        <v>14562</v>
      </c>
      <c r="Q2161" s="8">
        <f t="shared" si="168"/>
        <v>958</v>
      </c>
      <c r="R2161" s="2" t="s">
        <v>28</v>
      </c>
      <c r="S2161" s="24">
        <f t="shared" si="169"/>
        <v>0.05</v>
      </c>
    </row>
    <row r="2162" spans="1:19" x14ac:dyDescent="0.25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>VLOOKUP(F2162,'Customer Info'!$A:$B,2,0)</f>
        <v>Darren</v>
      </c>
      <c r="H2162" s="6" t="str">
        <f>VLOOKUP(F2162,'Customer Info'!$A$1:$C$501,3,0)</f>
        <v>Koutras</v>
      </c>
      <c r="I2162" s="6" t="str">
        <f>VLOOKUP(F2162,Customer,5,0)</f>
        <v>Pune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12952</v>
      </c>
      <c r="O2162" s="2">
        <v>53</v>
      </c>
      <c r="P2162" s="8">
        <f t="shared" si="167"/>
        <v>13005</v>
      </c>
      <c r="Q2162" s="8">
        <f t="shared" si="168"/>
        <v>1416</v>
      </c>
      <c r="R2162" s="2" t="s">
        <v>28</v>
      </c>
      <c r="S2162" s="24">
        <f t="shared" si="169"/>
        <v>0.05</v>
      </c>
    </row>
    <row r="2163" spans="1:19" x14ac:dyDescent="0.25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>VLOOKUP(F2163,'Customer Info'!$A:$B,2,0)</f>
        <v>Rick</v>
      </c>
      <c r="H2163" s="6" t="str">
        <f>VLOOKUP(F2163,'Customer Info'!$A$1:$C$501,3,0)</f>
        <v>Reed</v>
      </c>
      <c r="I2163" s="6" t="str">
        <f>VLOOKUP(F2163,Customer,5,0)</f>
        <v>Lucknow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23392</v>
      </c>
      <c r="O2163" s="2">
        <v>48</v>
      </c>
      <c r="P2163" s="8">
        <f t="shared" si="167"/>
        <v>23440</v>
      </c>
      <c r="Q2163" s="8">
        <f t="shared" si="168"/>
        <v>2536</v>
      </c>
      <c r="R2163" s="2" t="s">
        <v>28</v>
      </c>
      <c r="S2163" s="24">
        <f t="shared" si="169"/>
        <v>0.05</v>
      </c>
    </row>
    <row r="2164" spans="1:19" x14ac:dyDescent="0.25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>VLOOKUP(F2164,'Customer Info'!$A:$B,2,0)</f>
        <v>Brad</v>
      </c>
      <c r="H2164" s="6" t="str">
        <f>VLOOKUP(F2164,'Customer Info'!$A$1:$C$501,3,0)</f>
        <v>Thomas</v>
      </c>
      <c r="I2164" s="6" t="str">
        <f>VLOOKUP(F2164,Customer,5,0)</f>
        <v>Udaipur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305</v>
      </c>
      <c r="O2164" s="2">
        <v>10</v>
      </c>
      <c r="P2164" s="8">
        <f t="shared" si="167"/>
        <v>315</v>
      </c>
      <c r="Q2164" s="8">
        <f t="shared" si="168"/>
        <v>20</v>
      </c>
      <c r="R2164" s="2" t="s">
        <v>28</v>
      </c>
      <c r="S2164" s="24">
        <f t="shared" si="169"/>
        <v>0.02</v>
      </c>
    </row>
    <row r="2165" spans="1:19" x14ac:dyDescent="0.25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>VLOOKUP(F2165,'Customer Info'!$A:$B,2,0)</f>
        <v>Caroline</v>
      </c>
      <c r="H2165" s="6" t="str">
        <f>VLOOKUP(F2165,'Customer Info'!$A$1:$C$501,3,0)</f>
        <v>Jumper</v>
      </c>
      <c r="I2165" s="6" t="str">
        <f>VLOOKUP(F2165,Customer,5,0)</f>
        <v>Xuzhou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15701</v>
      </c>
      <c r="O2165" s="2">
        <v>60</v>
      </c>
      <c r="P2165" s="8">
        <f t="shared" si="167"/>
        <v>15761</v>
      </c>
      <c r="Q2165" s="8">
        <f t="shared" si="168"/>
        <v>1701</v>
      </c>
      <c r="R2165" s="2" t="s">
        <v>50</v>
      </c>
      <c r="S2165" s="24">
        <f t="shared" si="169"/>
        <v>0.05</v>
      </c>
    </row>
    <row r="2166" spans="1:19" x14ac:dyDescent="0.25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>VLOOKUP(F2166,'Customer Info'!$A:$B,2,0)</f>
        <v>Neil</v>
      </c>
      <c r="H2166" s="6" t="str">
        <f>VLOOKUP(F2166,'Customer Info'!$A$1:$C$501,3,0)</f>
        <v>Franzšsisch</v>
      </c>
      <c r="I2166" s="6" t="str">
        <f>VLOOKUP(F2166,Customer,5,0)</f>
        <v>Mount Isa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195475</v>
      </c>
      <c r="O2166" s="2">
        <v>77</v>
      </c>
      <c r="P2166" s="8">
        <f t="shared" si="167"/>
        <v>195552</v>
      </c>
      <c r="Q2166" s="8">
        <f t="shared" si="168"/>
        <v>17895</v>
      </c>
      <c r="R2166" s="2" t="s">
        <v>50</v>
      </c>
      <c r="S2166" s="24">
        <f t="shared" si="169"/>
        <v>0.12</v>
      </c>
    </row>
    <row r="2167" spans="1:19" x14ac:dyDescent="0.25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>VLOOKUP(F2167,'Customer Info'!$A:$B,2,0)</f>
        <v>Peter</v>
      </c>
      <c r="H2167" s="6" t="str">
        <f>VLOOKUP(F2167,'Customer Info'!$A$1:$C$501,3,0)</f>
        <v>BŸhler</v>
      </c>
      <c r="I2167" s="6" t="str">
        <f>VLOOKUP(F2167,Customer,5,0)</f>
        <v>Wolfsburg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2808</v>
      </c>
      <c r="O2167" s="2">
        <v>32</v>
      </c>
      <c r="P2167" s="8">
        <f t="shared" si="167"/>
        <v>2840</v>
      </c>
      <c r="Q2167" s="8">
        <f t="shared" si="168"/>
        <v>134</v>
      </c>
      <c r="R2167" s="2" t="s">
        <v>28</v>
      </c>
      <c r="S2167" s="24">
        <f t="shared" si="169"/>
        <v>0.02</v>
      </c>
    </row>
    <row r="2168" spans="1:19" x14ac:dyDescent="0.25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>VLOOKUP(F2168,'Customer Info'!$A:$B,2,0)</f>
        <v>Todd</v>
      </c>
      <c r="H2168" s="6" t="str">
        <f>VLOOKUP(F2168,'Customer Info'!$A$1:$C$501,3,0)</f>
        <v>Sumrall</v>
      </c>
      <c r="I2168" s="6" t="str">
        <f>VLOOKUP(F2168,Customer,5,0)</f>
        <v>Yangzhou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4808</v>
      </c>
      <c r="O2168" s="2">
        <v>79</v>
      </c>
      <c r="P2168" s="8">
        <f t="shared" si="167"/>
        <v>4887</v>
      </c>
      <c r="Q2168" s="8">
        <f t="shared" si="168"/>
        <v>355</v>
      </c>
      <c r="R2168" s="2" t="s">
        <v>28</v>
      </c>
      <c r="S2168" s="24">
        <f t="shared" si="169"/>
        <v>0.02</v>
      </c>
    </row>
    <row r="2169" spans="1:19" x14ac:dyDescent="0.25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>VLOOKUP(F2169,'Customer Info'!$A:$B,2,0)</f>
        <v>Jennifer</v>
      </c>
      <c r="H2169" s="6" t="str">
        <f>VLOOKUP(F2169,'Customer Info'!$A$1:$C$501,3,0)</f>
        <v>Halladay</v>
      </c>
      <c r="I2169" s="6" t="str">
        <f>VLOOKUP(F2169,Customer,5,0)</f>
        <v>Bielefeld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52738</v>
      </c>
      <c r="O2169" s="2">
        <v>52</v>
      </c>
      <c r="P2169" s="8">
        <f t="shared" si="167"/>
        <v>52790</v>
      </c>
      <c r="Q2169" s="8">
        <f t="shared" si="168"/>
        <v>2996</v>
      </c>
      <c r="R2169" s="2" t="s">
        <v>28</v>
      </c>
      <c r="S2169" s="24">
        <f t="shared" si="169"/>
        <v>0.09</v>
      </c>
    </row>
    <row r="2170" spans="1:19" x14ac:dyDescent="0.25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>VLOOKUP(F2170,'Customer Info'!$A:$B,2,0)</f>
        <v>Muhammed</v>
      </c>
      <c r="H2170" s="6" t="str">
        <f>VLOOKUP(F2170,'Customer Info'!$A$1:$C$501,3,0)</f>
        <v>Lee</v>
      </c>
      <c r="I2170" s="6" t="str">
        <f>VLOOKUP(F2170,Customer,5,0)</f>
        <v>Nellore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1622</v>
      </c>
      <c r="O2170" s="2">
        <v>99</v>
      </c>
      <c r="P2170" s="8">
        <f t="shared" si="167"/>
        <v>1721</v>
      </c>
      <c r="Q2170" s="8">
        <f t="shared" si="168"/>
        <v>62</v>
      </c>
      <c r="R2170" s="2" t="s">
        <v>28</v>
      </c>
      <c r="S2170" s="24">
        <f t="shared" si="169"/>
        <v>0.02</v>
      </c>
    </row>
    <row r="2171" spans="1:19" x14ac:dyDescent="0.25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>VLOOKUP(F2171,'Customer Info'!$A:$B,2,0)</f>
        <v>Steve</v>
      </c>
      <c r="H2171" s="6" t="str">
        <f>VLOOKUP(F2171,'Customer Info'!$A$1:$C$501,3,0)</f>
        <v>Carroll</v>
      </c>
      <c r="I2171" s="6" t="str">
        <f>VLOOKUP(F2171,Customer,5,0)</f>
        <v>Qingdao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3438</v>
      </c>
      <c r="O2171" s="2">
        <v>61</v>
      </c>
      <c r="P2171" s="8">
        <f t="shared" si="167"/>
        <v>3499</v>
      </c>
      <c r="Q2171" s="8">
        <f t="shared" si="168"/>
        <v>255</v>
      </c>
      <c r="R2171" s="2" t="s">
        <v>50</v>
      </c>
      <c r="S2171" s="24">
        <f t="shared" si="169"/>
        <v>0.02</v>
      </c>
    </row>
    <row r="2172" spans="1:19" x14ac:dyDescent="0.25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>VLOOKUP(F2172,'Customer Info'!$A:$B,2,0)</f>
        <v>Ralph</v>
      </c>
      <c r="H2172" s="6" t="str">
        <f>VLOOKUP(F2172,'Customer Info'!$A$1:$C$501,3,0)</f>
        <v>Arnett</v>
      </c>
      <c r="I2172" s="6" t="str">
        <f>VLOOKUP(F2172,Customer,5,0)</f>
        <v>Shenyang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100</v>
      </c>
      <c r="O2172" s="2">
        <v>10</v>
      </c>
      <c r="P2172" s="8">
        <f t="shared" si="167"/>
        <v>110</v>
      </c>
      <c r="Q2172" s="8">
        <f t="shared" si="168"/>
        <v>5</v>
      </c>
      <c r="R2172" s="2" t="s">
        <v>56</v>
      </c>
      <c r="S2172" s="24">
        <f t="shared" si="169"/>
        <v>0.02</v>
      </c>
    </row>
    <row r="2173" spans="1:19" x14ac:dyDescent="0.25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>VLOOKUP(F2173,'Customer Info'!$A:$B,2,0)</f>
        <v>Philisse</v>
      </c>
      <c r="H2173" s="6" t="str">
        <f>VLOOKUP(F2173,'Customer Info'!$A$1:$C$501,3,0)</f>
        <v>Overcash</v>
      </c>
      <c r="I2173" s="6" t="str">
        <f>VLOOKUP(F2173,Customer,5,0)</f>
        <v>Potsdam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167</v>
      </c>
      <c r="O2173" s="2">
        <v>30</v>
      </c>
      <c r="P2173" s="8">
        <f t="shared" si="167"/>
        <v>197</v>
      </c>
      <c r="Q2173" s="8">
        <f t="shared" si="168"/>
        <v>12</v>
      </c>
      <c r="R2173" s="2" t="s">
        <v>50</v>
      </c>
      <c r="S2173" s="24">
        <f t="shared" si="169"/>
        <v>0.02</v>
      </c>
    </row>
    <row r="2174" spans="1:19" x14ac:dyDescent="0.25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>VLOOKUP(F2174,'Customer Info'!$A:$B,2,0)</f>
        <v>Fred</v>
      </c>
      <c r="H2174" s="6" t="str">
        <f>VLOOKUP(F2174,'Customer Info'!$A$1:$C$501,3,0)</f>
        <v>Hopkins</v>
      </c>
      <c r="I2174" s="6" t="str">
        <f>VLOOKUP(F2174,Customer,5,0)</f>
        <v>Sydney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28522</v>
      </c>
      <c r="O2174" s="2">
        <v>58</v>
      </c>
      <c r="P2174" s="8">
        <f t="shared" si="167"/>
        <v>28580</v>
      </c>
      <c r="Q2174" s="8">
        <f t="shared" si="168"/>
        <v>2138</v>
      </c>
      <c r="R2174" s="2" t="s">
        <v>28</v>
      </c>
      <c r="S2174" s="24">
        <f t="shared" si="169"/>
        <v>7.0000000000000007E-2</v>
      </c>
    </row>
    <row r="2175" spans="1:19" x14ac:dyDescent="0.25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>VLOOKUP(F2175,'Customer Info'!$A:$B,2,0)</f>
        <v>Michael</v>
      </c>
      <c r="H2175" s="6" t="str">
        <f>VLOOKUP(F2175,'Customer Info'!$A$1:$C$501,3,0)</f>
        <v>Nguyen</v>
      </c>
      <c r="I2175" s="6" t="str">
        <f>VLOOKUP(F2175,Customer,5,0)</f>
        <v>Berlin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935</v>
      </c>
      <c r="O2175" s="2">
        <v>30</v>
      </c>
      <c r="P2175" s="8">
        <f t="shared" si="167"/>
        <v>965</v>
      </c>
      <c r="Q2175" s="8">
        <f t="shared" si="168"/>
        <v>55</v>
      </c>
      <c r="R2175" s="2" t="s">
        <v>28</v>
      </c>
      <c r="S2175" s="24">
        <f t="shared" si="169"/>
        <v>0.02</v>
      </c>
    </row>
    <row r="2176" spans="1:19" x14ac:dyDescent="0.25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>VLOOKUP(F2176,'Customer Info'!$A:$B,2,0)</f>
        <v>Valerie</v>
      </c>
      <c r="H2176" s="6" t="str">
        <f>VLOOKUP(F2176,'Customer Info'!$A$1:$C$501,3,0)</f>
        <v>Takahito</v>
      </c>
      <c r="I2176" s="6" t="str">
        <f>VLOOKUP(F2176,Customer,5,0)</f>
        <v>Surat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576</v>
      </c>
      <c r="O2176" s="2">
        <v>30</v>
      </c>
      <c r="P2176" s="8">
        <f t="shared" si="167"/>
        <v>606</v>
      </c>
      <c r="Q2176" s="8">
        <f t="shared" si="168"/>
        <v>44</v>
      </c>
      <c r="R2176" s="2" t="s">
        <v>26</v>
      </c>
      <c r="S2176" s="24">
        <f t="shared" si="169"/>
        <v>0.02</v>
      </c>
    </row>
    <row r="2177" spans="1:19" x14ac:dyDescent="0.25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>VLOOKUP(F2177,'Customer Info'!$A:$B,2,0)</f>
        <v>Eugene</v>
      </c>
      <c r="H2177" s="6" t="str">
        <f>VLOOKUP(F2177,'Customer Info'!$A$1:$C$501,3,0)</f>
        <v>Barchas</v>
      </c>
      <c r="I2177" s="6" t="str">
        <f>VLOOKUP(F2177,Customer,5,0)</f>
        <v>Aksu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1336</v>
      </c>
      <c r="O2177" s="2">
        <v>30</v>
      </c>
      <c r="P2177" s="8">
        <f t="shared" si="167"/>
        <v>1366</v>
      </c>
      <c r="Q2177" s="8">
        <f t="shared" si="168"/>
        <v>96</v>
      </c>
      <c r="R2177" s="2" t="s">
        <v>28</v>
      </c>
      <c r="S2177" s="24">
        <f t="shared" si="169"/>
        <v>0.02</v>
      </c>
    </row>
    <row r="2178" spans="1:19" x14ac:dyDescent="0.25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>VLOOKUP(F2178,'Customer Info'!$A:$B,2,0)</f>
        <v>Robert</v>
      </c>
      <c r="H2178" s="6" t="str">
        <f>VLOOKUP(F2178,'Customer Info'!$A$1:$C$501,3,0)</f>
        <v>Dilbeck</v>
      </c>
      <c r="I2178" s="6" t="str">
        <f>VLOOKUP(F2178,Customer,5,0)</f>
        <v>Bihar Sharif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300</v>
      </c>
      <c r="O2178" s="2">
        <v>10</v>
      </c>
      <c r="P2178" s="8">
        <f t="shared" si="167"/>
        <v>310</v>
      </c>
      <c r="Q2178" s="8">
        <f t="shared" si="168"/>
        <v>20</v>
      </c>
      <c r="R2178" s="2" t="s">
        <v>28</v>
      </c>
      <c r="S2178" s="24">
        <f t="shared" si="169"/>
        <v>0.02</v>
      </c>
    </row>
    <row r="2179" spans="1:19" x14ac:dyDescent="0.25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>VLOOKUP(F2179,'Customer Info'!$A:$B,2,0)</f>
        <v>Jill</v>
      </c>
      <c r="H2179" s="6" t="str">
        <f>VLOOKUP(F2179,'Customer Info'!$A$1:$C$501,3,0)</f>
        <v>Stevenson</v>
      </c>
      <c r="I2179" s="6" t="str">
        <f>VLOOKUP(F2179,Customer,5,0)</f>
        <v>Bengbu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2681</v>
      </c>
      <c r="O2179" s="2">
        <v>57</v>
      </c>
      <c r="P2179" s="8">
        <f t="shared" si="167"/>
        <v>2738</v>
      </c>
      <c r="Q2179" s="8">
        <f t="shared" si="168"/>
        <v>223</v>
      </c>
      <c r="R2179" s="2" t="s">
        <v>28</v>
      </c>
      <c r="S2179" s="24">
        <f t="shared" si="169"/>
        <v>0.02</v>
      </c>
    </row>
    <row r="2180" spans="1:19" x14ac:dyDescent="0.25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>VLOOKUP(F2180,'Customer Info'!$A:$B,2,0)</f>
        <v>Alejandro</v>
      </c>
      <c r="H2180" s="6" t="str">
        <f>VLOOKUP(F2180,'Customer Info'!$A$1:$C$501,3,0)</f>
        <v>Grove</v>
      </c>
      <c r="I2180" s="6" t="str">
        <f>VLOOKUP(F2180,Customer,5,0)</f>
        <v>Whyalla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25485</v>
      </c>
      <c r="O2180" s="2">
        <v>79</v>
      </c>
      <c r="P2180" s="8">
        <f t="shared" si="167"/>
        <v>25564</v>
      </c>
      <c r="Q2180" s="8">
        <f t="shared" si="168"/>
        <v>2544</v>
      </c>
      <c r="R2180" s="2" t="s">
        <v>28</v>
      </c>
      <c r="S2180" s="24">
        <f t="shared" si="169"/>
        <v>7.0000000000000007E-2</v>
      </c>
    </row>
    <row r="2181" spans="1:19" x14ac:dyDescent="0.25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>VLOOKUP(F2181,'Customer Info'!$A:$B,2,0)</f>
        <v>Roland</v>
      </c>
      <c r="H2181" s="6" t="str">
        <f>VLOOKUP(F2181,'Customer Info'!$A$1:$C$501,3,0)</f>
        <v>Murray</v>
      </c>
      <c r="I2181" s="6" t="str">
        <f>VLOOKUP(F2181,Customer,5,0)</f>
        <v>Frankfurt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3306</v>
      </c>
      <c r="O2181" s="2">
        <v>68</v>
      </c>
      <c r="P2181" s="8">
        <f t="shared" si="167"/>
        <v>3374</v>
      </c>
      <c r="Q2181" s="8">
        <f t="shared" si="168"/>
        <v>186</v>
      </c>
      <c r="R2181" s="2" t="s">
        <v>28</v>
      </c>
      <c r="S2181" s="24">
        <f t="shared" si="169"/>
        <v>0.02</v>
      </c>
    </row>
    <row r="2182" spans="1:19" x14ac:dyDescent="0.25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>VLOOKUP(F2182,'Customer Info'!$A:$B,2,0)</f>
        <v>Dorothy</v>
      </c>
      <c r="H2182" s="6" t="str">
        <f>VLOOKUP(F2182,'Customer Info'!$A$1:$C$501,3,0)</f>
        <v>Wardle</v>
      </c>
      <c r="I2182" s="6" t="str">
        <f>VLOOKUP(F2182,Customer,5,0)</f>
        <v>Sydney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7620</v>
      </c>
      <c r="O2182" s="2">
        <v>48</v>
      </c>
      <c r="P2182" s="8">
        <f t="shared" si="167"/>
        <v>7668</v>
      </c>
      <c r="Q2182" s="8">
        <f t="shared" si="168"/>
        <v>429</v>
      </c>
      <c r="R2182" s="2" t="s">
        <v>28</v>
      </c>
      <c r="S2182" s="24">
        <f t="shared" si="169"/>
        <v>0.05</v>
      </c>
    </row>
    <row r="2183" spans="1:19" x14ac:dyDescent="0.25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>VLOOKUP(F2183,'Customer Info'!$A:$B,2,0)</f>
        <v>Eugene</v>
      </c>
      <c r="H2183" s="6" t="str">
        <f>VLOOKUP(F2183,'Customer Info'!$A$1:$C$501,3,0)</f>
        <v>Barchas</v>
      </c>
      <c r="I2183" s="6" t="str">
        <f>VLOOKUP(F2183,Customer,5,0)</f>
        <v>Aksu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13475</v>
      </c>
      <c r="O2183" s="2">
        <v>43</v>
      </c>
      <c r="P2183" s="8">
        <f t="shared" si="167"/>
        <v>13518</v>
      </c>
      <c r="Q2183" s="8">
        <f t="shared" si="168"/>
        <v>637</v>
      </c>
      <c r="R2183" s="2" t="s">
        <v>26</v>
      </c>
      <c r="S2183" s="24">
        <f t="shared" si="169"/>
        <v>0.05</v>
      </c>
    </row>
    <row r="2184" spans="1:19" x14ac:dyDescent="0.25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>VLOOKUP(F2184,'Customer Info'!$A:$B,2,0)</f>
        <v>Thais</v>
      </c>
      <c r="H2184" s="6" t="str">
        <f>VLOOKUP(F2184,'Customer Info'!$A$1:$C$501,3,0)</f>
        <v>Sissman</v>
      </c>
      <c r="I2184" s="6" t="str">
        <f>VLOOKUP(F2184,Customer,5,0)</f>
        <v>Essen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8448</v>
      </c>
      <c r="O2184" s="2">
        <v>76</v>
      </c>
      <c r="P2184" s="8">
        <f t="shared" si="167"/>
        <v>8524</v>
      </c>
      <c r="Q2184" s="8">
        <f t="shared" si="168"/>
        <v>626</v>
      </c>
      <c r="R2184" s="2" t="s">
        <v>28</v>
      </c>
      <c r="S2184" s="24">
        <f t="shared" si="169"/>
        <v>0.05</v>
      </c>
    </row>
    <row r="2185" spans="1:19" x14ac:dyDescent="0.25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>VLOOKUP(F2185,'Customer Info'!$A:$B,2,0)</f>
        <v>Claire</v>
      </c>
      <c r="H2185" s="6" t="str">
        <f>VLOOKUP(F2185,'Customer Info'!$A$1:$C$501,3,0)</f>
        <v>Gute</v>
      </c>
      <c r="I2185" s="6" t="str">
        <f>VLOOKUP(F2185,Customer,5,0)</f>
        <v>Shenzhen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</v>
      </c>
      <c r="O2185" s="2">
        <v>73</v>
      </c>
      <c r="P2185" s="8">
        <f t="shared" si="167"/>
        <v>4559</v>
      </c>
      <c r="Q2185" s="8">
        <f t="shared" si="168"/>
        <v>486</v>
      </c>
      <c r="R2185" s="2" t="s">
        <v>50</v>
      </c>
      <c r="S2185" s="24">
        <f t="shared" si="169"/>
        <v>0.02</v>
      </c>
    </row>
    <row r="2186" spans="1:19" x14ac:dyDescent="0.25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>VLOOKUP(F2186,'Customer Info'!$A:$B,2,0)</f>
        <v>Allen</v>
      </c>
      <c r="H2186" s="6" t="str">
        <f>VLOOKUP(F2186,'Customer Info'!$A$1:$C$501,3,0)</f>
        <v>Rosenblatt</v>
      </c>
      <c r="I2186" s="6" t="str">
        <f>VLOOKUP(F2186,Customer,5,0)</f>
        <v>Chaozhou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6290</v>
      </c>
      <c r="O2186" s="2">
        <v>96</v>
      </c>
      <c r="P2186" s="8">
        <f t="shared" si="167"/>
        <v>6386</v>
      </c>
      <c r="Q2186" s="8">
        <f t="shared" si="168"/>
        <v>240</v>
      </c>
      <c r="R2186" s="2" t="s">
        <v>28</v>
      </c>
      <c r="S2186" s="24">
        <f t="shared" si="169"/>
        <v>0.05</v>
      </c>
    </row>
    <row r="2187" spans="1:19" x14ac:dyDescent="0.25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>VLOOKUP(F2187,'Customer Info'!$A:$B,2,0)</f>
        <v>Bill</v>
      </c>
      <c r="H2187" s="6" t="str">
        <f>VLOOKUP(F2187,'Customer Info'!$A$1:$C$501,3,0)</f>
        <v>Eplett</v>
      </c>
      <c r="I2187" s="6" t="str">
        <f>VLOOKUP(F2187,Customer,5,0)</f>
        <v>Newcastle</v>
      </c>
      <c r="J2187" s="2">
        <v>8617</v>
      </c>
      <c r="K2187" s="2">
        <v>7900</v>
      </c>
      <c r="L2187" s="2">
        <v>1</v>
      </c>
      <c r="M2187" s="7">
        <f t="shared" ref="M2187:M2250" si="170">K2187*L2187</f>
        <v>7900</v>
      </c>
      <c r="N2187" s="7">
        <f t="shared" ref="N2187:N2250" si="171">J2187*L2187</f>
        <v>8617</v>
      </c>
      <c r="O2187" s="2">
        <v>65</v>
      </c>
      <c r="P2187" s="8">
        <f t="shared" ref="P2187:P2250" si="172">N2187+O2187</f>
        <v>8682</v>
      </c>
      <c r="Q2187" s="8">
        <f t="shared" ref="Q2187:Q2250" si="173">N2187-M2187</f>
        <v>717</v>
      </c>
      <c r="R2187" s="2" t="s">
        <v>50</v>
      </c>
      <c r="S2187" s="24">
        <f t="shared" ref="S2187:S2250" si="174">VLOOKUP(N2187,$T$1:$U$7,2,TRUE)</f>
        <v>0.05</v>
      </c>
    </row>
    <row r="2188" spans="1:19" x14ac:dyDescent="0.25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>VLOOKUP(F2188,'Customer Info'!$A:$B,2,0)</f>
        <v>Laurel</v>
      </c>
      <c r="H2188" s="6" t="str">
        <f>VLOOKUP(F2188,'Customer Info'!$A$1:$C$501,3,0)</f>
        <v>Beltran</v>
      </c>
      <c r="I2188" s="6" t="str">
        <f>VLOOKUP(F2188,Customer,5,0)</f>
        <v>Wuppertal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8">
        <f t="shared" si="172"/>
        <v>33541</v>
      </c>
      <c r="Q2188" s="8">
        <f t="shared" si="173"/>
        <v>1272</v>
      </c>
      <c r="R2188" s="2" t="s">
        <v>28</v>
      </c>
      <c r="S2188" s="24">
        <f t="shared" si="174"/>
        <v>7.0000000000000007E-2</v>
      </c>
    </row>
    <row r="2189" spans="1:19" x14ac:dyDescent="0.25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>VLOOKUP(F2189,'Customer Info'!$A:$B,2,0)</f>
        <v>Bart</v>
      </c>
      <c r="H2189" s="6" t="str">
        <f>VLOOKUP(F2189,'Customer Info'!$A$1:$C$501,3,0)</f>
        <v>Folk</v>
      </c>
      <c r="I2189" s="6" t="str">
        <f>VLOOKUP(F2189,Customer,5,0)</f>
        <v>Melbourne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8">
        <f t="shared" si="172"/>
        <v>13396</v>
      </c>
      <c r="Q2189" s="8">
        <f t="shared" si="173"/>
        <v>256</v>
      </c>
      <c r="R2189" s="2" t="s">
        <v>28</v>
      </c>
      <c r="S2189" s="24">
        <f t="shared" si="174"/>
        <v>0.05</v>
      </c>
    </row>
    <row r="2190" spans="1:19" x14ac:dyDescent="0.25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>VLOOKUP(F2190,'Customer Info'!$A:$B,2,0)</f>
        <v>Ralph</v>
      </c>
      <c r="H2190" s="6" t="str">
        <f>VLOOKUP(F2190,'Customer Info'!$A$1:$C$501,3,0)</f>
        <v>Kennedy</v>
      </c>
      <c r="I2190" s="6" t="str">
        <f>VLOOKUP(F2190,Customer,5,0)</f>
        <v>Perth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8">
        <f t="shared" si="172"/>
        <v>12123</v>
      </c>
      <c r="Q2190" s="8">
        <f t="shared" si="173"/>
        <v>768</v>
      </c>
      <c r="R2190" s="2" t="s">
        <v>28</v>
      </c>
      <c r="S2190" s="24">
        <f t="shared" si="174"/>
        <v>0.05</v>
      </c>
    </row>
    <row r="2191" spans="1:19" x14ac:dyDescent="0.25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>VLOOKUP(F2191,'Customer Info'!$A:$B,2,0)</f>
        <v>Helen</v>
      </c>
      <c r="H2191" s="6" t="str">
        <f>VLOOKUP(F2191,'Customer Info'!$A$1:$C$501,3,0)</f>
        <v>Abelman</v>
      </c>
      <c r="I2191" s="6" t="str">
        <f>VLOOKUP(F2191,Customer,5,0)</f>
        <v>Munich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8">
        <f t="shared" si="172"/>
        <v>5938</v>
      </c>
      <c r="Q2191" s="8">
        <f t="shared" si="173"/>
        <v>336</v>
      </c>
      <c r="R2191" s="2" t="s">
        <v>28</v>
      </c>
      <c r="S2191" s="24">
        <f t="shared" si="174"/>
        <v>0.05</v>
      </c>
    </row>
    <row r="2192" spans="1:19" x14ac:dyDescent="0.25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>VLOOKUP(F2192,'Customer Info'!$A:$B,2,0)</f>
        <v>Anthony</v>
      </c>
      <c r="H2192" s="6" t="str">
        <f>VLOOKUP(F2192,'Customer Info'!$A$1:$C$501,3,0)</f>
        <v>O'Donnell</v>
      </c>
      <c r="I2192" s="6" t="str">
        <f>VLOOKUP(F2192,Customer,5,0)</f>
        <v>Berlin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404</v>
      </c>
      <c r="O2192" s="2">
        <v>30</v>
      </c>
      <c r="P2192" s="8">
        <f t="shared" si="172"/>
        <v>434</v>
      </c>
      <c r="Q2192" s="8">
        <f t="shared" si="173"/>
        <v>30</v>
      </c>
      <c r="R2192" s="2" t="s">
        <v>50</v>
      </c>
      <c r="S2192" s="24">
        <f t="shared" si="174"/>
        <v>0.02</v>
      </c>
    </row>
    <row r="2193" spans="1:19" x14ac:dyDescent="0.25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>VLOOKUP(F2193,'Customer Info'!$A:$B,2,0)</f>
        <v>Sung</v>
      </c>
      <c r="H2193" s="6" t="str">
        <f>VLOOKUP(F2193,'Customer Info'!$A$1:$C$501,3,0)</f>
        <v>Shariari</v>
      </c>
      <c r="I2193" s="6" t="str">
        <f>VLOOKUP(F2193,Customer,5,0)</f>
        <v>Solapur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24561</v>
      </c>
      <c r="O2193" s="2">
        <v>62</v>
      </c>
      <c r="P2193" s="8">
        <f t="shared" si="172"/>
        <v>24623</v>
      </c>
      <c r="Q2193" s="8">
        <f t="shared" si="173"/>
        <v>1164</v>
      </c>
      <c r="R2193" s="2" t="s">
        <v>26</v>
      </c>
      <c r="S2193" s="24">
        <f t="shared" si="174"/>
        <v>0.05</v>
      </c>
    </row>
    <row r="2194" spans="1:19" x14ac:dyDescent="0.25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>VLOOKUP(F2194,'Customer Info'!$A:$B,2,0)</f>
        <v>Jack</v>
      </c>
      <c r="H2194" s="6" t="str">
        <f>VLOOKUP(F2194,'Customer Info'!$A$1:$C$501,3,0)</f>
        <v>O'Briant</v>
      </c>
      <c r="I2194" s="6" t="str">
        <f>VLOOKUP(F2194,Customer,5,0)</f>
        <v>Jammu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13100</v>
      </c>
      <c r="O2194" s="2">
        <v>76</v>
      </c>
      <c r="P2194" s="8">
        <f t="shared" si="172"/>
        <v>13176</v>
      </c>
      <c r="Q2194" s="8">
        <f t="shared" si="173"/>
        <v>740</v>
      </c>
      <c r="R2194" s="2" t="s">
        <v>28</v>
      </c>
      <c r="S2194" s="24">
        <f t="shared" si="174"/>
        <v>0.05</v>
      </c>
    </row>
    <row r="2195" spans="1:19" x14ac:dyDescent="0.25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>VLOOKUP(F2195,'Customer Info'!$A:$B,2,0)</f>
        <v>Deanra</v>
      </c>
      <c r="H2195" s="6" t="str">
        <f>VLOOKUP(F2195,'Customer Info'!$A$1:$C$501,3,0)</f>
        <v>Eno</v>
      </c>
      <c r="I2195" s="6" t="str">
        <f>VLOOKUP(F2195,Customer,5,0)</f>
        <v>Langen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3717</v>
      </c>
      <c r="O2195" s="2">
        <v>65</v>
      </c>
      <c r="P2195" s="8">
        <f t="shared" si="172"/>
        <v>3782</v>
      </c>
      <c r="Q2195" s="8">
        <f t="shared" si="173"/>
        <v>308</v>
      </c>
      <c r="R2195" s="2" t="s">
        <v>50</v>
      </c>
      <c r="S2195" s="24">
        <f t="shared" si="174"/>
        <v>0.02</v>
      </c>
    </row>
    <row r="2196" spans="1:19" x14ac:dyDescent="0.25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>VLOOKUP(F2196,'Customer Info'!$A:$B,2,0)</f>
        <v>Darrin</v>
      </c>
      <c r="H2196" s="6" t="str">
        <f>VLOOKUP(F2196,'Customer Info'!$A$1:$C$501,3,0)</f>
        <v>Sayre</v>
      </c>
      <c r="I2196" s="6" t="str">
        <f>VLOOKUP(F2196,Customer,5,0)</f>
        <v>Duisburg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10885</v>
      </c>
      <c r="O2196" s="2">
        <v>88</v>
      </c>
      <c r="P2196" s="8">
        <f t="shared" si="172"/>
        <v>10973</v>
      </c>
      <c r="Q2196" s="8">
        <f t="shared" si="173"/>
        <v>615</v>
      </c>
      <c r="R2196" s="2" t="s">
        <v>28</v>
      </c>
      <c r="S2196" s="24">
        <f t="shared" si="174"/>
        <v>0.05</v>
      </c>
    </row>
    <row r="2197" spans="1:19" x14ac:dyDescent="0.25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>VLOOKUP(F2197,'Customer Info'!$A:$B,2,0)</f>
        <v>Barry</v>
      </c>
      <c r="H2197" s="6" t="str">
        <f>VLOOKUP(F2197,'Customer Info'!$A$1:$C$501,3,0)</f>
        <v>Blumstein</v>
      </c>
      <c r="I2197" s="6" t="str">
        <f>VLOOKUP(F2197,Customer,5,0)</f>
        <v>Gold Coast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28014</v>
      </c>
      <c r="O2197" s="2">
        <v>47</v>
      </c>
      <c r="P2197" s="8">
        <f t="shared" si="172"/>
        <v>28061</v>
      </c>
      <c r="Q2197" s="8">
        <f t="shared" si="173"/>
        <v>1806</v>
      </c>
      <c r="R2197" s="2" t="s">
        <v>50</v>
      </c>
      <c r="S2197" s="24">
        <f t="shared" si="174"/>
        <v>7.0000000000000007E-2</v>
      </c>
    </row>
    <row r="2198" spans="1:19" x14ac:dyDescent="0.25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>VLOOKUP(F2198,'Customer Info'!$A:$B,2,0)</f>
        <v>Caroline</v>
      </c>
      <c r="H2198" s="6" t="str">
        <f>VLOOKUP(F2198,'Customer Info'!$A$1:$C$501,3,0)</f>
        <v>Jumper</v>
      </c>
      <c r="I2198" s="6" t="str">
        <f>VLOOKUP(F2198,Customer,5,0)</f>
        <v>Xuzhou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9714</v>
      </c>
      <c r="O2198" s="2">
        <v>44</v>
      </c>
      <c r="P2198" s="8">
        <f t="shared" si="172"/>
        <v>9758</v>
      </c>
      <c r="Q2198" s="8">
        <f t="shared" si="173"/>
        <v>1062</v>
      </c>
      <c r="R2198" s="2" t="s">
        <v>50</v>
      </c>
      <c r="S2198" s="24">
        <f t="shared" si="174"/>
        <v>0.05</v>
      </c>
    </row>
    <row r="2199" spans="1:19" x14ac:dyDescent="0.25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>VLOOKUP(F2199,'Customer Info'!$A:$B,2,0)</f>
        <v>Victor</v>
      </c>
      <c r="H2199" s="6" t="str">
        <f>VLOOKUP(F2199,'Customer Info'!$A$1:$C$501,3,0)</f>
        <v>Preis</v>
      </c>
      <c r="I2199" s="6" t="str">
        <f>VLOOKUP(F2199,Customer,5,0)</f>
        <v>Melbourne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626</v>
      </c>
      <c r="O2199" s="2">
        <v>55</v>
      </c>
      <c r="P2199" s="8">
        <f t="shared" si="172"/>
        <v>681</v>
      </c>
      <c r="Q2199" s="8">
        <f t="shared" si="173"/>
        <v>67</v>
      </c>
      <c r="R2199" s="2" t="s">
        <v>50</v>
      </c>
      <c r="S2199" s="24">
        <f t="shared" si="174"/>
        <v>0.02</v>
      </c>
    </row>
    <row r="2200" spans="1:19" x14ac:dyDescent="0.25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>VLOOKUP(F2200,'Customer Info'!$A:$B,2,0)</f>
        <v>Harold</v>
      </c>
      <c r="H2200" s="6" t="str">
        <f>VLOOKUP(F2200,'Customer Info'!$A$1:$C$501,3,0)</f>
        <v>Dahlen</v>
      </c>
      <c r="I2200" s="6" t="str">
        <f>VLOOKUP(F2200,Customer,5,0)</f>
        <v>Melbourne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7359</v>
      </c>
      <c r="O2200" s="2">
        <v>80</v>
      </c>
      <c r="P2200" s="8">
        <f t="shared" si="172"/>
        <v>7439</v>
      </c>
      <c r="Q2200" s="8">
        <f t="shared" si="173"/>
        <v>351</v>
      </c>
      <c r="R2200" s="2" t="s">
        <v>50</v>
      </c>
      <c r="S2200" s="24">
        <f t="shared" si="174"/>
        <v>0.05</v>
      </c>
    </row>
    <row r="2201" spans="1:19" x14ac:dyDescent="0.25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>VLOOKUP(F2201,'Customer Info'!$A:$B,2,0)</f>
        <v>Thea</v>
      </c>
      <c r="H2201" s="6" t="str">
        <f>VLOOKUP(F2201,'Customer Info'!$A$1:$C$501,3,0)</f>
        <v>Hudgings</v>
      </c>
      <c r="I2201" s="6" t="str">
        <f>VLOOKUP(F2201,Customer,5,0)</f>
        <v>Anshan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4684</v>
      </c>
      <c r="O2201" s="2">
        <v>91</v>
      </c>
      <c r="P2201" s="8">
        <f t="shared" si="172"/>
        <v>4775</v>
      </c>
      <c r="Q2201" s="8">
        <f t="shared" si="173"/>
        <v>264</v>
      </c>
      <c r="R2201" s="2" t="s">
        <v>28</v>
      </c>
      <c r="S2201" s="24">
        <f t="shared" si="174"/>
        <v>0.02</v>
      </c>
    </row>
    <row r="2202" spans="1:19" x14ac:dyDescent="0.25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>VLOOKUP(F2202,'Customer Info'!$A:$B,2,0)</f>
        <v>Thais</v>
      </c>
      <c r="H2202" s="6" t="str">
        <f>VLOOKUP(F2202,'Customer Info'!$A$1:$C$501,3,0)</f>
        <v>Sissman</v>
      </c>
      <c r="I2202" s="6" t="str">
        <f>VLOOKUP(F2202,Customer,5,0)</f>
        <v>Essen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12992</v>
      </c>
      <c r="O2202" s="2">
        <v>58</v>
      </c>
      <c r="P2202" s="8">
        <f t="shared" si="172"/>
        <v>13050</v>
      </c>
      <c r="Q2202" s="8">
        <f t="shared" si="173"/>
        <v>852</v>
      </c>
      <c r="R2202" s="2" t="s">
        <v>50</v>
      </c>
      <c r="S2202" s="24">
        <f t="shared" si="174"/>
        <v>0.05</v>
      </c>
    </row>
    <row r="2203" spans="1:19" x14ac:dyDescent="0.25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>VLOOKUP(F2203,'Customer Info'!$A:$B,2,0)</f>
        <v>Tamara</v>
      </c>
      <c r="H2203" s="6" t="str">
        <f>VLOOKUP(F2203,'Customer Info'!$A$1:$C$501,3,0)</f>
        <v>Chand</v>
      </c>
      <c r="I2203" s="6" t="str">
        <f>VLOOKUP(F2203,Customer,5,0)</f>
        <v>Yogyakarta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4054</v>
      </c>
      <c r="O2203" s="2">
        <v>69</v>
      </c>
      <c r="P2203" s="8">
        <f t="shared" si="172"/>
        <v>4123</v>
      </c>
      <c r="Q2203" s="8">
        <f t="shared" si="173"/>
        <v>228</v>
      </c>
      <c r="R2203" s="2" t="s">
        <v>28</v>
      </c>
      <c r="S2203" s="24">
        <f t="shared" si="174"/>
        <v>0.02</v>
      </c>
    </row>
    <row r="2204" spans="1:19" x14ac:dyDescent="0.25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>VLOOKUP(F2204,'Customer Info'!$A:$B,2,0)</f>
        <v>Philisse</v>
      </c>
      <c r="H2204" s="6" t="str">
        <f>VLOOKUP(F2204,'Customer Info'!$A$1:$C$501,3,0)</f>
        <v>Overcash</v>
      </c>
      <c r="I2204" s="6" t="str">
        <f>VLOOKUP(F2204,Customer,5,0)</f>
        <v>Devonport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13230</v>
      </c>
      <c r="O2204" s="2">
        <v>43</v>
      </c>
      <c r="P2204" s="8">
        <f t="shared" si="172"/>
        <v>13273</v>
      </c>
      <c r="Q2204" s="8">
        <f t="shared" si="173"/>
        <v>864</v>
      </c>
      <c r="R2204" s="2" t="s">
        <v>50</v>
      </c>
      <c r="S2204" s="24">
        <f t="shared" si="174"/>
        <v>0.05</v>
      </c>
    </row>
    <row r="2205" spans="1:19" x14ac:dyDescent="0.25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>VLOOKUP(F2205,'Customer Info'!$A:$B,2,0)</f>
        <v>Claire</v>
      </c>
      <c r="H2205" s="6" t="str">
        <f>VLOOKUP(F2205,'Customer Info'!$A$1:$C$501,3,0)</f>
        <v>Gute</v>
      </c>
      <c r="I2205" s="6" t="str">
        <f>VLOOKUP(F2205,Customer,5,0)</f>
        <v>Worms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7350</v>
      </c>
      <c r="O2205" s="2">
        <v>78</v>
      </c>
      <c r="P2205" s="8">
        <f t="shared" si="172"/>
        <v>7428</v>
      </c>
      <c r="Q2205" s="8">
        <f t="shared" si="173"/>
        <v>607</v>
      </c>
      <c r="R2205" s="2" t="s">
        <v>50</v>
      </c>
      <c r="S2205" s="24">
        <f t="shared" si="174"/>
        <v>0.05</v>
      </c>
    </row>
    <row r="2206" spans="1:19" x14ac:dyDescent="0.25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>VLOOKUP(F2206,'Customer Info'!$A:$B,2,0)</f>
        <v>Stewart</v>
      </c>
      <c r="H2206" s="6" t="str">
        <f>VLOOKUP(F2206,'Customer Info'!$A$1:$C$501,3,0)</f>
        <v>Visinsky</v>
      </c>
      <c r="I2206" s="6" t="str">
        <f>VLOOKUP(F2206,Customer,5,0)</f>
        <v>Shenyang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11428</v>
      </c>
      <c r="O2206" s="2">
        <v>44</v>
      </c>
      <c r="P2206" s="8">
        <f t="shared" si="172"/>
        <v>11472</v>
      </c>
      <c r="Q2206" s="8">
        <f t="shared" si="173"/>
        <v>940</v>
      </c>
      <c r="R2206" s="2" t="s">
        <v>50</v>
      </c>
      <c r="S2206" s="24">
        <f t="shared" si="174"/>
        <v>0.05</v>
      </c>
    </row>
    <row r="2207" spans="1:19" x14ac:dyDescent="0.25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>VLOOKUP(F2207,'Customer Info'!$A:$B,2,0)</f>
        <v>Cari</v>
      </c>
      <c r="H2207" s="6" t="str">
        <f>VLOOKUP(F2207,'Customer Info'!$A$1:$C$501,3,0)</f>
        <v>Sayre</v>
      </c>
      <c r="I2207" s="6" t="str">
        <f>VLOOKUP(F2207,Customer,5,0)</f>
        <v>Recklinghausen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3152</v>
      </c>
      <c r="O2207" s="2">
        <v>92</v>
      </c>
      <c r="P2207" s="8">
        <f t="shared" si="172"/>
        <v>3244</v>
      </c>
      <c r="Q2207" s="8">
        <f t="shared" si="173"/>
        <v>90</v>
      </c>
      <c r="R2207" s="2" t="s">
        <v>26</v>
      </c>
      <c r="S2207" s="24">
        <f t="shared" si="174"/>
        <v>0.02</v>
      </c>
    </row>
    <row r="2208" spans="1:19" x14ac:dyDescent="0.25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>VLOOKUP(F2208,'Customer Info'!$A:$B,2,0)</f>
        <v>Thomas</v>
      </c>
      <c r="H2208" s="6" t="str">
        <f>VLOOKUP(F2208,'Customer Info'!$A$1:$C$501,3,0)</f>
        <v>Brumley</v>
      </c>
      <c r="I2208" s="6" t="str">
        <f>VLOOKUP(F2208,Customer,5,0)</f>
        <v>Launceston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52632</v>
      </c>
      <c r="O2208" s="2">
        <v>72</v>
      </c>
      <c r="P2208" s="8">
        <f t="shared" si="172"/>
        <v>52704</v>
      </c>
      <c r="Q2208" s="8">
        <f t="shared" si="173"/>
        <v>5706</v>
      </c>
      <c r="R2208" s="2" t="s">
        <v>28</v>
      </c>
      <c r="S2208" s="24">
        <f t="shared" si="174"/>
        <v>0.09</v>
      </c>
    </row>
    <row r="2209" spans="1:19" x14ac:dyDescent="0.25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>VLOOKUP(F2209,'Customer Info'!$A:$B,2,0)</f>
        <v>John</v>
      </c>
      <c r="H2209" s="6" t="str">
        <f>VLOOKUP(F2209,'Customer Info'!$A$1:$C$501,3,0)</f>
        <v>Grady</v>
      </c>
      <c r="I2209" s="6" t="str">
        <f>VLOOKUP(F2209,Customer,5,0)</f>
        <v>Queanbeyan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4145</v>
      </c>
      <c r="O2209" s="2">
        <v>40</v>
      </c>
      <c r="P2209" s="8">
        <f t="shared" si="172"/>
        <v>4185</v>
      </c>
      <c r="Q2209" s="8">
        <f t="shared" si="173"/>
        <v>340</v>
      </c>
      <c r="R2209" s="2" t="s">
        <v>28</v>
      </c>
      <c r="S2209" s="24">
        <f t="shared" si="174"/>
        <v>0.02</v>
      </c>
    </row>
    <row r="2210" spans="1:19" x14ac:dyDescent="0.25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>VLOOKUP(F2210,'Customer Info'!$A:$B,2,0)</f>
        <v>Scott</v>
      </c>
      <c r="H2210" s="6" t="str">
        <f>VLOOKUP(F2210,'Customer Info'!$A$1:$C$501,3,0)</f>
        <v>Cohen</v>
      </c>
      <c r="I2210" s="6" t="str">
        <f>VLOOKUP(F2210,Customer,5,0)</f>
        <v>Freiburg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243</v>
      </c>
      <c r="O2210" s="2">
        <v>10</v>
      </c>
      <c r="P2210" s="8">
        <f t="shared" si="172"/>
        <v>253</v>
      </c>
      <c r="Q2210" s="8">
        <f t="shared" si="173"/>
        <v>12</v>
      </c>
      <c r="R2210" s="2" t="s">
        <v>28</v>
      </c>
      <c r="S2210" s="24">
        <f t="shared" si="174"/>
        <v>0.02</v>
      </c>
    </row>
    <row r="2211" spans="1:19" x14ac:dyDescent="0.25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>VLOOKUP(F2211,'Customer Info'!$A:$B,2,0)</f>
        <v>John</v>
      </c>
      <c r="H2211" s="6" t="str">
        <f>VLOOKUP(F2211,'Customer Info'!$A$1:$C$501,3,0)</f>
        <v>Grady</v>
      </c>
      <c r="I2211" s="6" t="str">
        <f>VLOOKUP(F2211,Customer,5,0)</f>
        <v>Mianyang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890</v>
      </c>
      <c r="O2211" s="2">
        <v>66</v>
      </c>
      <c r="P2211" s="8">
        <f t="shared" si="172"/>
        <v>956</v>
      </c>
      <c r="Q2211" s="8">
        <f t="shared" si="173"/>
        <v>60</v>
      </c>
      <c r="R2211" s="2" t="s">
        <v>28</v>
      </c>
      <c r="S2211" s="24">
        <f t="shared" si="174"/>
        <v>0.02</v>
      </c>
    </row>
    <row r="2212" spans="1:19" x14ac:dyDescent="0.25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>VLOOKUP(F2212,'Customer Info'!$A:$B,2,0)</f>
        <v>Cari</v>
      </c>
      <c r="H2212" s="6" t="str">
        <f>VLOOKUP(F2212,'Customer Info'!$A$1:$C$501,3,0)</f>
        <v>MacIntyre</v>
      </c>
      <c r="I2212" s="6" t="str">
        <f>VLOOKUP(F2212,Customer,5,0)</f>
        <v>Freiburg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8095</v>
      </c>
      <c r="O2212" s="2">
        <v>60</v>
      </c>
      <c r="P2212" s="8">
        <f t="shared" si="172"/>
        <v>8155</v>
      </c>
      <c r="Q2212" s="8">
        <f t="shared" si="173"/>
        <v>885</v>
      </c>
      <c r="R2212" s="2" t="s">
        <v>26</v>
      </c>
      <c r="S2212" s="24">
        <f t="shared" si="174"/>
        <v>0.05</v>
      </c>
    </row>
    <row r="2213" spans="1:19" x14ac:dyDescent="0.25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>VLOOKUP(F2213,'Customer Info'!$A:$B,2,0)</f>
        <v>MaryBeth</v>
      </c>
      <c r="H2213" s="6" t="str">
        <f>VLOOKUP(F2213,'Customer Info'!$A$1:$C$501,3,0)</f>
        <v>Skach</v>
      </c>
      <c r="I2213" s="6" t="str">
        <f>VLOOKUP(F2213,Customer,5,0)</f>
        <v>Licheng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22992</v>
      </c>
      <c r="O2213" s="2">
        <v>69</v>
      </c>
      <c r="P2213" s="8">
        <f t="shared" si="172"/>
        <v>23061</v>
      </c>
      <c r="Q2213" s="8">
        <f t="shared" si="173"/>
        <v>2328</v>
      </c>
      <c r="R2213" s="2" t="s">
        <v>28</v>
      </c>
      <c r="S2213" s="24">
        <f t="shared" si="174"/>
        <v>0.05</v>
      </c>
    </row>
    <row r="2214" spans="1:19" x14ac:dyDescent="0.25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>VLOOKUP(F2214,'Customer Info'!$A:$B,2,0)</f>
        <v>Troy</v>
      </c>
      <c r="H2214" s="6" t="str">
        <f>VLOOKUP(F2214,'Customer Info'!$A$1:$C$501,3,0)</f>
        <v>Staebel</v>
      </c>
      <c r="I2214" s="6" t="str">
        <f>VLOOKUP(F2214,Customer,5,0)</f>
        <v>Depok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592</v>
      </c>
      <c r="O2214" s="2">
        <v>30</v>
      </c>
      <c r="P2214" s="8">
        <f t="shared" si="172"/>
        <v>622</v>
      </c>
      <c r="Q2214" s="8">
        <f t="shared" si="173"/>
        <v>48</v>
      </c>
      <c r="R2214" s="2" t="s">
        <v>28</v>
      </c>
      <c r="S2214" s="24">
        <f t="shared" si="174"/>
        <v>0.02</v>
      </c>
    </row>
    <row r="2215" spans="1:19" x14ac:dyDescent="0.25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>VLOOKUP(F2215,'Customer Info'!$A:$B,2,0)</f>
        <v>Shirley</v>
      </c>
      <c r="H2215" s="6" t="str">
        <f>VLOOKUP(F2215,'Customer Info'!$A$1:$C$501,3,0)</f>
        <v>Schmidt</v>
      </c>
      <c r="I2215" s="6" t="str">
        <f>VLOOKUP(F2215,Customer,5,0)</f>
        <v>Bijapur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180</v>
      </c>
      <c r="O2215" s="2">
        <v>10</v>
      </c>
      <c r="P2215" s="8">
        <f t="shared" si="172"/>
        <v>190</v>
      </c>
      <c r="Q2215" s="8">
        <f t="shared" si="173"/>
        <v>6</v>
      </c>
      <c r="R2215" s="2" t="s">
        <v>28</v>
      </c>
      <c r="S2215" s="24">
        <f t="shared" si="174"/>
        <v>0.02</v>
      </c>
    </row>
    <row r="2216" spans="1:19" x14ac:dyDescent="0.25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>VLOOKUP(F2216,'Customer Info'!$A:$B,2,0)</f>
        <v>Darren</v>
      </c>
      <c r="H2216" s="6" t="str">
        <f>VLOOKUP(F2216,'Customer Info'!$A$1:$C$501,3,0)</f>
        <v>Powers</v>
      </c>
      <c r="I2216" s="6" t="str">
        <f>VLOOKUP(F2216,Customer,5,0)</f>
        <v>Depok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207</v>
      </c>
      <c r="O2216" s="2">
        <v>10</v>
      </c>
      <c r="P2216" s="8">
        <f t="shared" si="172"/>
        <v>217</v>
      </c>
      <c r="Q2216" s="8">
        <f t="shared" si="173"/>
        <v>15</v>
      </c>
      <c r="R2216" s="2" t="s">
        <v>26</v>
      </c>
      <c r="S2216" s="24">
        <f t="shared" si="174"/>
        <v>0.02</v>
      </c>
    </row>
    <row r="2217" spans="1:19" x14ac:dyDescent="0.25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>VLOOKUP(F2217,'Customer Info'!$A:$B,2,0)</f>
        <v>Charlotte</v>
      </c>
      <c r="H2217" s="6" t="str">
        <f>VLOOKUP(F2217,'Customer Info'!$A$1:$C$501,3,0)</f>
        <v>Melton</v>
      </c>
      <c r="I2217" s="6" t="str">
        <f>VLOOKUP(F2217,Customer,5,0)</f>
        <v>Canberra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2226</v>
      </c>
      <c r="O2217" s="2">
        <v>60</v>
      </c>
      <c r="P2217" s="8">
        <f t="shared" si="172"/>
        <v>2286</v>
      </c>
      <c r="Q2217" s="8">
        <f t="shared" si="173"/>
        <v>146</v>
      </c>
      <c r="R2217" s="2" t="s">
        <v>28</v>
      </c>
      <c r="S2217" s="24">
        <f t="shared" si="174"/>
        <v>0.02</v>
      </c>
    </row>
    <row r="2218" spans="1:19" x14ac:dyDescent="0.25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>VLOOKUP(F2218,'Customer Info'!$A:$B,2,0)</f>
        <v>Philip</v>
      </c>
      <c r="H2218" s="6" t="str">
        <f>VLOOKUP(F2218,'Customer Info'!$A$1:$C$501,3,0)</f>
        <v>Fox</v>
      </c>
      <c r="I2218" s="6" t="str">
        <f>VLOOKUP(F2218,Customer,5,0)</f>
        <v>Remscheid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16086</v>
      </c>
      <c r="O2218" s="2">
        <v>22</v>
      </c>
      <c r="P2218" s="8">
        <f t="shared" si="172"/>
        <v>16108</v>
      </c>
      <c r="Q2218" s="8">
        <f t="shared" si="173"/>
        <v>1338</v>
      </c>
      <c r="R2218" s="2" t="s">
        <v>26</v>
      </c>
      <c r="S2218" s="24">
        <f t="shared" si="174"/>
        <v>0.05</v>
      </c>
    </row>
    <row r="2219" spans="1:19" x14ac:dyDescent="0.25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>VLOOKUP(F2219,'Customer Info'!$A:$B,2,0)</f>
        <v>Ann</v>
      </c>
      <c r="H2219" s="6" t="str">
        <f>VLOOKUP(F2219,'Customer Info'!$A$1:$C$501,3,0)</f>
        <v>Chong</v>
      </c>
      <c r="I2219" s="6" t="str">
        <f>VLOOKUP(F2219,Customer,5,0)</f>
        <v>Sydney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100</v>
      </c>
      <c r="O2219" s="2">
        <v>10</v>
      </c>
      <c r="P2219" s="8">
        <f t="shared" si="172"/>
        <v>110</v>
      </c>
      <c r="Q2219" s="8">
        <f t="shared" si="173"/>
        <v>5</v>
      </c>
      <c r="R2219" s="2" t="s">
        <v>28</v>
      </c>
      <c r="S2219" s="24">
        <f t="shared" si="174"/>
        <v>0.02</v>
      </c>
    </row>
    <row r="2220" spans="1:19" x14ac:dyDescent="0.25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>VLOOKUP(F2220,'Customer Info'!$A:$B,2,0)</f>
        <v>Christy</v>
      </c>
      <c r="H2220" s="6" t="str">
        <f>VLOOKUP(F2220,'Customer Info'!$A$1:$C$501,3,0)</f>
        <v>Brittain</v>
      </c>
      <c r="I2220" s="6" t="str">
        <f>VLOOKUP(F2220,Customer,5,0)</f>
        <v>Ajmer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167</v>
      </c>
      <c r="O2220" s="2">
        <v>30</v>
      </c>
      <c r="P2220" s="8">
        <f t="shared" si="172"/>
        <v>197</v>
      </c>
      <c r="Q2220" s="8">
        <f t="shared" si="173"/>
        <v>15</v>
      </c>
      <c r="R2220" s="2" t="s">
        <v>28</v>
      </c>
      <c r="S2220" s="24">
        <f t="shared" si="174"/>
        <v>0.02</v>
      </c>
    </row>
    <row r="2221" spans="1:19" x14ac:dyDescent="0.25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>VLOOKUP(F2221,'Customer Info'!$A:$B,2,0)</f>
        <v>Barry</v>
      </c>
      <c r="H2221" s="6" t="str">
        <f>VLOOKUP(F2221,'Customer Info'!$A$1:$C$501,3,0)</f>
        <v>Franzšsisch</v>
      </c>
      <c r="I2221" s="6" t="str">
        <f>VLOOKUP(F2221,Customer,5,0)</f>
        <v>Canberra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194</v>
      </c>
      <c r="O2221" s="2">
        <v>10</v>
      </c>
      <c r="P2221" s="8">
        <f t="shared" si="172"/>
        <v>204</v>
      </c>
      <c r="Q2221" s="8">
        <f t="shared" si="173"/>
        <v>10</v>
      </c>
      <c r="R2221" s="2" t="s">
        <v>50</v>
      </c>
      <c r="S2221" s="24">
        <f t="shared" si="174"/>
        <v>0.02</v>
      </c>
    </row>
    <row r="2222" spans="1:19" x14ac:dyDescent="0.25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>VLOOKUP(F2222,'Customer Info'!$A:$B,2,0)</f>
        <v>Thomas</v>
      </c>
      <c r="H2222" s="6" t="str">
        <f>VLOOKUP(F2222,'Customer Info'!$A$1:$C$501,3,0)</f>
        <v>Boland</v>
      </c>
      <c r="I2222" s="6" t="str">
        <f>VLOOKUP(F2222,Customer,5,0)</f>
        <v>Surabaya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13530</v>
      </c>
      <c r="O2222" s="2">
        <v>80</v>
      </c>
      <c r="P2222" s="8">
        <f t="shared" si="172"/>
        <v>13610</v>
      </c>
      <c r="Q2222" s="8">
        <f t="shared" si="173"/>
        <v>765</v>
      </c>
      <c r="R2222" s="2" t="s">
        <v>50</v>
      </c>
      <c r="S2222" s="24">
        <f t="shared" si="174"/>
        <v>0.05</v>
      </c>
    </row>
    <row r="2223" spans="1:19" x14ac:dyDescent="0.25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>VLOOKUP(F2223,'Customer Info'!$A:$B,2,0)</f>
        <v>Michael</v>
      </c>
      <c r="H2223" s="6" t="str">
        <f>VLOOKUP(F2223,'Customer Info'!$A$1:$C$501,3,0)</f>
        <v>Moore</v>
      </c>
      <c r="I2223" s="6" t="str">
        <f>VLOOKUP(F2223,Customer,5,0)</f>
        <v>Melbourne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8022</v>
      </c>
      <c r="O2223" s="2">
        <v>38</v>
      </c>
      <c r="P2223" s="8">
        <f t="shared" si="172"/>
        <v>8060</v>
      </c>
      <c r="Q2223" s="8">
        <f t="shared" si="173"/>
        <v>154</v>
      </c>
      <c r="R2223" s="2" t="s">
        <v>28</v>
      </c>
      <c r="S2223" s="24">
        <f t="shared" si="174"/>
        <v>0.05</v>
      </c>
    </row>
    <row r="2224" spans="1:19" x14ac:dyDescent="0.25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>VLOOKUP(F2224,'Customer Info'!$A:$B,2,0)</f>
        <v>Cyra</v>
      </c>
      <c r="H2224" s="6" t="str">
        <f>VLOOKUP(F2224,'Customer Info'!$A$1:$C$501,3,0)</f>
        <v>Reiten</v>
      </c>
      <c r="I2224" s="6" t="str">
        <f>VLOOKUP(F2224,Customer,5,0)</f>
        <v>Srinagar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567</v>
      </c>
      <c r="O2224" s="2">
        <v>10</v>
      </c>
      <c r="P2224" s="8">
        <f t="shared" si="172"/>
        <v>577</v>
      </c>
      <c r="Q2224" s="8">
        <f t="shared" si="173"/>
        <v>45</v>
      </c>
      <c r="R2224" s="2" t="s">
        <v>28</v>
      </c>
      <c r="S2224" s="24">
        <f t="shared" si="174"/>
        <v>0.02</v>
      </c>
    </row>
    <row r="2225" spans="1:19" x14ac:dyDescent="0.25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>VLOOKUP(F2225,'Customer Info'!$A:$B,2,0)</f>
        <v>David</v>
      </c>
      <c r="H2225" s="6" t="str">
        <f>VLOOKUP(F2225,'Customer Info'!$A$1:$C$501,3,0)</f>
        <v>Philippe</v>
      </c>
      <c r="I2225" s="6" t="str">
        <f>VLOOKUP(F2225,Customer,5,0)</f>
        <v>Hamburg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3434</v>
      </c>
      <c r="O2225" s="2">
        <v>24</v>
      </c>
      <c r="P2225" s="8">
        <f t="shared" si="172"/>
        <v>3458</v>
      </c>
      <c r="Q2225" s="8">
        <f t="shared" si="173"/>
        <v>130</v>
      </c>
      <c r="R2225" s="2" t="s">
        <v>26</v>
      </c>
      <c r="S2225" s="24">
        <f t="shared" si="174"/>
        <v>0.02</v>
      </c>
    </row>
    <row r="2226" spans="1:19" x14ac:dyDescent="0.25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>VLOOKUP(F2226,'Customer Info'!$A:$B,2,0)</f>
        <v>Ed</v>
      </c>
      <c r="H2226" s="6" t="str">
        <f>VLOOKUP(F2226,'Customer Info'!$A$1:$C$501,3,0)</f>
        <v>Braxton</v>
      </c>
      <c r="I2226" s="6" t="str">
        <f>VLOOKUP(F2226,Customer,5,0)</f>
        <v>Bhatpara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6576</v>
      </c>
      <c r="O2226" s="2">
        <v>98</v>
      </c>
      <c r="P2226" s="8">
        <f t="shared" si="172"/>
        <v>6674</v>
      </c>
      <c r="Q2226" s="8">
        <f t="shared" si="173"/>
        <v>494</v>
      </c>
      <c r="R2226" s="2" t="s">
        <v>28</v>
      </c>
      <c r="S2226" s="24">
        <f t="shared" si="174"/>
        <v>0.05</v>
      </c>
    </row>
    <row r="2227" spans="1:19" x14ac:dyDescent="0.25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>VLOOKUP(F2227,'Customer Info'!$A:$B,2,0)</f>
        <v>Pamela</v>
      </c>
      <c r="H2227" s="6" t="str">
        <f>VLOOKUP(F2227,'Customer Info'!$A$1:$C$501,3,0)</f>
        <v>Stobb</v>
      </c>
      <c r="I2227" s="6" t="str">
        <f>VLOOKUP(F2227,Customer,5,0)</f>
        <v>Bremen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17700</v>
      </c>
      <c r="O2227" s="2">
        <v>27</v>
      </c>
      <c r="P2227" s="8">
        <f t="shared" si="172"/>
        <v>17727</v>
      </c>
      <c r="Q2227" s="8">
        <f t="shared" si="173"/>
        <v>1780</v>
      </c>
      <c r="R2227" s="2" t="s">
        <v>50</v>
      </c>
      <c r="S2227" s="24">
        <f t="shared" si="174"/>
        <v>0.05</v>
      </c>
    </row>
    <row r="2228" spans="1:19" x14ac:dyDescent="0.25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>VLOOKUP(F2228,'Customer Info'!$A:$B,2,0)</f>
        <v>Peter</v>
      </c>
      <c r="H2228" s="6" t="str">
        <f>VLOOKUP(F2228,'Customer Info'!$A$1:$C$501,3,0)</f>
        <v>BŸhler</v>
      </c>
      <c r="I2228" s="6" t="str">
        <f>VLOOKUP(F2228,Customer,5,0)</f>
        <v>Wolfsburg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1916</v>
      </c>
      <c r="O2228" s="2">
        <v>30</v>
      </c>
      <c r="P2228" s="8">
        <f t="shared" si="172"/>
        <v>1946</v>
      </c>
      <c r="Q2228" s="8">
        <f t="shared" si="173"/>
        <v>72</v>
      </c>
      <c r="R2228" s="2" t="s">
        <v>28</v>
      </c>
      <c r="S2228" s="24">
        <f t="shared" si="174"/>
        <v>0.02</v>
      </c>
    </row>
    <row r="2229" spans="1:19" x14ac:dyDescent="0.25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>VLOOKUP(F2229,'Customer Info'!$A:$B,2,0)</f>
        <v>Craig</v>
      </c>
      <c r="H2229" s="6" t="str">
        <f>VLOOKUP(F2229,'Customer Info'!$A$1:$C$501,3,0)</f>
        <v>Carroll</v>
      </c>
      <c r="I2229" s="6" t="str">
        <f>VLOOKUP(F2229,Customer,5,0)</f>
        <v>Augsburg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2540</v>
      </c>
      <c r="O2229" s="2">
        <v>97</v>
      </c>
      <c r="P2229" s="8">
        <f t="shared" si="172"/>
        <v>2637</v>
      </c>
      <c r="Q2229" s="8">
        <f t="shared" si="173"/>
        <v>143</v>
      </c>
      <c r="R2229" s="2" t="s">
        <v>50</v>
      </c>
      <c r="S2229" s="24">
        <f t="shared" si="174"/>
        <v>0.02</v>
      </c>
    </row>
    <row r="2230" spans="1:19" x14ac:dyDescent="0.25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>VLOOKUP(F2230,'Customer Info'!$A:$B,2,0)</f>
        <v>Alex</v>
      </c>
      <c r="H2230" s="6" t="str">
        <f>VLOOKUP(F2230,'Customer Info'!$A$1:$C$501,3,0)</f>
        <v>Avila</v>
      </c>
      <c r="I2230" s="6" t="str">
        <f>VLOOKUP(F2230,Customer,5,0)</f>
        <v>Newcastle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5836</v>
      </c>
      <c r="O2230" s="2">
        <v>36</v>
      </c>
      <c r="P2230" s="8">
        <f t="shared" si="172"/>
        <v>5872</v>
      </c>
      <c r="Q2230" s="8">
        <f t="shared" si="173"/>
        <v>379</v>
      </c>
      <c r="R2230" s="2" t="s">
        <v>50</v>
      </c>
      <c r="S2230" s="24">
        <f t="shared" si="174"/>
        <v>0.05</v>
      </c>
    </row>
    <row r="2231" spans="1:19" x14ac:dyDescent="0.25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>VLOOKUP(F2231,'Customer Info'!$A:$B,2,0)</f>
        <v>Thais</v>
      </c>
      <c r="H2231" s="6" t="str">
        <f>VLOOKUP(F2231,'Customer Info'!$A$1:$C$501,3,0)</f>
        <v>Sissman</v>
      </c>
      <c r="I2231" s="6" t="str">
        <f>VLOOKUP(F2231,Customer,5,0)</f>
        <v>Essen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1984</v>
      </c>
      <c r="O2231" s="2">
        <v>100</v>
      </c>
      <c r="P2231" s="8">
        <f t="shared" si="172"/>
        <v>2084</v>
      </c>
      <c r="Q2231" s="8">
        <f t="shared" si="173"/>
        <v>128</v>
      </c>
      <c r="R2231" s="2" t="s">
        <v>28</v>
      </c>
      <c r="S2231" s="24">
        <f t="shared" si="174"/>
        <v>0.02</v>
      </c>
    </row>
    <row r="2232" spans="1:19" x14ac:dyDescent="0.25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>VLOOKUP(F2232,'Customer Info'!$A:$B,2,0)</f>
        <v>Ed</v>
      </c>
      <c r="H2232" s="6" t="str">
        <f>VLOOKUP(F2232,'Customer Info'!$A$1:$C$501,3,0)</f>
        <v>Braxton</v>
      </c>
      <c r="I2232" s="6" t="str">
        <f>VLOOKUP(F2232,Customer,5,0)</f>
        <v>Bhatpara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25953</v>
      </c>
      <c r="O2232" s="2">
        <v>43</v>
      </c>
      <c r="P2232" s="8">
        <f t="shared" si="172"/>
        <v>25996</v>
      </c>
      <c r="Q2232" s="8">
        <f t="shared" si="173"/>
        <v>1710</v>
      </c>
      <c r="R2232" s="2" t="s">
        <v>28</v>
      </c>
      <c r="S2232" s="24">
        <f t="shared" si="174"/>
        <v>7.0000000000000007E-2</v>
      </c>
    </row>
    <row r="2233" spans="1:19" x14ac:dyDescent="0.25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>VLOOKUP(F2233,'Customer Info'!$A:$B,2,0)</f>
        <v>Aaron</v>
      </c>
      <c r="H2233" s="6" t="str">
        <f>VLOOKUP(F2233,'Customer Info'!$A$1:$C$501,3,0)</f>
        <v>Bergman</v>
      </c>
      <c r="I2233" s="6" t="str">
        <f>VLOOKUP(F2233,Customer,5,0)</f>
        <v>Halle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5916</v>
      </c>
      <c r="O2233" s="2">
        <v>96</v>
      </c>
      <c r="P2233" s="8">
        <f t="shared" si="172"/>
        <v>6012</v>
      </c>
      <c r="Q2233" s="8">
        <f t="shared" si="173"/>
        <v>430</v>
      </c>
      <c r="R2233" s="2" t="s">
        <v>56</v>
      </c>
      <c r="S2233" s="24">
        <f t="shared" si="174"/>
        <v>0.05</v>
      </c>
    </row>
    <row r="2234" spans="1:19" x14ac:dyDescent="0.25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>VLOOKUP(F2234,'Customer Info'!$A:$B,2,0)</f>
        <v>Darren</v>
      </c>
      <c r="H2234" s="6" t="str">
        <f>VLOOKUP(F2234,'Customer Info'!$A$1:$C$501,3,0)</f>
        <v>Budd</v>
      </c>
      <c r="I2234" s="6" t="str">
        <f>VLOOKUP(F2234,Customer,5,0)</f>
        <v>Regensburg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122</v>
      </c>
      <c r="O2234" s="2">
        <v>10</v>
      </c>
      <c r="P2234" s="8">
        <f t="shared" si="172"/>
        <v>132</v>
      </c>
      <c r="Q2234" s="8">
        <f t="shared" si="173"/>
        <v>8</v>
      </c>
      <c r="R2234" s="2" t="s">
        <v>28</v>
      </c>
      <c r="S2234" s="24">
        <f t="shared" si="174"/>
        <v>0.02</v>
      </c>
    </row>
    <row r="2235" spans="1:19" x14ac:dyDescent="0.25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>VLOOKUP(F2235,'Customer Info'!$A:$B,2,0)</f>
        <v>Jennifer</v>
      </c>
      <c r="H2235" s="6" t="str">
        <f>VLOOKUP(F2235,'Customer Info'!$A$1:$C$501,3,0)</f>
        <v>Jackson</v>
      </c>
      <c r="I2235" s="6" t="str">
        <f>VLOOKUP(F2235,Customer,5,0)</f>
        <v>Queanbeyan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38262</v>
      </c>
      <c r="O2235" s="2">
        <v>100</v>
      </c>
      <c r="P2235" s="8">
        <f t="shared" si="172"/>
        <v>38362</v>
      </c>
      <c r="Q2235" s="8">
        <f t="shared" si="173"/>
        <v>2156</v>
      </c>
      <c r="R2235" s="2" t="s">
        <v>50</v>
      </c>
      <c r="S2235" s="24">
        <f t="shared" si="174"/>
        <v>7.0000000000000007E-2</v>
      </c>
    </row>
    <row r="2236" spans="1:19" x14ac:dyDescent="0.25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>VLOOKUP(F2236,'Customer Info'!$A:$B,2,0)</f>
        <v>Kelly</v>
      </c>
      <c r="H2236" s="6" t="str">
        <f>VLOOKUP(F2236,'Customer Info'!$A$1:$C$501,3,0)</f>
        <v>Collister</v>
      </c>
      <c r="I2236" s="6" t="str">
        <f>VLOOKUP(F2236,Customer,5,0)</f>
        <v>Tangshan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26444</v>
      </c>
      <c r="O2236" s="2">
        <v>25</v>
      </c>
      <c r="P2236" s="8">
        <f t="shared" si="172"/>
        <v>26469</v>
      </c>
      <c r="Q2236" s="8">
        <f t="shared" si="173"/>
        <v>2672</v>
      </c>
      <c r="R2236" s="2" t="s">
        <v>50</v>
      </c>
      <c r="S2236" s="24">
        <f t="shared" si="174"/>
        <v>7.0000000000000007E-2</v>
      </c>
    </row>
    <row r="2237" spans="1:19" x14ac:dyDescent="0.25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>VLOOKUP(F2237,'Customer Info'!$A:$B,2,0)</f>
        <v>Max</v>
      </c>
      <c r="H2237" s="6" t="str">
        <f>VLOOKUP(F2237,'Customer Info'!$A$1:$C$501,3,0)</f>
        <v>Ludwig</v>
      </c>
      <c r="I2237" s="6" t="str">
        <f>VLOOKUP(F2237,Customer,5,0)</f>
        <v>Cirebon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740</v>
      </c>
      <c r="O2237" s="2">
        <v>30</v>
      </c>
      <c r="P2237" s="8">
        <f t="shared" si="172"/>
        <v>770</v>
      </c>
      <c r="Q2237" s="8">
        <f t="shared" si="173"/>
        <v>44</v>
      </c>
      <c r="R2237" s="2" t="s">
        <v>28</v>
      </c>
      <c r="S2237" s="24">
        <f t="shared" si="174"/>
        <v>0.02</v>
      </c>
    </row>
    <row r="2238" spans="1:19" x14ac:dyDescent="0.25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>VLOOKUP(F2238,'Customer Info'!$A:$B,2,0)</f>
        <v>Erica</v>
      </c>
      <c r="H2238" s="6" t="str">
        <f>VLOOKUP(F2238,'Customer Info'!$A$1:$C$501,3,0)</f>
        <v>Hackney</v>
      </c>
      <c r="I2238" s="6" t="str">
        <f>VLOOKUP(F2238,Customer,5,0)</f>
        <v>Adelaide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17718</v>
      </c>
      <c r="O2238" s="2">
        <v>30</v>
      </c>
      <c r="P2238" s="8">
        <f t="shared" si="172"/>
        <v>17748</v>
      </c>
      <c r="Q2238" s="8">
        <f t="shared" si="173"/>
        <v>1920</v>
      </c>
      <c r="R2238" s="2" t="s">
        <v>28</v>
      </c>
      <c r="S2238" s="24">
        <f t="shared" si="174"/>
        <v>0.05</v>
      </c>
    </row>
    <row r="2239" spans="1:19" x14ac:dyDescent="0.25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>VLOOKUP(F2239,'Customer Info'!$A:$B,2,0)</f>
        <v>Hunter</v>
      </c>
      <c r="H2239" s="6" t="str">
        <f>VLOOKUP(F2239,'Customer Info'!$A$1:$C$501,3,0)</f>
        <v>Lopez</v>
      </c>
      <c r="I2239" s="6" t="str">
        <f>VLOOKUP(F2239,Customer,5,0)</f>
        <v>Cuttack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736</v>
      </c>
      <c r="O2239" s="2">
        <v>30</v>
      </c>
      <c r="P2239" s="8">
        <f t="shared" si="172"/>
        <v>766</v>
      </c>
      <c r="Q2239" s="8">
        <f t="shared" si="173"/>
        <v>32</v>
      </c>
      <c r="R2239" s="2" t="s">
        <v>50</v>
      </c>
      <c r="S2239" s="24">
        <f t="shared" si="174"/>
        <v>0.02</v>
      </c>
    </row>
    <row r="2240" spans="1:19" x14ac:dyDescent="0.25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>VLOOKUP(F2240,'Customer Info'!$A:$B,2,0)</f>
        <v>Peter</v>
      </c>
      <c r="H2240" s="6" t="str">
        <f>VLOOKUP(F2240,'Customer Info'!$A$1:$C$501,3,0)</f>
        <v>BŸhler</v>
      </c>
      <c r="I2240" s="6" t="str">
        <f>VLOOKUP(F2240,Customer,5,0)</f>
        <v>Dresden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334</v>
      </c>
      <c r="O2240" s="2">
        <v>30</v>
      </c>
      <c r="P2240" s="8">
        <f t="shared" si="172"/>
        <v>364</v>
      </c>
      <c r="Q2240" s="8">
        <f t="shared" si="173"/>
        <v>24</v>
      </c>
      <c r="R2240" s="2" t="s">
        <v>50</v>
      </c>
      <c r="S2240" s="24">
        <f t="shared" si="174"/>
        <v>0.02</v>
      </c>
    </row>
    <row r="2241" spans="1:19" x14ac:dyDescent="0.25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>VLOOKUP(F2241,'Customer Info'!$A:$B,2,0)</f>
        <v>Shaun</v>
      </c>
      <c r="H2241" s="6" t="str">
        <f>VLOOKUP(F2241,'Customer Info'!$A$1:$C$501,3,0)</f>
        <v>Weien</v>
      </c>
      <c r="I2241" s="6" t="str">
        <f>VLOOKUP(F2241,Customer,5,0)</f>
        <v>Medan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16280</v>
      </c>
      <c r="O2241" s="2">
        <v>52</v>
      </c>
      <c r="P2241" s="8">
        <f t="shared" si="172"/>
        <v>16332</v>
      </c>
      <c r="Q2241" s="8">
        <f t="shared" si="173"/>
        <v>1060</v>
      </c>
      <c r="R2241" s="2" t="s">
        <v>28</v>
      </c>
      <c r="S2241" s="24">
        <f t="shared" si="174"/>
        <v>0.05</v>
      </c>
    </row>
    <row r="2242" spans="1:19" x14ac:dyDescent="0.25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>VLOOKUP(F2242,'Customer Info'!$A:$B,2,0)</f>
        <v>Matt</v>
      </c>
      <c r="H2242" s="6" t="str">
        <f>VLOOKUP(F2242,'Customer Info'!$A$1:$C$501,3,0)</f>
        <v>Collins</v>
      </c>
      <c r="I2242" s="6" t="str">
        <f>VLOOKUP(F2242,Customer,5,0)</f>
        <v>Mumbai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180</v>
      </c>
      <c r="O2242" s="2">
        <v>10</v>
      </c>
      <c r="P2242" s="8">
        <f t="shared" si="172"/>
        <v>190</v>
      </c>
      <c r="Q2242" s="8">
        <f t="shared" si="173"/>
        <v>18</v>
      </c>
      <c r="R2242" s="2" t="s">
        <v>26</v>
      </c>
      <c r="S2242" s="24">
        <f t="shared" si="174"/>
        <v>0.02</v>
      </c>
    </row>
    <row r="2243" spans="1:19" x14ac:dyDescent="0.25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>VLOOKUP(F2243,'Customer Info'!$A:$B,2,0)</f>
        <v>Sonia</v>
      </c>
      <c r="H2243" s="6" t="str">
        <f>VLOOKUP(F2243,'Customer Info'!$A$1:$C$501,3,0)</f>
        <v>Sunley</v>
      </c>
      <c r="I2243" s="6" t="str">
        <f>VLOOKUP(F2243,Customer,5,0)</f>
        <v>Canberra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8886</v>
      </c>
      <c r="O2243" s="2">
        <v>21</v>
      </c>
      <c r="P2243" s="8">
        <f t="shared" si="172"/>
        <v>8907</v>
      </c>
      <c r="Q2243" s="8">
        <f t="shared" si="173"/>
        <v>728</v>
      </c>
      <c r="R2243" s="2" t="s">
        <v>50</v>
      </c>
      <c r="S2243" s="24">
        <f t="shared" si="174"/>
        <v>0.05</v>
      </c>
    </row>
    <row r="2244" spans="1:19" x14ac:dyDescent="0.25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>VLOOKUP(F2244,'Customer Info'!$A:$B,2,0)</f>
        <v>Jennifer</v>
      </c>
      <c r="H2244" s="6" t="str">
        <f>VLOOKUP(F2244,'Customer Info'!$A$1:$C$501,3,0)</f>
        <v>Halladay</v>
      </c>
      <c r="I2244" s="6" t="str">
        <f>VLOOKUP(F2244,Customer,5,0)</f>
        <v>Krefeld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298</v>
      </c>
      <c r="O2244" s="2">
        <v>30</v>
      </c>
      <c r="P2244" s="8">
        <f t="shared" si="172"/>
        <v>328</v>
      </c>
      <c r="Q2244" s="8">
        <f t="shared" si="173"/>
        <v>36</v>
      </c>
      <c r="R2244" s="2" t="s">
        <v>50</v>
      </c>
      <c r="S2244" s="24">
        <f t="shared" si="174"/>
        <v>0.02</v>
      </c>
    </row>
    <row r="2245" spans="1:19" x14ac:dyDescent="0.25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>VLOOKUP(F2245,'Customer Info'!$A:$B,2,0)</f>
        <v>Jack</v>
      </c>
      <c r="H2245" s="6" t="str">
        <f>VLOOKUP(F2245,'Customer Info'!$A$1:$C$501,3,0)</f>
        <v>Lebron</v>
      </c>
      <c r="I2245" s="6" t="str">
        <f>VLOOKUP(F2245,Customer,5,0)</f>
        <v>Bremen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26658</v>
      </c>
      <c r="O2245" s="2">
        <v>38</v>
      </c>
      <c r="P2245" s="8">
        <f t="shared" si="172"/>
        <v>26696</v>
      </c>
      <c r="Q2245" s="8">
        <f t="shared" si="173"/>
        <v>2184</v>
      </c>
      <c r="R2245" s="2" t="s">
        <v>28</v>
      </c>
      <c r="S2245" s="24">
        <f t="shared" si="174"/>
        <v>7.0000000000000007E-2</v>
      </c>
    </row>
    <row r="2246" spans="1:19" x14ac:dyDescent="0.25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>VLOOKUP(F2246,'Customer Info'!$A:$B,2,0)</f>
        <v>Lindsay</v>
      </c>
      <c r="H2246" s="6" t="str">
        <f>VLOOKUP(F2246,'Customer Info'!$A$1:$C$501,3,0)</f>
        <v>Castell</v>
      </c>
      <c r="I2246" s="6" t="str">
        <f>VLOOKUP(F2246,Customer,5,0)</f>
        <v>Depok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400</v>
      </c>
      <c r="O2246" s="2">
        <v>27</v>
      </c>
      <c r="P2246" s="8">
        <f t="shared" si="172"/>
        <v>427</v>
      </c>
      <c r="Q2246" s="8">
        <f t="shared" si="173"/>
        <v>40</v>
      </c>
      <c r="R2246" s="2" t="s">
        <v>28</v>
      </c>
      <c r="S2246" s="24">
        <f t="shared" si="174"/>
        <v>0.02</v>
      </c>
    </row>
    <row r="2247" spans="1:19" x14ac:dyDescent="0.25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>VLOOKUP(F2247,'Customer Info'!$A:$B,2,0)</f>
        <v>Aaron</v>
      </c>
      <c r="H2247" s="6" t="str">
        <f>VLOOKUP(F2247,'Customer Info'!$A$1:$C$501,3,0)</f>
        <v>Bergman</v>
      </c>
      <c r="I2247" s="6" t="str">
        <f>VLOOKUP(F2247,Customer,5,0)</f>
        <v>Halle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3309</v>
      </c>
      <c r="O2247" s="2">
        <v>92</v>
      </c>
      <c r="P2247" s="8">
        <f t="shared" si="172"/>
        <v>3401</v>
      </c>
      <c r="Q2247" s="8">
        <f t="shared" si="173"/>
        <v>219</v>
      </c>
      <c r="R2247" s="2" t="s">
        <v>28</v>
      </c>
      <c r="S2247" s="24">
        <f t="shared" si="174"/>
        <v>0.02</v>
      </c>
    </row>
    <row r="2248" spans="1:19" x14ac:dyDescent="0.25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>VLOOKUP(F2248,'Customer Info'!$A:$B,2,0)</f>
        <v>Hunter</v>
      </c>
      <c r="H2248" s="6" t="str">
        <f>VLOOKUP(F2248,'Customer Info'!$A$1:$C$501,3,0)</f>
        <v>Lopez</v>
      </c>
      <c r="I2248" s="6" t="str">
        <f>VLOOKUP(F2248,Customer,5,0)</f>
        <v>Wollongong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2764</v>
      </c>
      <c r="O2248" s="2">
        <v>81</v>
      </c>
      <c r="P2248" s="8">
        <f t="shared" si="172"/>
        <v>2845</v>
      </c>
      <c r="Q2248" s="8">
        <f t="shared" si="173"/>
        <v>180</v>
      </c>
      <c r="R2248" s="2" t="s">
        <v>50</v>
      </c>
      <c r="S2248" s="24">
        <f t="shared" si="174"/>
        <v>0.02</v>
      </c>
    </row>
    <row r="2249" spans="1:19" x14ac:dyDescent="0.25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>VLOOKUP(F2249,'Customer Info'!$A:$B,2,0)</f>
        <v>Natalie</v>
      </c>
      <c r="H2249" s="6" t="str">
        <f>VLOOKUP(F2249,'Customer Info'!$A$1:$C$501,3,0)</f>
        <v>Webber</v>
      </c>
      <c r="I2249" s="6" t="str">
        <f>VLOOKUP(F2249,Customer,5,0)</f>
        <v>Ningbo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116</v>
      </c>
      <c r="O2249" s="2">
        <v>10</v>
      </c>
      <c r="P2249" s="8">
        <f t="shared" si="172"/>
        <v>126</v>
      </c>
      <c r="Q2249" s="8">
        <f t="shared" si="173"/>
        <v>4</v>
      </c>
      <c r="R2249" s="2" t="s">
        <v>28</v>
      </c>
      <c r="S2249" s="24">
        <f t="shared" si="174"/>
        <v>0.02</v>
      </c>
    </row>
    <row r="2250" spans="1:19" x14ac:dyDescent="0.25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>VLOOKUP(F2250,'Customer Info'!$A:$B,2,0)</f>
        <v>Jim</v>
      </c>
      <c r="H2250" s="6" t="str">
        <f>VLOOKUP(F2250,'Customer Info'!$A$1:$C$501,3,0)</f>
        <v>Karlsson</v>
      </c>
      <c r="I2250" s="6" t="str">
        <f>VLOOKUP(F2250,Customer,5,0)</f>
        <v>Geelong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6408</v>
      </c>
      <c r="O2250" s="2">
        <v>91</v>
      </c>
      <c r="P2250" s="8">
        <f t="shared" si="172"/>
        <v>6499</v>
      </c>
      <c r="Q2250" s="8">
        <f t="shared" si="173"/>
        <v>648</v>
      </c>
      <c r="R2250" s="2" t="s">
        <v>56</v>
      </c>
      <c r="S2250" s="24">
        <f t="shared" si="174"/>
        <v>0.05</v>
      </c>
    </row>
    <row r="2251" spans="1:19" x14ac:dyDescent="0.25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>VLOOKUP(F2251,'Customer Info'!$A:$B,2,0)</f>
        <v>Carl</v>
      </c>
      <c r="H2251" s="6" t="str">
        <f>VLOOKUP(F2251,'Customer Info'!$A$1:$C$501,3,0)</f>
        <v>Weiss</v>
      </c>
      <c r="I2251" s="6" t="str">
        <f>VLOOKUP(F2251,Customer,5,0)</f>
        <v>Tianjin</v>
      </c>
      <c r="J2251" s="2">
        <v>2787</v>
      </c>
      <c r="K2251" s="2">
        <v>2681</v>
      </c>
      <c r="L2251" s="2">
        <v>9</v>
      </c>
      <c r="M2251" s="7">
        <f t="shared" ref="M2251:M2314" si="175">K2251*L2251</f>
        <v>24129</v>
      </c>
      <c r="N2251" s="7">
        <f t="shared" ref="N2251:N2314" si="176">J2251*L2251</f>
        <v>25083</v>
      </c>
      <c r="O2251" s="2">
        <v>55</v>
      </c>
      <c r="P2251" s="8">
        <f t="shared" ref="P2251:P2314" si="177">N2251+O2251</f>
        <v>25138</v>
      </c>
      <c r="Q2251" s="8">
        <f t="shared" ref="Q2251:Q2314" si="178">N2251-M2251</f>
        <v>954</v>
      </c>
      <c r="R2251" s="2" t="s">
        <v>28</v>
      </c>
      <c r="S2251" s="24">
        <f t="shared" ref="S2251:S2314" si="179">VLOOKUP(N2251,$T$1:$U$7,2,TRUE)</f>
        <v>7.0000000000000007E-2</v>
      </c>
    </row>
    <row r="2252" spans="1:19" x14ac:dyDescent="0.25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>VLOOKUP(F2252,'Customer Info'!$A:$B,2,0)</f>
        <v>Mick</v>
      </c>
      <c r="H2252" s="6" t="str">
        <f>VLOOKUP(F2252,'Customer Info'!$A$1:$C$501,3,0)</f>
        <v>Crebagga</v>
      </c>
      <c r="I2252" s="6" t="str">
        <f>VLOOKUP(F2252,Customer,5,0)</f>
        <v>Banjarmasin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8">
        <f t="shared" si="177"/>
        <v>10445</v>
      </c>
      <c r="Q2252" s="8">
        <f t="shared" si="178"/>
        <v>956</v>
      </c>
      <c r="R2252" s="2" t="s">
        <v>28</v>
      </c>
      <c r="S2252" s="24">
        <f t="shared" si="179"/>
        <v>0.05</v>
      </c>
    </row>
    <row r="2253" spans="1:19" x14ac:dyDescent="0.25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>VLOOKUP(F2253,'Customer Info'!$A:$B,2,0)</f>
        <v>Adrian</v>
      </c>
      <c r="H2253" s="6" t="str">
        <f>VLOOKUP(F2253,'Customer Info'!$A$1:$C$501,3,0)</f>
        <v>Barton</v>
      </c>
      <c r="I2253" s="6" t="str">
        <f>VLOOKUP(F2253,Customer,5,0)</f>
        <v>Wetzlar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8">
        <f t="shared" si="177"/>
        <v>44045</v>
      </c>
      <c r="Q2253" s="8">
        <f t="shared" si="178"/>
        <v>4014</v>
      </c>
      <c r="R2253" s="2" t="s">
        <v>50</v>
      </c>
      <c r="S2253" s="24">
        <f t="shared" si="179"/>
        <v>7.0000000000000007E-2</v>
      </c>
    </row>
    <row r="2254" spans="1:19" x14ac:dyDescent="0.25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>VLOOKUP(F2254,'Customer Info'!$A:$B,2,0)</f>
        <v>Natalie</v>
      </c>
      <c r="H2254" s="6" t="str">
        <f>VLOOKUP(F2254,'Customer Info'!$A$1:$C$501,3,0)</f>
        <v>DeCherney</v>
      </c>
      <c r="I2254" s="6" t="str">
        <f>VLOOKUP(F2254,Customer,5,0)</f>
        <v>Anqing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8">
        <f t="shared" si="177"/>
        <v>17545</v>
      </c>
      <c r="Q2254" s="8">
        <f t="shared" si="178"/>
        <v>1152</v>
      </c>
      <c r="R2254" s="2" t="s">
        <v>28</v>
      </c>
      <c r="S2254" s="24">
        <f t="shared" si="179"/>
        <v>0.05</v>
      </c>
    </row>
    <row r="2255" spans="1:19" x14ac:dyDescent="0.25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>VLOOKUP(F2255,'Customer Info'!$A:$B,2,0)</f>
        <v>Natalie</v>
      </c>
      <c r="H2255" s="6" t="str">
        <f>VLOOKUP(F2255,'Customer Info'!$A$1:$C$501,3,0)</f>
        <v>Webber</v>
      </c>
      <c r="I2255" s="6" t="str">
        <f>VLOOKUP(F2255,Customer,5,0)</f>
        <v>Ningbo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8">
        <f t="shared" si="177"/>
        <v>5871</v>
      </c>
      <c r="Q2255" s="8">
        <f t="shared" si="178"/>
        <v>634</v>
      </c>
      <c r="R2255" s="2" t="s">
        <v>26</v>
      </c>
      <c r="S2255" s="24">
        <f t="shared" si="179"/>
        <v>0.05</v>
      </c>
    </row>
    <row r="2256" spans="1:19" x14ac:dyDescent="0.25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>VLOOKUP(F2256,'Customer Info'!$A:$B,2,0)</f>
        <v>Brad</v>
      </c>
      <c r="H2256" s="6" t="str">
        <f>VLOOKUP(F2256,'Customer Info'!$A$1:$C$501,3,0)</f>
        <v>Thomas</v>
      </c>
      <c r="I2256" s="6" t="str">
        <f>VLOOKUP(F2256,Customer,5,0)</f>
        <v>Bochum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12024</v>
      </c>
      <c r="O2256" s="2">
        <v>61</v>
      </c>
      <c r="P2256" s="8">
        <f t="shared" si="177"/>
        <v>12085</v>
      </c>
      <c r="Q2256" s="8">
        <f t="shared" si="178"/>
        <v>670</v>
      </c>
      <c r="R2256" s="2" t="s">
        <v>28</v>
      </c>
      <c r="S2256" s="24">
        <f t="shared" si="179"/>
        <v>0.05</v>
      </c>
    </row>
    <row r="2257" spans="1:19" x14ac:dyDescent="0.25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>VLOOKUP(F2257,'Customer Info'!$A:$B,2,0)</f>
        <v>Damala</v>
      </c>
      <c r="H2257" s="6" t="str">
        <f>VLOOKUP(F2257,'Customer Info'!$A$1:$C$501,3,0)</f>
        <v>Kotsonis</v>
      </c>
      <c r="I2257" s="6" t="str">
        <f>VLOOKUP(F2257,Customer,5,0)</f>
        <v>Berlin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2688</v>
      </c>
      <c r="O2257" s="2">
        <v>76</v>
      </c>
      <c r="P2257" s="8">
        <f t="shared" si="177"/>
        <v>2764</v>
      </c>
      <c r="Q2257" s="8">
        <f t="shared" si="178"/>
        <v>78</v>
      </c>
      <c r="R2257" s="2" t="s">
        <v>28</v>
      </c>
      <c r="S2257" s="24">
        <f t="shared" si="179"/>
        <v>0.02</v>
      </c>
    </row>
    <row r="2258" spans="1:19" x14ac:dyDescent="0.25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>VLOOKUP(F2258,'Customer Info'!$A:$B,2,0)</f>
        <v>Sarah</v>
      </c>
      <c r="H2258" s="6" t="str">
        <f>VLOOKUP(F2258,'Customer Info'!$A$1:$C$501,3,0)</f>
        <v>Bern</v>
      </c>
      <c r="I2258" s="6" t="str">
        <f>VLOOKUP(F2258,Customer,5,0)</f>
        <v>Wollongong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8115</v>
      </c>
      <c r="O2258" s="2">
        <v>83</v>
      </c>
      <c r="P2258" s="8">
        <f t="shared" si="177"/>
        <v>8198</v>
      </c>
      <c r="Q2258" s="8">
        <f t="shared" si="178"/>
        <v>385</v>
      </c>
      <c r="R2258" s="2" t="s">
        <v>28</v>
      </c>
      <c r="S2258" s="24">
        <f t="shared" si="179"/>
        <v>0.05</v>
      </c>
    </row>
    <row r="2259" spans="1:19" x14ac:dyDescent="0.25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>VLOOKUP(F2259,'Customer Info'!$A:$B,2,0)</f>
        <v>Jason</v>
      </c>
      <c r="H2259" s="6" t="str">
        <f>VLOOKUP(F2259,'Customer Info'!$A$1:$C$501,3,0)</f>
        <v>Gross</v>
      </c>
      <c r="I2259" s="6" t="str">
        <f>VLOOKUP(F2259,Customer,5,0)</f>
        <v>Sydney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4536</v>
      </c>
      <c r="O2259" s="2">
        <v>42</v>
      </c>
      <c r="P2259" s="8">
        <f t="shared" si="177"/>
        <v>4578</v>
      </c>
      <c r="Q2259" s="8">
        <f t="shared" si="178"/>
        <v>45</v>
      </c>
      <c r="R2259" s="2" t="s">
        <v>28</v>
      </c>
      <c r="S2259" s="24">
        <f t="shared" si="179"/>
        <v>0.02</v>
      </c>
    </row>
    <row r="2260" spans="1:19" x14ac:dyDescent="0.25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>VLOOKUP(F2260,'Customer Info'!$A:$B,2,0)</f>
        <v>Rachel</v>
      </c>
      <c r="H2260" s="6" t="str">
        <f>VLOOKUP(F2260,'Customer Info'!$A$1:$C$501,3,0)</f>
        <v>Payne</v>
      </c>
      <c r="I2260" s="6" t="str">
        <f>VLOOKUP(F2260,Customer,5,0)</f>
        <v>Fuzhou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324</v>
      </c>
      <c r="O2260" s="2">
        <v>30</v>
      </c>
      <c r="P2260" s="8">
        <f t="shared" si="177"/>
        <v>354</v>
      </c>
      <c r="Q2260" s="8">
        <f t="shared" si="178"/>
        <v>28</v>
      </c>
      <c r="R2260" s="2" t="s">
        <v>28</v>
      </c>
      <c r="S2260" s="24">
        <f t="shared" si="179"/>
        <v>0.02</v>
      </c>
    </row>
    <row r="2261" spans="1:19" x14ac:dyDescent="0.25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>VLOOKUP(F2261,'Customer Info'!$A:$B,2,0)</f>
        <v>Eugene</v>
      </c>
      <c r="H2261" s="6" t="str">
        <f>VLOOKUP(F2261,'Customer Info'!$A$1:$C$501,3,0)</f>
        <v>Barchas</v>
      </c>
      <c r="I2261" s="6" t="str">
        <f>VLOOKUP(F2261,Customer,5,0)</f>
        <v>Aksu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896</v>
      </c>
      <c r="O2261" s="2">
        <v>30</v>
      </c>
      <c r="P2261" s="8">
        <f t="shared" si="177"/>
        <v>926</v>
      </c>
      <c r="Q2261" s="8">
        <f t="shared" si="178"/>
        <v>91</v>
      </c>
      <c r="R2261" s="2" t="s">
        <v>50</v>
      </c>
      <c r="S2261" s="24">
        <f t="shared" si="179"/>
        <v>0.02</v>
      </c>
    </row>
    <row r="2262" spans="1:19" x14ac:dyDescent="0.25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>VLOOKUP(F2262,'Customer Info'!$A:$B,2,0)</f>
        <v>Kristen</v>
      </c>
      <c r="H2262" s="6" t="str">
        <f>VLOOKUP(F2262,'Customer Info'!$A$1:$C$501,3,0)</f>
        <v>Hastings</v>
      </c>
      <c r="I2262" s="6" t="str">
        <f>VLOOKUP(F2262,Customer,5,0)</f>
        <v>Shihezi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1382</v>
      </c>
      <c r="O2262" s="2">
        <v>81</v>
      </c>
      <c r="P2262" s="8">
        <f t="shared" si="177"/>
        <v>1463</v>
      </c>
      <c r="Q2262" s="8">
        <f t="shared" si="178"/>
        <v>90</v>
      </c>
      <c r="R2262" s="2" t="s">
        <v>28</v>
      </c>
      <c r="S2262" s="24">
        <f t="shared" si="179"/>
        <v>0.02</v>
      </c>
    </row>
    <row r="2263" spans="1:19" x14ac:dyDescent="0.25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>VLOOKUP(F2263,'Customer Info'!$A:$B,2,0)</f>
        <v>Anthony</v>
      </c>
      <c r="H2263" s="6" t="str">
        <f>VLOOKUP(F2263,'Customer Info'!$A$1:$C$501,3,0)</f>
        <v>O'Donnell</v>
      </c>
      <c r="I2263" s="6" t="str">
        <f>VLOOKUP(F2263,Customer,5,0)</f>
        <v>Perth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5102</v>
      </c>
      <c r="O2263" s="2">
        <v>81</v>
      </c>
      <c r="P2263" s="8">
        <f t="shared" si="177"/>
        <v>5183</v>
      </c>
      <c r="Q2263" s="8">
        <f t="shared" si="178"/>
        <v>190</v>
      </c>
      <c r="R2263" s="2" t="s">
        <v>28</v>
      </c>
      <c r="S2263" s="24">
        <f t="shared" si="179"/>
        <v>0.05</v>
      </c>
    </row>
    <row r="2264" spans="1:19" x14ac:dyDescent="0.25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>VLOOKUP(F2264,'Customer Info'!$A:$B,2,0)</f>
        <v>Christy</v>
      </c>
      <c r="H2264" s="6" t="str">
        <f>VLOOKUP(F2264,'Customer Info'!$A$1:$C$501,3,0)</f>
        <v>Brittain</v>
      </c>
      <c r="I2264" s="6" t="str">
        <f>VLOOKUP(F2264,Customer,5,0)</f>
        <v>Ajmer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26607</v>
      </c>
      <c r="O2264" s="2">
        <v>76</v>
      </c>
      <c r="P2264" s="8">
        <f t="shared" si="177"/>
        <v>26683</v>
      </c>
      <c r="Q2264" s="8">
        <f t="shared" si="178"/>
        <v>2889</v>
      </c>
      <c r="R2264" s="2" t="s">
        <v>28</v>
      </c>
      <c r="S2264" s="24">
        <f t="shared" si="179"/>
        <v>7.0000000000000007E-2</v>
      </c>
    </row>
    <row r="2265" spans="1:19" x14ac:dyDescent="0.25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>VLOOKUP(F2265,'Customer Info'!$A:$B,2,0)</f>
        <v>David</v>
      </c>
      <c r="H2265" s="6" t="str">
        <f>VLOOKUP(F2265,'Customer Info'!$A$1:$C$501,3,0)</f>
        <v>Kendrick</v>
      </c>
      <c r="I2265" s="6" t="str">
        <f>VLOOKUP(F2265,Customer,5,0)</f>
        <v>Kunming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34744</v>
      </c>
      <c r="O2265" s="2">
        <v>25</v>
      </c>
      <c r="P2265" s="8">
        <f t="shared" si="177"/>
        <v>34769</v>
      </c>
      <c r="Q2265" s="8">
        <f t="shared" si="178"/>
        <v>2604</v>
      </c>
      <c r="R2265" s="2" t="s">
        <v>28</v>
      </c>
      <c r="S2265" s="24">
        <f t="shared" si="179"/>
        <v>7.0000000000000007E-2</v>
      </c>
    </row>
    <row r="2266" spans="1:19" x14ac:dyDescent="0.25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>VLOOKUP(F2266,'Customer Info'!$A:$B,2,0)</f>
        <v>Joel</v>
      </c>
      <c r="H2266" s="6" t="str">
        <f>VLOOKUP(F2266,'Customer Info'!$A$1:$C$501,3,0)</f>
        <v>Eaton</v>
      </c>
      <c r="I2266" s="6" t="str">
        <f>VLOOKUP(F2266,Customer,5,0)</f>
        <v>Nuremberg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8199</v>
      </c>
      <c r="O2266" s="2">
        <v>47</v>
      </c>
      <c r="P2266" s="8">
        <f t="shared" si="177"/>
        <v>8246</v>
      </c>
      <c r="Q2266" s="8">
        <f t="shared" si="178"/>
        <v>676</v>
      </c>
      <c r="R2266" s="2" t="s">
        <v>50</v>
      </c>
      <c r="S2266" s="24">
        <f t="shared" si="179"/>
        <v>0.05</v>
      </c>
    </row>
    <row r="2267" spans="1:19" x14ac:dyDescent="0.25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>VLOOKUP(F2267,'Customer Info'!$A:$B,2,0)</f>
        <v>Shahid</v>
      </c>
      <c r="H2267" s="6" t="str">
        <f>VLOOKUP(F2267,'Customer Info'!$A$1:$C$501,3,0)</f>
        <v>Collister</v>
      </c>
      <c r="I2267" s="6" t="str">
        <f>VLOOKUP(F2267,Customer,5,0)</f>
        <v>Leipzig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444</v>
      </c>
      <c r="O2267" s="2">
        <v>52</v>
      </c>
      <c r="P2267" s="8">
        <f t="shared" si="177"/>
        <v>496</v>
      </c>
      <c r="Q2267" s="8">
        <f t="shared" si="178"/>
        <v>36</v>
      </c>
      <c r="R2267" s="2" t="s">
        <v>50</v>
      </c>
      <c r="S2267" s="24">
        <f t="shared" si="179"/>
        <v>0.02</v>
      </c>
    </row>
    <row r="2268" spans="1:19" x14ac:dyDescent="0.25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>VLOOKUP(F2268,'Customer Info'!$A:$B,2,0)</f>
        <v>Dave</v>
      </c>
      <c r="H2268" s="6" t="str">
        <f>VLOOKUP(F2268,'Customer Info'!$A$1:$C$501,3,0)</f>
        <v>Poirier</v>
      </c>
      <c r="I2268" s="6" t="str">
        <f>VLOOKUP(F2268,Customer,5,0)</f>
        <v>Changchun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4668</v>
      </c>
      <c r="O2268" s="2">
        <v>95</v>
      </c>
      <c r="P2268" s="8">
        <f t="shared" si="177"/>
        <v>4763</v>
      </c>
      <c r="Q2268" s="8">
        <f t="shared" si="178"/>
        <v>426</v>
      </c>
      <c r="R2268" s="2" t="s">
        <v>28</v>
      </c>
      <c r="S2268" s="24">
        <f t="shared" si="179"/>
        <v>0.02</v>
      </c>
    </row>
    <row r="2269" spans="1:19" x14ac:dyDescent="0.25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>VLOOKUP(F2269,'Customer Info'!$A:$B,2,0)</f>
        <v>Carlos</v>
      </c>
      <c r="H2269" s="6" t="str">
        <f>VLOOKUP(F2269,'Customer Info'!$A$1:$C$501,3,0)</f>
        <v>Soltero</v>
      </c>
      <c r="I2269" s="6" t="str">
        <f>VLOOKUP(F2269,Customer,5,0)</f>
        <v>Wodonga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12708</v>
      </c>
      <c r="O2269" s="2">
        <v>91</v>
      </c>
      <c r="P2269" s="8">
        <f t="shared" si="177"/>
        <v>12799</v>
      </c>
      <c r="Q2269" s="8">
        <f t="shared" si="178"/>
        <v>1170</v>
      </c>
      <c r="R2269" s="2" t="s">
        <v>28</v>
      </c>
      <c r="S2269" s="24">
        <f t="shared" si="179"/>
        <v>0.05</v>
      </c>
    </row>
    <row r="2270" spans="1:19" x14ac:dyDescent="0.25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>VLOOKUP(F2270,'Customer Info'!$A:$B,2,0)</f>
        <v>Sam</v>
      </c>
      <c r="H2270" s="6" t="str">
        <f>VLOOKUP(F2270,'Customer Info'!$A$1:$C$501,3,0)</f>
        <v>Zeldin</v>
      </c>
      <c r="I2270" s="6" t="str">
        <f>VLOOKUP(F2270,Customer,5,0)</f>
        <v>Yanji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368</v>
      </c>
      <c r="O2270" s="2">
        <v>30</v>
      </c>
      <c r="P2270" s="8">
        <f t="shared" si="177"/>
        <v>398</v>
      </c>
      <c r="Q2270" s="8">
        <f t="shared" si="178"/>
        <v>16</v>
      </c>
      <c r="R2270" s="2" t="s">
        <v>50</v>
      </c>
      <c r="S2270" s="24">
        <f t="shared" si="179"/>
        <v>0.02</v>
      </c>
    </row>
    <row r="2271" spans="1:19" x14ac:dyDescent="0.25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>VLOOKUP(F2271,'Customer Info'!$A:$B,2,0)</f>
        <v>Craig</v>
      </c>
      <c r="H2271" s="6" t="str">
        <f>VLOOKUP(F2271,'Customer Info'!$A$1:$C$501,3,0)</f>
        <v>Yedwab</v>
      </c>
      <c r="I2271" s="6" t="str">
        <f>VLOOKUP(F2271,Customer,5,0)</f>
        <v>Aligarh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237</v>
      </c>
      <c r="O2271" s="2">
        <v>10</v>
      </c>
      <c r="P2271" s="8">
        <f t="shared" si="177"/>
        <v>247</v>
      </c>
      <c r="Q2271" s="8">
        <f t="shared" si="178"/>
        <v>12</v>
      </c>
      <c r="R2271" s="2" t="s">
        <v>28</v>
      </c>
      <c r="S2271" s="24">
        <f t="shared" si="179"/>
        <v>0.02</v>
      </c>
    </row>
    <row r="2272" spans="1:19" x14ac:dyDescent="0.25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>VLOOKUP(F2272,'Customer Info'!$A:$B,2,0)</f>
        <v>Marina</v>
      </c>
      <c r="H2272" s="6" t="str">
        <f>VLOOKUP(F2272,'Customer Info'!$A$1:$C$501,3,0)</f>
        <v>Lichtenstein</v>
      </c>
      <c r="I2272" s="6" t="str">
        <f>VLOOKUP(F2272,Customer,5,0)</f>
        <v>Denpasar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13328</v>
      </c>
      <c r="O2272" s="2">
        <v>45</v>
      </c>
      <c r="P2272" s="8">
        <f t="shared" si="177"/>
        <v>13373</v>
      </c>
      <c r="Q2272" s="8">
        <f t="shared" si="178"/>
        <v>382</v>
      </c>
      <c r="R2272" s="2" t="s">
        <v>28</v>
      </c>
      <c r="S2272" s="24">
        <f t="shared" si="179"/>
        <v>0.05</v>
      </c>
    </row>
    <row r="2273" spans="1:19" x14ac:dyDescent="0.25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>VLOOKUP(F2273,'Customer Info'!$A:$B,2,0)</f>
        <v>Xylona</v>
      </c>
      <c r="H2273" s="6" t="str">
        <f>VLOOKUP(F2273,'Customer Info'!$A$1:$C$501,3,0)</f>
        <v>Preis</v>
      </c>
      <c r="I2273" s="6" t="str">
        <f>VLOOKUP(F2273,Customer,5,0)</f>
        <v>Qidong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15006</v>
      </c>
      <c r="O2273" s="2">
        <v>73</v>
      </c>
      <c r="P2273" s="8">
        <f t="shared" si="177"/>
        <v>15079</v>
      </c>
      <c r="Q2273" s="8">
        <f t="shared" si="178"/>
        <v>840</v>
      </c>
      <c r="R2273" s="2" t="s">
        <v>28</v>
      </c>
      <c r="S2273" s="24">
        <f t="shared" si="179"/>
        <v>0.05</v>
      </c>
    </row>
    <row r="2274" spans="1:19" x14ac:dyDescent="0.25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>VLOOKUP(F2274,'Customer Info'!$A:$B,2,0)</f>
        <v>Kelly</v>
      </c>
      <c r="H2274" s="6" t="str">
        <f>VLOOKUP(F2274,'Customer Info'!$A$1:$C$501,3,0)</f>
        <v>Collister</v>
      </c>
      <c r="I2274" s="6" t="str">
        <f>VLOOKUP(F2274,Customer,5,0)</f>
        <v>Tangshan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130</v>
      </c>
      <c r="O2274" s="2">
        <v>30</v>
      </c>
      <c r="P2274" s="8">
        <f t="shared" si="177"/>
        <v>160</v>
      </c>
      <c r="Q2274" s="8">
        <f t="shared" si="178"/>
        <v>8</v>
      </c>
      <c r="R2274" s="2" t="s">
        <v>28</v>
      </c>
      <c r="S2274" s="24">
        <f t="shared" si="179"/>
        <v>0.02</v>
      </c>
    </row>
    <row r="2275" spans="1:19" x14ac:dyDescent="0.25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>VLOOKUP(F2275,'Customer Info'!$A:$B,2,0)</f>
        <v>Gary</v>
      </c>
      <c r="H2275" s="6" t="str">
        <f>VLOOKUP(F2275,'Customer Info'!$A$1:$C$501,3,0)</f>
        <v>Hansen</v>
      </c>
      <c r="I2275" s="6" t="str">
        <f>VLOOKUP(F2275,Customer,5,0)</f>
        <v>Dewas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286</v>
      </c>
      <c r="O2275" s="2">
        <v>30</v>
      </c>
      <c r="P2275" s="8">
        <f t="shared" si="177"/>
        <v>316</v>
      </c>
      <c r="Q2275" s="8">
        <f t="shared" si="178"/>
        <v>12</v>
      </c>
      <c r="R2275" s="2" t="s">
        <v>26</v>
      </c>
      <c r="S2275" s="24">
        <f t="shared" si="179"/>
        <v>0.02</v>
      </c>
    </row>
    <row r="2276" spans="1:19" x14ac:dyDescent="0.25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>VLOOKUP(F2276,'Customer Info'!$A:$B,2,0)</f>
        <v>Kelly</v>
      </c>
      <c r="H2276" s="6" t="str">
        <f>VLOOKUP(F2276,'Customer Info'!$A$1:$C$501,3,0)</f>
        <v>Collister</v>
      </c>
      <c r="I2276" s="6" t="str">
        <f>VLOOKUP(F2276,Customer,5,0)</f>
        <v>Tangshan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2965</v>
      </c>
      <c r="O2276" s="2">
        <v>89</v>
      </c>
      <c r="P2276" s="8">
        <f t="shared" si="177"/>
        <v>3054</v>
      </c>
      <c r="Q2276" s="8">
        <f t="shared" si="178"/>
        <v>271</v>
      </c>
      <c r="R2276" s="2" t="s">
        <v>28</v>
      </c>
      <c r="S2276" s="24">
        <f t="shared" si="179"/>
        <v>0.02</v>
      </c>
    </row>
    <row r="2277" spans="1:19" x14ac:dyDescent="0.25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>VLOOKUP(F2277,'Customer Info'!$A:$B,2,0)</f>
        <v>Anthony</v>
      </c>
      <c r="H2277" s="6" t="str">
        <f>VLOOKUP(F2277,'Customer Info'!$A$1:$C$501,3,0)</f>
        <v>Garverick</v>
      </c>
      <c r="I2277" s="6" t="str">
        <f>VLOOKUP(F2277,Customer,5,0)</f>
        <v>Delhi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2636</v>
      </c>
      <c r="O2277" s="2">
        <v>66</v>
      </c>
      <c r="P2277" s="8">
        <f t="shared" si="177"/>
        <v>2702</v>
      </c>
      <c r="Q2277" s="8">
        <f t="shared" si="178"/>
        <v>218</v>
      </c>
      <c r="R2277" s="2" t="s">
        <v>26</v>
      </c>
      <c r="S2277" s="24">
        <f t="shared" si="179"/>
        <v>0.02</v>
      </c>
    </row>
    <row r="2278" spans="1:19" x14ac:dyDescent="0.25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>VLOOKUP(F2278,'Customer Info'!$A:$B,2,0)</f>
        <v>Anemone</v>
      </c>
      <c r="H2278" s="6" t="str">
        <f>VLOOKUP(F2278,'Customer Info'!$A$1:$C$501,3,0)</f>
        <v>Ratner</v>
      </c>
      <c r="I2278" s="6" t="str">
        <f>VLOOKUP(F2278,Customer,5,0)</f>
        <v>Pune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17682</v>
      </c>
      <c r="O2278" s="2">
        <v>33</v>
      </c>
      <c r="P2278" s="8">
        <f t="shared" si="177"/>
        <v>17715</v>
      </c>
      <c r="Q2278" s="8">
        <f t="shared" si="178"/>
        <v>819</v>
      </c>
      <c r="R2278" s="2" t="s">
        <v>28</v>
      </c>
      <c r="S2278" s="24">
        <f t="shared" si="179"/>
        <v>0.05</v>
      </c>
    </row>
    <row r="2279" spans="1:19" x14ac:dyDescent="0.25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>VLOOKUP(F2279,'Customer Info'!$A:$B,2,0)</f>
        <v>Aaron</v>
      </c>
      <c r="H2279" s="6" t="str">
        <f>VLOOKUP(F2279,'Customer Info'!$A$1:$C$501,3,0)</f>
        <v>Hawkins</v>
      </c>
      <c r="I2279" s="6" t="str">
        <f>VLOOKUP(F2279,Customer,5,0)</f>
        <v>Minden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4166</v>
      </c>
      <c r="O2279" s="2">
        <v>49</v>
      </c>
      <c r="P2279" s="8">
        <f t="shared" si="177"/>
        <v>4215</v>
      </c>
      <c r="Q2279" s="8">
        <f t="shared" si="178"/>
        <v>158</v>
      </c>
      <c r="R2279" s="2" t="s">
        <v>28</v>
      </c>
      <c r="S2279" s="24">
        <f t="shared" si="179"/>
        <v>0.02</v>
      </c>
    </row>
    <row r="2280" spans="1:19" x14ac:dyDescent="0.25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>VLOOKUP(F2280,'Customer Info'!$A:$B,2,0)</f>
        <v>Christine</v>
      </c>
      <c r="H2280" s="6" t="str">
        <f>VLOOKUP(F2280,'Customer Info'!$A$1:$C$501,3,0)</f>
        <v>Abelman</v>
      </c>
      <c r="I2280" s="6" t="str">
        <f>VLOOKUP(F2280,Customer,5,0)</f>
        <v>Nasik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4359</v>
      </c>
      <c r="O2280" s="2">
        <v>63</v>
      </c>
      <c r="P2280" s="8">
        <f t="shared" si="177"/>
        <v>4422</v>
      </c>
      <c r="Q2280" s="8">
        <f t="shared" si="178"/>
        <v>126</v>
      </c>
      <c r="R2280" s="2" t="s">
        <v>28</v>
      </c>
      <c r="S2280" s="24">
        <f t="shared" si="179"/>
        <v>0.02</v>
      </c>
    </row>
    <row r="2281" spans="1:19" x14ac:dyDescent="0.25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>VLOOKUP(F2281,'Customer Info'!$A:$B,2,0)</f>
        <v>Ed</v>
      </c>
      <c r="H2281" s="6" t="str">
        <f>VLOOKUP(F2281,'Customer Info'!$A$1:$C$501,3,0)</f>
        <v>Braxton</v>
      </c>
      <c r="I2281" s="6" t="str">
        <f>VLOOKUP(F2281,Customer,5,0)</f>
        <v>Bhatpara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15016</v>
      </c>
      <c r="O2281" s="2">
        <v>28</v>
      </c>
      <c r="P2281" s="8">
        <f t="shared" si="177"/>
        <v>15044</v>
      </c>
      <c r="Q2281" s="8">
        <f t="shared" si="178"/>
        <v>1104</v>
      </c>
      <c r="R2281" s="2" t="s">
        <v>28</v>
      </c>
      <c r="S2281" s="24">
        <f t="shared" si="179"/>
        <v>0.05</v>
      </c>
    </row>
    <row r="2282" spans="1:19" x14ac:dyDescent="0.25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>VLOOKUP(F2282,'Customer Info'!$A:$B,2,0)</f>
        <v>Darren</v>
      </c>
      <c r="H2282" s="6" t="str">
        <f>VLOOKUP(F2282,'Customer Info'!$A$1:$C$501,3,0)</f>
        <v>Koutras</v>
      </c>
      <c r="I2282" s="6" t="str">
        <f>VLOOKUP(F2282,Customer,5,0)</f>
        <v>Pune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3238</v>
      </c>
      <c r="O2282" s="2">
        <v>64</v>
      </c>
      <c r="P2282" s="8">
        <f t="shared" si="177"/>
        <v>3302</v>
      </c>
      <c r="Q2282" s="8">
        <f t="shared" si="178"/>
        <v>354</v>
      </c>
      <c r="R2282" s="2" t="s">
        <v>56</v>
      </c>
      <c r="S2282" s="24">
        <f t="shared" si="179"/>
        <v>0.02</v>
      </c>
    </row>
    <row r="2283" spans="1:19" x14ac:dyDescent="0.25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>VLOOKUP(F2283,'Customer Info'!$A:$B,2,0)</f>
        <v>Rick</v>
      </c>
      <c r="H2283" s="6" t="str">
        <f>VLOOKUP(F2283,'Customer Info'!$A$1:$C$501,3,0)</f>
        <v>Reed</v>
      </c>
      <c r="I2283" s="6" t="str">
        <f>VLOOKUP(F2283,Customer,5,0)</f>
        <v>Lucknow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1385</v>
      </c>
      <c r="O2283" s="2">
        <v>42</v>
      </c>
      <c r="P2283" s="8">
        <f t="shared" si="177"/>
        <v>1427</v>
      </c>
      <c r="Q2283" s="8">
        <f t="shared" si="178"/>
        <v>90</v>
      </c>
      <c r="R2283" s="2" t="s">
        <v>26</v>
      </c>
      <c r="S2283" s="24">
        <f t="shared" si="179"/>
        <v>0.02</v>
      </c>
    </row>
    <row r="2284" spans="1:19" x14ac:dyDescent="0.25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>VLOOKUP(F2284,'Customer Info'!$A:$B,2,0)</f>
        <v>Brad</v>
      </c>
      <c r="H2284" s="6" t="str">
        <f>VLOOKUP(F2284,'Customer Info'!$A$1:$C$501,3,0)</f>
        <v>Thomas</v>
      </c>
      <c r="I2284" s="6" t="str">
        <f>VLOOKUP(F2284,Customer,5,0)</f>
        <v>Udaipur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4592</v>
      </c>
      <c r="O2284" s="2">
        <v>55</v>
      </c>
      <c r="P2284" s="8">
        <f t="shared" si="177"/>
        <v>4647</v>
      </c>
      <c r="Q2284" s="8">
        <f t="shared" si="178"/>
        <v>300</v>
      </c>
      <c r="R2284" s="2" t="s">
        <v>50</v>
      </c>
      <c r="S2284" s="24">
        <f t="shared" si="179"/>
        <v>0.02</v>
      </c>
    </row>
    <row r="2285" spans="1:19" x14ac:dyDescent="0.25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>VLOOKUP(F2285,'Customer Info'!$A:$B,2,0)</f>
        <v>Corey</v>
      </c>
      <c r="H2285" s="6" t="str">
        <f>VLOOKUP(F2285,'Customer Info'!$A$1:$C$501,3,0)</f>
        <v>Lock</v>
      </c>
      <c r="I2285" s="6" t="str">
        <f>VLOOKUP(F2285,Customer,5,0)</f>
        <v>Geelong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2085</v>
      </c>
      <c r="O2285" s="2">
        <v>41</v>
      </c>
      <c r="P2285" s="8">
        <f t="shared" si="177"/>
        <v>2126</v>
      </c>
      <c r="Q2285" s="8">
        <f t="shared" si="178"/>
        <v>125</v>
      </c>
      <c r="R2285" s="2" t="s">
        <v>28</v>
      </c>
      <c r="S2285" s="24">
        <f t="shared" si="179"/>
        <v>0.02</v>
      </c>
    </row>
    <row r="2286" spans="1:19" x14ac:dyDescent="0.25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>VLOOKUP(F2286,'Customer Info'!$A:$B,2,0)</f>
        <v>Paul</v>
      </c>
      <c r="H2286" s="6" t="str">
        <f>VLOOKUP(F2286,'Customer Info'!$A$1:$C$501,3,0)</f>
        <v>Gonzalez</v>
      </c>
      <c r="I2286" s="6" t="str">
        <f>VLOOKUP(F2286,Customer,5,0)</f>
        <v>Durgapur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189</v>
      </c>
      <c r="O2286" s="2">
        <v>10</v>
      </c>
      <c r="P2286" s="8">
        <f t="shared" si="177"/>
        <v>199</v>
      </c>
      <c r="Q2286" s="8">
        <f t="shared" si="178"/>
        <v>15</v>
      </c>
      <c r="R2286" s="2" t="s">
        <v>50</v>
      </c>
      <c r="S2286" s="24">
        <f t="shared" si="179"/>
        <v>0.02</v>
      </c>
    </row>
    <row r="2287" spans="1:19" x14ac:dyDescent="0.25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>VLOOKUP(F2287,'Customer Info'!$A:$B,2,0)</f>
        <v>Muhammed</v>
      </c>
      <c r="H2287" s="6" t="str">
        <f>VLOOKUP(F2287,'Customer Info'!$A$1:$C$501,3,0)</f>
        <v>MacIntyre</v>
      </c>
      <c r="I2287" s="6" t="str">
        <f>VLOOKUP(F2287,Customer,5,0)</f>
        <v>Lohne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17646</v>
      </c>
      <c r="O2287" s="2">
        <v>80</v>
      </c>
      <c r="P2287" s="8">
        <f t="shared" si="177"/>
        <v>17726</v>
      </c>
      <c r="Q2287" s="8">
        <f t="shared" si="178"/>
        <v>507</v>
      </c>
      <c r="R2287" s="2" t="s">
        <v>50</v>
      </c>
      <c r="S2287" s="24">
        <f t="shared" si="179"/>
        <v>0.05</v>
      </c>
    </row>
    <row r="2288" spans="1:19" x14ac:dyDescent="0.25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>VLOOKUP(F2288,'Customer Info'!$A:$B,2,0)</f>
        <v>Philip</v>
      </c>
      <c r="H2288" s="6" t="str">
        <f>VLOOKUP(F2288,'Customer Info'!$A$1:$C$501,3,0)</f>
        <v>Brown</v>
      </c>
      <c r="I2288" s="6" t="str">
        <f>VLOOKUP(F2288,Customer,5,0)</f>
        <v>Binjai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654</v>
      </c>
      <c r="O2288" s="2">
        <v>74</v>
      </c>
      <c r="P2288" s="8">
        <f t="shared" si="177"/>
        <v>728</v>
      </c>
      <c r="Q2288" s="8">
        <f t="shared" si="178"/>
        <v>54</v>
      </c>
      <c r="R2288" s="2" t="s">
        <v>28</v>
      </c>
      <c r="S2288" s="24">
        <f t="shared" si="179"/>
        <v>0.02</v>
      </c>
    </row>
    <row r="2289" spans="1:19" x14ac:dyDescent="0.25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>VLOOKUP(F2289,'Customer Info'!$A:$B,2,0)</f>
        <v>Brian</v>
      </c>
      <c r="H2289" s="6" t="str">
        <f>VLOOKUP(F2289,'Customer Info'!$A$1:$C$501,3,0)</f>
        <v>Stugart</v>
      </c>
      <c r="I2289" s="6" t="str">
        <f>VLOOKUP(F2289,Customer,5,0)</f>
        <v>Jakarta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97</v>
      </c>
      <c r="O2289" s="2">
        <v>10</v>
      </c>
      <c r="P2289" s="8">
        <f t="shared" si="177"/>
        <v>107</v>
      </c>
      <c r="Q2289" s="8">
        <f t="shared" si="178"/>
        <v>5</v>
      </c>
      <c r="R2289" s="2" t="s">
        <v>26</v>
      </c>
      <c r="S2289" s="24">
        <f t="shared" si="179"/>
        <v>0.02</v>
      </c>
    </row>
    <row r="2290" spans="1:19" x14ac:dyDescent="0.25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>VLOOKUP(F2290,'Customer Info'!$A:$B,2,0)</f>
        <v>Kelly</v>
      </c>
      <c r="H2290" s="6" t="str">
        <f>VLOOKUP(F2290,'Customer Info'!$A$1:$C$501,3,0)</f>
        <v>Williams</v>
      </c>
      <c r="I2290" s="6" t="str">
        <f>VLOOKUP(F2290,Customer,5,0)</f>
        <v>Sydney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13728</v>
      </c>
      <c r="O2290" s="2">
        <v>83</v>
      </c>
      <c r="P2290" s="8">
        <f t="shared" si="177"/>
        <v>13811</v>
      </c>
      <c r="Q2290" s="8">
        <f t="shared" si="178"/>
        <v>394</v>
      </c>
      <c r="R2290" s="2" t="s">
        <v>28</v>
      </c>
      <c r="S2290" s="24">
        <f t="shared" si="179"/>
        <v>0.05</v>
      </c>
    </row>
    <row r="2291" spans="1:19" x14ac:dyDescent="0.25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>VLOOKUP(F2291,'Customer Info'!$A:$B,2,0)</f>
        <v>Candace</v>
      </c>
      <c r="H2291" s="6" t="str">
        <f>VLOOKUP(F2291,'Customer Info'!$A$1:$C$501,3,0)</f>
        <v>McMahon</v>
      </c>
      <c r="I2291" s="6" t="str">
        <f>VLOOKUP(F2291,Customer,5,0)</f>
        <v>Canberra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990</v>
      </c>
      <c r="O2291" s="2">
        <v>42</v>
      </c>
      <c r="P2291" s="8">
        <f t="shared" si="177"/>
        <v>1032</v>
      </c>
      <c r="Q2291" s="8">
        <f t="shared" si="178"/>
        <v>74</v>
      </c>
      <c r="R2291" s="2" t="s">
        <v>28</v>
      </c>
      <c r="S2291" s="24">
        <f t="shared" si="179"/>
        <v>0.02</v>
      </c>
    </row>
    <row r="2292" spans="1:19" x14ac:dyDescent="0.25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>VLOOKUP(F2292,'Customer Info'!$A:$B,2,0)</f>
        <v>Patricia</v>
      </c>
      <c r="H2292" s="6" t="str">
        <f>VLOOKUP(F2292,'Customer Info'!$A$1:$C$501,3,0)</f>
        <v>Hirasaki</v>
      </c>
      <c r="I2292" s="6" t="str">
        <f>VLOOKUP(F2292,Customer,5,0)</f>
        <v>Pimpri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5906</v>
      </c>
      <c r="O2292" s="2">
        <v>31</v>
      </c>
      <c r="P2292" s="8">
        <f t="shared" si="177"/>
        <v>5937</v>
      </c>
      <c r="Q2292" s="8">
        <f t="shared" si="178"/>
        <v>640</v>
      </c>
      <c r="R2292" s="2" t="s">
        <v>28</v>
      </c>
      <c r="S2292" s="24">
        <f t="shared" si="179"/>
        <v>0.05</v>
      </c>
    </row>
    <row r="2293" spans="1:19" x14ac:dyDescent="0.25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>VLOOKUP(F2293,'Customer Info'!$A:$B,2,0)</f>
        <v>Adam</v>
      </c>
      <c r="H2293" s="6" t="str">
        <f>VLOOKUP(F2293,'Customer Info'!$A$1:$C$501,3,0)</f>
        <v>Bellavance</v>
      </c>
      <c r="I2293" s="6" t="str">
        <f>VLOOKUP(F2293,Customer,5,0)</f>
        <v>Kaiyuan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14464</v>
      </c>
      <c r="O2293" s="2">
        <v>40</v>
      </c>
      <c r="P2293" s="8">
        <f t="shared" si="177"/>
        <v>14504</v>
      </c>
      <c r="Q2293" s="8">
        <f t="shared" si="178"/>
        <v>958</v>
      </c>
      <c r="R2293" s="2" t="s">
        <v>28</v>
      </c>
      <c r="S2293" s="24">
        <f t="shared" si="179"/>
        <v>0.05</v>
      </c>
    </row>
    <row r="2294" spans="1:19" x14ac:dyDescent="0.25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>VLOOKUP(F2294,'Customer Info'!$A:$B,2,0)</f>
        <v>Katrina</v>
      </c>
      <c r="H2294" s="6" t="str">
        <f>VLOOKUP(F2294,'Customer Info'!$A$1:$C$501,3,0)</f>
        <v>Bavinger</v>
      </c>
      <c r="I2294" s="6" t="str">
        <f>VLOOKUP(F2294,Customer,5,0)</f>
        <v>Melbourne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6819</v>
      </c>
      <c r="O2294" s="2">
        <v>37</v>
      </c>
      <c r="P2294" s="8">
        <f t="shared" si="177"/>
        <v>6856</v>
      </c>
      <c r="Q2294" s="8">
        <f t="shared" si="178"/>
        <v>132</v>
      </c>
      <c r="R2294" s="2" t="s">
        <v>50</v>
      </c>
      <c r="S2294" s="24">
        <f t="shared" si="179"/>
        <v>0.05</v>
      </c>
    </row>
    <row r="2295" spans="1:19" x14ac:dyDescent="0.25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>VLOOKUP(F2295,'Customer Info'!$A:$B,2,0)</f>
        <v>Lisa</v>
      </c>
      <c r="H2295" s="6" t="str">
        <f>VLOOKUP(F2295,'Customer Info'!$A$1:$C$501,3,0)</f>
        <v>Ryan</v>
      </c>
      <c r="I2295" s="6" t="str">
        <f>VLOOKUP(F2295,Customer,5,0)</f>
        <v>Berlin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2994</v>
      </c>
      <c r="O2295" s="2">
        <v>27</v>
      </c>
      <c r="P2295" s="8">
        <f t="shared" si="177"/>
        <v>3021</v>
      </c>
      <c r="Q2295" s="8">
        <f t="shared" si="178"/>
        <v>201</v>
      </c>
      <c r="R2295" s="2" t="s">
        <v>26</v>
      </c>
      <c r="S2295" s="24">
        <f t="shared" si="179"/>
        <v>0.02</v>
      </c>
    </row>
    <row r="2296" spans="1:19" x14ac:dyDescent="0.25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>VLOOKUP(F2296,'Customer Info'!$A:$B,2,0)</f>
        <v>Neil</v>
      </c>
      <c r="H2296" s="6" t="str">
        <f>VLOOKUP(F2296,'Customer Info'!$A$1:$C$501,3,0)</f>
        <v>Knudson</v>
      </c>
      <c r="I2296" s="6" t="str">
        <f>VLOOKUP(F2296,Customer,5,0)</f>
        <v>Malang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426</v>
      </c>
      <c r="O2296" s="2">
        <v>30</v>
      </c>
      <c r="P2296" s="8">
        <f t="shared" si="177"/>
        <v>456</v>
      </c>
      <c r="Q2296" s="8">
        <f t="shared" si="178"/>
        <v>24</v>
      </c>
      <c r="R2296" s="2" t="s">
        <v>28</v>
      </c>
      <c r="S2296" s="24">
        <f t="shared" si="179"/>
        <v>0.02</v>
      </c>
    </row>
    <row r="2297" spans="1:19" x14ac:dyDescent="0.25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>VLOOKUP(F2297,'Customer Info'!$A:$B,2,0)</f>
        <v>Jack</v>
      </c>
      <c r="H2297" s="6" t="str">
        <f>VLOOKUP(F2297,'Customer Info'!$A$1:$C$501,3,0)</f>
        <v>O'Briant</v>
      </c>
      <c r="I2297" s="6" t="str">
        <f>VLOOKUP(F2297,Customer,5,0)</f>
        <v>Jammu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12896</v>
      </c>
      <c r="O2297" s="2">
        <v>52</v>
      </c>
      <c r="P2297" s="8">
        <f t="shared" si="177"/>
        <v>12948</v>
      </c>
      <c r="Q2297" s="8">
        <f t="shared" si="178"/>
        <v>960</v>
      </c>
      <c r="R2297" s="2" t="s">
        <v>50</v>
      </c>
      <c r="S2297" s="24">
        <f t="shared" si="179"/>
        <v>0.05</v>
      </c>
    </row>
    <row r="2298" spans="1:19" x14ac:dyDescent="0.25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>VLOOKUP(F2298,'Customer Info'!$A:$B,2,0)</f>
        <v>Kristen</v>
      </c>
      <c r="H2298" s="6" t="str">
        <f>VLOOKUP(F2298,'Customer Info'!$A$1:$C$501,3,0)</f>
        <v>Hastings</v>
      </c>
      <c r="I2298" s="6" t="str">
        <f>VLOOKUP(F2298,Customer,5,0)</f>
        <v>Shihezi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286</v>
      </c>
      <c r="O2298" s="2">
        <v>30</v>
      </c>
      <c r="P2298" s="8">
        <f t="shared" si="177"/>
        <v>316</v>
      </c>
      <c r="Q2298" s="8">
        <f t="shared" si="178"/>
        <v>12</v>
      </c>
      <c r="R2298" s="2" t="s">
        <v>28</v>
      </c>
      <c r="S2298" s="24">
        <f t="shared" si="179"/>
        <v>0.02</v>
      </c>
    </row>
    <row r="2299" spans="1:19" x14ac:dyDescent="0.25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>VLOOKUP(F2299,'Customer Info'!$A:$B,2,0)</f>
        <v>Brooke</v>
      </c>
      <c r="H2299" s="6" t="str">
        <f>VLOOKUP(F2299,'Customer Info'!$A$1:$C$501,3,0)</f>
        <v>Gillingham</v>
      </c>
      <c r="I2299" s="6" t="str">
        <f>VLOOKUP(F2299,Customer,5,0)</f>
        <v>Weimar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567</v>
      </c>
      <c r="O2299" s="2">
        <v>10</v>
      </c>
      <c r="P2299" s="8">
        <f t="shared" si="177"/>
        <v>577</v>
      </c>
      <c r="Q2299" s="8">
        <f t="shared" si="178"/>
        <v>45</v>
      </c>
      <c r="R2299" s="2" t="s">
        <v>28</v>
      </c>
      <c r="S2299" s="24">
        <f t="shared" si="179"/>
        <v>0.02</v>
      </c>
    </row>
    <row r="2300" spans="1:19" x14ac:dyDescent="0.25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>VLOOKUP(F2300,'Customer Info'!$A:$B,2,0)</f>
        <v>Sanjit</v>
      </c>
      <c r="H2300" s="6" t="str">
        <f>VLOOKUP(F2300,'Customer Info'!$A$1:$C$501,3,0)</f>
        <v>Jacobs</v>
      </c>
      <c r="I2300" s="6" t="str">
        <f>VLOOKUP(F2300,Customer,5,0)</f>
        <v>Munich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119</v>
      </c>
      <c r="O2300" s="2">
        <v>30</v>
      </c>
      <c r="P2300" s="8">
        <f t="shared" si="177"/>
        <v>149</v>
      </c>
      <c r="Q2300" s="8">
        <f t="shared" si="178"/>
        <v>7</v>
      </c>
      <c r="R2300" s="2" t="s">
        <v>28</v>
      </c>
      <c r="S2300" s="24">
        <f t="shared" si="179"/>
        <v>0.02</v>
      </c>
    </row>
    <row r="2301" spans="1:19" x14ac:dyDescent="0.25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>VLOOKUP(F2301,'Customer Info'!$A:$B,2,0)</f>
        <v>Jack</v>
      </c>
      <c r="H2301" s="6" t="str">
        <f>VLOOKUP(F2301,'Customer Info'!$A$1:$C$501,3,0)</f>
        <v>Garza</v>
      </c>
      <c r="I2301" s="6" t="str">
        <f>VLOOKUP(F2301,Customer,5,0)</f>
        <v>Taiyuan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14042</v>
      </c>
      <c r="O2301" s="2">
        <v>57</v>
      </c>
      <c r="P2301" s="8">
        <f t="shared" si="177"/>
        <v>14099</v>
      </c>
      <c r="Q2301" s="8">
        <f t="shared" si="178"/>
        <v>670</v>
      </c>
      <c r="R2301" s="2" t="s">
        <v>28</v>
      </c>
      <c r="S2301" s="24">
        <f t="shared" si="179"/>
        <v>0.05</v>
      </c>
    </row>
    <row r="2302" spans="1:19" x14ac:dyDescent="0.25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>VLOOKUP(F2302,'Customer Info'!$A:$B,2,0)</f>
        <v>Michael</v>
      </c>
      <c r="H2302" s="6" t="str">
        <f>VLOOKUP(F2302,'Customer Info'!$A$1:$C$501,3,0)</f>
        <v>Moore</v>
      </c>
      <c r="I2302" s="6" t="str">
        <f>VLOOKUP(F2302,Customer,5,0)</f>
        <v>Geelong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4666</v>
      </c>
      <c r="O2302" s="2">
        <v>98</v>
      </c>
      <c r="P2302" s="8">
        <f t="shared" si="177"/>
        <v>4764</v>
      </c>
      <c r="Q2302" s="8">
        <f t="shared" si="178"/>
        <v>546</v>
      </c>
      <c r="R2302" s="2" t="s">
        <v>28</v>
      </c>
      <c r="S2302" s="24">
        <f t="shared" si="179"/>
        <v>0.02</v>
      </c>
    </row>
    <row r="2303" spans="1:19" x14ac:dyDescent="0.25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>VLOOKUP(F2303,'Customer Info'!$A:$B,2,0)</f>
        <v>Alex</v>
      </c>
      <c r="H2303" s="6" t="str">
        <f>VLOOKUP(F2303,'Customer Info'!$A$1:$C$501,3,0)</f>
        <v>Avila</v>
      </c>
      <c r="I2303" s="6" t="str">
        <f>VLOOKUP(F2303,Customer,5,0)</f>
        <v>Newcastle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9692</v>
      </c>
      <c r="O2303" s="2">
        <v>88</v>
      </c>
      <c r="P2303" s="8">
        <f t="shared" si="177"/>
        <v>9780</v>
      </c>
      <c r="Q2303" s="8">
        <f t="shared" si="178"/>
        <v>708</v>
      </c>
      <c r="R2303" s="2" t="s">
        <v>50</v>
      </c>
      <c r="S2303" s="24">
        <f t="shared" si="179"/>
        <v>0.05</v>
      </c>
    </row>
    <row r="2304" spans="1:19" x14ac:dyDescent="0.25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>VLOOKUP(F2304,'Customer Info'!$A:$B,2,0)</f>
        <v>Rachel</v>
      </c>
      <c r="H2304" s="6" t="str">
        <f>VLOOKUP(F2304,'Customer Info'!$A$1:$C$501,3,0)</f>
        <v>Payne</v>
      </c>
      <c r="I2304" s="6" t="str">
        <f>VLOOKUP(F2304,Customer,5,0)</f>
        <v>Fuzhou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4990</v>
      </c>
      <c r="O2304" s="2">
        <v>60</v>
      </c>
      <c r="P2304" s="8">
        <f t="shared" si="177"/>
        <v>5050</v>
      </c>
      <c r="Q2304" s="8">
        <f t="shared" si="178"/>
        <v>335</v>
      </c>
      <c r="R2304" s="2" t="s">
        <v>28</v>
      </c>
      <c r="S2304" s="24">
        <f t="shared" si="179"/>
        <v>0.02</v>
      </c>
    </row>
    <row r="2305" spans="1:19" x14ac:dyDescent="0.25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>VLOOKUP(F2305,'Customer Info'!$A:$B,2,0)</f>
        <v>Bradley</v>
      </c>
      <c r="H2305" s="6" t="str">
        <f>VLOOKUP(F2305,'Customer Info'!$A$1:$C$501,3,0)</f>
        <v>Nguyen</v>
      </c>
      <c r="I2305" s="6" t="str">
        <f>VLOOKUP(F2305,Customer,5,0)</f>
        <v>Shenzhen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2226</v>
      </c>
      <c r="O2305" s="2">
        <v>40</v>
      </c>
      <c r="P2305" s="8">
        <f t="shared" si="177"/>
        <v>2266</v>
      </c>
      <c r="Q2305" s="8">
        <f t="shared" si="178"/>
        <v>146</v>
      </c>
      <c r="R2305" s="2" t="s">
        <v>28</v>
      </c>
      <c r="S2305" s="24">
        <f t="shared" si="179"/>
        <v>0.02</v>
      </c>
    </row>
    <row r="2306" spans="1:19" x14ac:dyDescent="0.25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>VLOOKUP(F2306,'Customer Info'!$A:$B,2,0)</f>
        <v>Rick</v>
      </c>
      <c r="H2306" s="6" t="str">
        <f>VLOOKUP(F2306,'Customer Info'!$A$1:$C$501,3,0)</f>
        <v>Reed</v>
      </c>
      <c r="I2306" s="6" t="str">
        <f>VLOOKUP(F2306,Customer,5,0)</f>
        <v>Lucknow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715</v>
      </c>
      <c r="O2306" s="2">
        <v>30</v>
      </c>
      <c r="P2306" s="8">
        <f t="shared" si="177"/>
        <v>745</v>
      </c>
      <c r="Q2306" s="8">
        <f t="shared" si="178"/>
        <v>30</v>
      </c>
      <c r="R2306" s="2" t="s">
        <v>28</v>
      </c>
      <c r="S2306" s="24">
        <f t="shared" si="179"/>
        <v>0.02</v>
      </c>
    </row>
    <row r="2307" spans="1:19" x14ac:dyDescent="0.25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>VLOOKUP(F2307,'Customer Info'!$A:$B,2,0)</f>
        <v>Adam</v>
      </c>
      <c r="H2307" s="6" t="str">
        <f>VLOOKUP(F2307,'Customer Info'!$A$1:$C$501,3,0)</f>
        <v>Bellavance</v>
      </c>
      <c r="I2307" s="6" t="str">
        <f>VLOOKUP(F2307,Customer,5,0)</f>
        <v>Kaiyuan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3954</v>
      </c>
      <c r="O2307" s="2">
        <v>21</v>
      </c>
      <c r="P2307" s="8">
        <f t="shared" si="177"/>
        <v>3975</v>
      </c>
      <c r="Q2307" s="8">
        <f t="shared" si="178"/>
        <v>327</v>
      </c>
      <c r="R2307" s="2" t="s">
        <v>28</v>
      </c>
      <c r="S2307" s="24">
        <f t="shared" si="179"/>
        <v>0.02</v>
      </c>
    </row>
    <row r="2308" spans="1:19" x14ac:dyDescent="0.25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>VLOOKUP(F2308,'Customer Info'!$A:$B,2,0)</f>
        <v>Ben</v>
      </c>
      <c r="H2308" s="6" t="str">
        <f>VLOOKUP(F2308,'Customer Info'!$A$1:$C$501,3,0)</f>
        <v>Peterman</v>
      </c>
      <c r="I2308" s="6" t="str">
        <f>VLOOKUP(F2308,Customer,5,0)</f>
        <v>Bielefeld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3395</v>
      </c>
      <c r="O2308" s="2">
        <v>36</v>
      </c>
      <c r="P2308" s="8">
        <f t="shared" si="177"/>
        <v>3431</v>
      </c>
      <c r="Q2308" s="8">
        <f t="shared" si="178"/>
        <v>125</v>
      </c>
      <c r="R2308" s="2" t="s">
        <v>26</v>
      </c>
      <c r="S2308" s="24">
        <f t="shared" si="179"/>
        <v>0.02</v>
      </c>
    </row>
    <row r="2309" spans="1:19" x14ac:dyDescent="0.25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>VLOOKUP(F2309,'Customer Info'!$A:$B,2,0)</f>
        <v>Ben</v>
      </c>
      <c r="H2309" s="6" t="str">
        <f>VLOOKUP(F2309,'Customer Info'!$A$1:$C$501,3,0)</f>
        <v>Peterman</v>
      </c>
      <c r="I2309" s="6" t="str">
        <f>VLOOKUP(F2309,Customer,5,0)</f>
        <v>Bielefeld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4116</v>
      </c>
      <c r="O2309" s="2">
        <v>95</v>
      </c>
      <c r="P2309" s="8">
        <f t="shared" si="177"/>
        <v>4211</v>
      </c>
      <c r="Q2309" s="8">
        <f t="shared" si="178"/>
        <v>192</v>
      </c>
      <c r="R2309" s="2" t="s">
        <v>50</v>
      </c>
      <c r="S2309" s="24">
        <f t="shared" si="179"/>
        <v>0.02</v>
      </c>
    </row>
    <row r="2310" spans="1:19" x14ac:dyDescent="0.25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>VLOOKUP(F2310,'Customer Info'!$A:$B,2,0)</f>
        <v>Greg</v>
      </c>
      <c r="H2310" s="6" t="str">
        <f>VLOOKUP(F2310,'Customer Info'!$A$1:$C$501,3,0)</f>
        <v>Hansen</v>
      </c>
      <c r="I2310" s="6" t="str">
        <f>VLOOKUP(F2310,Customer,5,0)</f>
        <v>Canberra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4086</v>
      </c>
      <c r="O2310" s="2">
        <v>67</v>
      </c>
      <c r="P2310" s="8">
        <f t="shared" si="177"/>
        <v>4153</v>
      </c>
      <c r="Q2310" s="8">
        <f t="shared" si="178"/>
        <v>234</v>
      </c>
      <c r="R2310" s="2" t="s">
        <v>28</v>
      </c>
      <c r="S2310" s="24">
        <f t="shared" si="179"/>
        <v>0.02</v>
      </c>
    </row>
    <row r="2311" spans="1:19" x14ac:dyDescent="0.25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>VLOOKUP(F2311,'Customer Info'!$A:$B,2,0)</f>
        <v>Hilary</v>
      </c>
      <c r="H2311" s="6" t="str">
        <f>VLOOKUP(F2311,'Customer Info'!$A$1:$C$501,3,0)</f>
        <v>Holden</v>
      </c>
      <c r="I2311" s="6" t="str">
        <f>VLOOKUP(F2311,Customer,5,0)</f>
        <v>Mysore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2085</v>
      </c>
      <c r="O2311" s="2">
        <v>99</v>
      </c>
      <c r="P2311" s="8">
        <f t="shared" si="177"/>
        <v>2184</v>
      </c>
      <c r="Q2311" s="8">
        <f t="shared" si="178"/>
        <v>102</v>
      </c>
      <c r="R2311" s="2" t="s">
        <v>28</v>
      </c>
      <c r="S2311" s="24">
        <f t="shared" si="179"/>
        <v>0.02</v>
      </c>
    </row>
    <row r="2312" spans="1:19" x14ac:dyDescent="0.25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>VLOOKUP(F2312,'Customer Info'!$A:$B,2,0)</f>
        <v>Shui</v>
      </c>
      <c r="H2312" s="6" t="str">
        <f>VLOOKUP(F2312,'Customer Info'!$A$1:$C$501,3,0)</f>
        <v>Tom</v>
      </c>
      <c r="I2312" s="6" t="str">
        <f>VLOOKUP(F2312,Customer,5,0)</f>
        <v>Jakarta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9906</v>
      </c>
      <c r="O2312" s="2">
        <v>72</v>
      </c>
      <c r="P2312" s="8">
        <f t="shared" si="177"/>
        <v>9978</v>
      </c>
      <c r="Q2312" s="8">
        <f t="shared" si="178"/>
        <v>282</v>
      </c>
      <c r="R2312" s="2" t="s">
        <v>26</v>
      </c>
      <c r="S2312" s="24">
        <f t="shared" si="179"/>
        <v>0.05</v>
      </c>
    </row>
    <row r="2313" spans="1:19" x14ac:dyDescent="0.25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>VLOOKUP(F2313,'Customer Info'!$A:$B,2,0)</f>
        <v>Barry</v>
      </c>
      <c r="H2313" s="6" t="str">
        <f>VLOOKUP(F2313,'Customer Info'!$A$1:$C$501,3,0)</f>
        <v>Blumstein</v>
      </c>
      <c r="I2313" s="6" t="str">
        <f>VLOOKUP(F2313,Customer,5,0)</f>
        <v>Gold Coast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127</v>
      </c>
      <c r="O2313" s="2">
        <v>30</v>
      </c>
      <c r="P2313" s="8">
        <f t="shared" si="177"/>
        <v>157</v>
      </c>
      <c r="Q2313" s="8">
        <f t="shared" si="178"/>
        <v>11</v>
      </c>
      <c r="R2313" s="2" t="s">
        <v>50</v>
      </c>
      <c r="S2313" s="24">
        <f t="shared" si="179"/>
        <v>0.02</v>
      </c>
    </row>
    <row r="2314" spans="1:19" x14ac:dyDescent="0.25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>VLOOKUP(F2314,'Customer Info'!$A:$B,2,0)</f>
        <v>Bill</v>
      </c>
      <c r="H2314" s="6" t="str">
        <f>VLOOKUP(F2314,'Customer Info'!$A$1:$C$501,3,0)</f>
        <v>Eplett</v>
      </c>
      <c r="I2314" s="6" t="str">
        <f>VLOOKUP(F2314,Customer,5,0)</f>
        <v>Newcastle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1680</v>
      </c>
      <c r="O2314" s="2">
        <v>55</v>
      </c>
      <c r="P2314" s="8">
        <f t="shared" si="177"/>
        <v>1735</v>
      </c>
      <c r="Q2314" s="8">
        <f t="shared" si="178"/>
        <v>136</v>
      </c>
      <c r="R2314" s="2" t="s">
        <v>28</v>
      </c>
      <c r="S2314" s="24">
        <f t="shared" si="179"/>
        <v>0.02</v>
      </c>
    </row>
    <row r="2315" spans="1:19" x14ac:dyDescent="0.25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>VLOOKUP(F2315,'Customer Info'!$A:$B,2,0)</f>
        <v>Deirdre</v>
      </c>
      <c r="H2315" s="6" t="str">
        <f>VLOOKUP(F2315,'Customer Info'!$A$1:$C$501,3,0)</f>
        <v>Greer</v>
      </c>
      <c r="I2315" s="6" t="str">
        <f>VLOOKUP(F2315,Customer,5,0)</f>
        <v>Bandung</v>
      </c>
      <c r="J2315" s="2">
        <v>7960</v>
      </c>
      <c r="K2315" s="2">
        <v>7375</v>
      </c>
      <c r="L2315" s="2">
        <v>2</v>
      </c>
      <c r="M2315" s="7">
        <f t="shared" ref="M2315:M2378" si="180">K2315*L2315</f>
        <v>14750</v>
      </c>
      <c r="N2315" s="7">
        <f t="shared" ref="N2315:N2378" si="181">J2315*L2315</f>
        <v>15920</v>
      </c>
      <c r="O2315" s="2">
        <v>77</v>
      </c>
      <c r="P2315" s="8">
        <f t="shared" ref="P2315:P2378" si="182">N2315+O2315</f>
        <v>15997</v>
      </c>
      <c r="Q2315" s="8">
        <f t="shared" ref="Q2315:Q2378" si="183">N2315-M2315</f>
        <v>1170</v>
      </c>
      <c r="R2315" s="2" t="s">
        <v>28</v>
      </c>
      <c r="S2315" s="24">
        <f t="shared" ref="S2315:S2378" si="184">VLOOKUP(N2315,$T$1:$U$7,2,TRUE)</f>
        <v>0.05</v>
      </c>
    </row>
    <row r="2316" spans="1:19" x14ac:dyDescent="0.25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>VLOOKUP(F2316,'Customer Info'!$A:$B,2,0)</f>
        <v>Toby</v>
      </c>
      <c r="H2316" s="6" t="str">
        <f>VLOOKUP(F2316,'Customer Info'!$A$1:$C$501,3,0)</f>
        <v>Swindell</v>
      </c>
      <c r="I2316" s="6" t="str">
        <f>VLOOKUP(F2316,Customer,5,0)</f>
        <v>Ninghai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8">
        <f t="shared" si="182"/>
        <v>86364</v>
      </c>
      <c r="Q2316" s="8">
        <f t="shared" si="183"/>
        <v>9364</v>
      </c>
      <c r="R2316" s="2" t="s">
        <v>28</v>
      </c>
      <c r="S2316" s="24">
        <f t="shared" si="184"/>
        <v>0.09</v>
      </c>
    </row>
    <row r="2317" spans="1:19" x14ac:dyDescent="0.25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>VLOOKUP(F2317,'Customer Info'!$A:$B,2,0)</f>
        <v>Jill</v>
      </c>
      <c r="H2317" s="6" t="str">
        <f>VLOOKUP(F2317,'Customer Info'!$A$1:$C$501,3,0)</f>
        <v>Stevenson</v>
      </c>
      <c r="I2317" s="6" t="str">
        <f>VLOOKUP(F2317,Customer,5,0)</f>
        <v>Bengbu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8">
        <f t="shared" si="182"/>
        <v>71</v>
      </c>
      <c r="Q2317" s="8">
        <f t="shared" si="183"/>
        <v>5</v>
      </c>
      <c r="R2317" s="2" t="s">
        <v>28</v>
      </c>
      <c r="S2317" s="24">
        <f t="shared" si="184"/>
        <v>0.02</v>
      </c>
    </row>
    <row r="2318" spans="1:19" x14ac:dyDescent="0.25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>VLOOKUP(F2318,'Customer Info'!$A:$B,2,0)</f>
        <v>Matt</v>
      </c>
      <c r="H2318" s="6" t="str">
        <f>VLOOKUP(F2318,'Customer Info'!$A$1:$C$501,3,0)</f>
        <v>Collins</v>
      </c>
      <c r="I2318" s="6" t="str">
        <f>VLOOKUP(F2318,Customer,5,0)</f>
        <v>Mumbai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8">
        <f t="shared" si="182"/>
        <v>698</v>
      </c>
      <c r="Q2318" s="8">
        <f t="shared" si="183"/>
        <v>60</v>
      </c>
      <c r="R2318" s="2" t="s">
        <v>50</v>
      </c>
      <c r="S2318" s="24">
        <f t="shared" si="184"/>
        <v>0.02</v>
      </c>
    </row>
    <row r="2319" spans="1:19" x14ac:dyDescent="0.25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>VLOOKUP(F2319,'Customer Info'!$A:$B,2,0)</f>
        <v>Valerie</v>
      </c>
      <c r="H2319" s="6" t="str">
        <f>VLOOKUP(F2319,'Customer Info'!$A$1:$C$501,3,0)</f>
        <v>Takahito</v>
      </c>
      <c r="I2319" s="6" t="str">
        <f>VLOOKUP(F2319,Customer,5,0)</f>
        <v>Surat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8">
        <f t="shared" si="182"/>
        <v>4882</v>
      </c>
      <c r="Q2319" s="8">
        <f t="shared" si="183"/>
        <v>531</v>
      </c>
      <c r="R2319" s="2" t="s">
        <v>28</v>
      </c>
      <c r="S2319" s="24">
        <f t="shared" si="184"/>
        <v>0.02</v>
      </c>
    </row>
    <row r="2320" spans="1:19" x14ac:dyDescent="0.25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>VLOOKUP(F2320,'Customer Info'!$A:$B,2,0)</f>
        <v>Hunter</v>
      </c>
      <c r="H2320" s="6" t="str">
        <f>VLOOKUP(F2320,'Customer Info'!$A$1:$C$501,3,0)</f>
        <v>Lopez</v>
      </c>
      <c r="I2320" s="6" t="str">
        <f>VLOOKUP(F2320,Customer,5,0)</f>
        <v>Pekanbaru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15068</v>
      </c>
      <c r="O2320" s="2">
        <v>76</v>
      </c>
      <c r="P2320" s="8">
        <f t="shared" si="182"/>
        <v>15144</v>
      </c>
      <c r="Q2320" s="8">
        <f t="shared" si="183"/>
        <v>856</v>
      </c>
      <c r="R2320" s="2" t="s">
        <v>28</v>
      </c>
      <c r="S2320" s="24">
        <f t="shared" si="184"/>
        <v>0.05</v>
      </c>
    </row>
    <row r="2321" spans="1:19" x14ac:dyDescent="0.25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>VLOOKUP(F2321,'Customer Info'!$A:$B,2,0)</f>
        <v>Nancy</v>
      </c>
      <c r="H2321" s="6" t="str">
        <f>VLOOKUP(F2321,'Customer Info'!$A$1:$C$501,3,0)</f>
        <v>Lomonaco</v>
      </c>
      <c r="I2321" s="6" t="str">
        <f>VLOOKUP(F2321,Customer,5,0)</f>
        <v>Tengzhou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2710</v>
      </c>
      <c r="O2321" s="2">
        <v>87</v>
      </c>
      <c r="P2321" s="8">
        <f t="shared" si="182"/>
        <v>2797</v>
      </c>
      <c r="Q2321" s="8">
        <f t="shared" si="183"/>
        <v>250</v>
      </c>
      <c r="R2321" s="2" t="s">
        <v>56</v>
      </c>
      <c r="S2321" s="24">
        <f t="shared" si="184"/>
        <v>0.02</v>
      </c>
    </row>
    <row r="2322" spans="1:19" x14ac:dyDescent="0.25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>VLOOKUP(F2322,'Customer Info'!$A:$B,2,0)</f>
        <v>Eugene</v>
      </c>
      <c r="H2322" s="6" t="str">
        <f>VLOOKUP(F2322,'Customer Info'!$A$1:$C$501,3,0)</f>
        <v>Hildebrand</v>
      </c>
      <c r="I2322" s="6" t="str">
        <f>VLOOKUP(F2322,Customer,5,0)</f>
        <v>Sindelfingen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4584</v>
      </c>
      <c r="O2322" s="2">
        <v>70</v>
      </c>
      <c r="P2322" s="8">
        <f t="shared" si="182"/>
        <v>4654</v>
      </c>
      <c r="Q2322" s="8">
        <f t="shared" si="183"/>
        <v>340</v>
      </c>
      <c r="R2322" s="2" t="s">
        <v>26</v>
      </c>
      <c r="S2322" s="24">
        <f t="shared" si="184"/>
        <v>0.02</v>
      </c>
    </row>
    <row r="2323" spans="1:19" x14ac:dyDescent="0.25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>VLOOKUP(F2323,'Customer Info'!$A:$B,2,0)</f>
        <v>Darren</v>
      </c>
      <c r="H2323" s="6" t="str">
        <f>VLOOKUP(F2323,'Customer Info'!$A$1:$C$501,3,0)</f>
        <v>Budd</v>
      </c>
      <c r="I2323" s="6" t="str">
        <f>VLOOKUP(F2323,Customer,5,0)</f>
        <v>Regensburg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3091</v>
      </c>
      <c r="O2323" s="2">
        <v>45</v>
      </c>
      <c r="P2323" s="8">
        <f t="shared" si="182"/>
        <v>3136</v>
      </c>
      <c r="Q2323" s="8">
        <f t="shared" si="183"/>
        <v>202</v>
      </c>
      <c r="R2323" s="2" t="s">
        <v>28</v>
      </c>
      <c r="S2323" s="24">
        <f t="shared" si="184"/>
        <v>0.02</v>
      </c>
    </row>
    <row r="2324" spans="1:19" x14ac:dyDescent="0.25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>VLOOKUP(F2324,'Customer Info'!$A:$B,2,0)</f>
        <v>Nat</v>
      </c>
      <c r="H2324" s="6" t="str">
        <f>VLOOKUP(F2324,'Customer Info'!$A$1:$C$501,3,0)</f>
        <v>Carroll</v>
      </c>
      <c r="I2324" s="6" t="str">
        <f>VLOOKUP(F2324,Customer,5,0)</f>
        <v>Shanghai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191</v>
      </c>
      <c r="O2324" s="2">
        <v>30</v>
      </c>
      <c r="P2324" s="8">
        <f t="shared" si="182"/>
        <v>221</v>
      </c>
      <c r="Q2324" s="8">
        <f t="shared" si="183"/>
        <v>21</v>
      </c>
      <c r="R2324" s="2" t="s">
        <v>28</v>
      </c>
      <c r="S2324" s="24">
        <f t="shared" si="184"/>
        <v>0.02</v>
      </c>
    </row>
    <row r="2325" spans="1:19" x14ac:dyDescent="0.25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>VLOOKUP(F2325,'Customer Info'!$A:$B,2,0)</f>
        <v>Debra</v>
      </c>
      <c r="H2325" s="6" t="str">
        <f>VLOOKUP(F2325,'Customer Info'!$A$1:$C$501,3,0)</f>
        <v>Catini</v>
      </c>
      <c r="I2325" s="6" t="str">
        <f>VLOOKUP(F2325,Customer,5,0)</f>
        <v>Brisbane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18081</v>
      </c>
      <c r="O2325" s="2">
        <v>41</v>
      </c>
      <c r="P2325" s="8">
        <f t="shared" si="182"/>
        <v>18122</v>
      </c>
      <c r="Q2325" s="8">
        <f t="shared" si="183"/>
        <v>999</v>
      </c>
      <c r="R2325" s="2" t="s">
        <v>28</v>
      </c>
      <c r="S2325" s="24">
        <f t="shared" si="184"/>
        <v>0.05</v>
      </c>
    </row>
    <row r="2326" spans="1:19" x14ac:dyDescent="0.25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>VLOOKUP(F2326,'Customer Info'!$A:$B,2,0)</f>
        <v>Emily</v>
      </c>
      <c r="H2326" s="6" t="str">
        <f>VLOOKUP(F2326,'Customer Info'!$A$1:$C$501,3,0)</f>
        <v>Burns</v>
      </c>
      <c r="I2326" s="6" t="str">
        <f>VLOOKUP(F2326,Customer,5,0)</f>
        <v>Adelaide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38328</v>
      </c>
      <c r="O2326" s="2">
        <v>34</v>
      </c>
      <c r="P2326" s="8">
        <f t="shared" si="182"/>
        <v>38362</v>
      </c>
      <c r="Q2326" s="8">
        <f t="shared" si="183"/>
        <v>3164</v>
      </c>
      <c r="R2326" s="2" t="s">
        <v>28</v>
      </c>
      <c r="S2326" s="24">
        <f t="shared" si="184"/>
        <v>7.0000000000000007E-2</v>
      </c>
    </row>
    <row r="2327" spans="1:19" x14ac:dyDescent="0.25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>VLOOKUP(F2327,'Customer Info'!$A:$B,2,0)</f>
        <v>Stuart</v>
      </c>
      <c r="H2327" s="6" t="str">
        <f>VLOOKUP(F2327,'Customer Info'!$A$1:$C$501,3,0)</f>
        <v>Calhoun</v>
      </c>
      <c r="I2327" s="6" t="str">
        <f>VLOOKUP(F2327,Customer,5,0)</f>
        <v>Bochum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1498</v>
      </c>
      <c r="O2327" s="2">
        <v>37</v>
      </c>
      <c r="P2327" s="8">
        <f t="shared" si="182"/>
        <v>1535</v>
      </c>
      <c r="Q2327" s="8">
        <f t="shared" si="183"/>
        <v>163</v>
      </c>
      <c r="R2327" s="2" t="s">
        <v>28</v>
      </c>
      <c r="S2327" s="24">
        <f t="shared" si="184"/>
        <v>0.02</v>
      </c>
    </row>
    <row r="2328" spans="1:19" x14ac:dyDescent="0.25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>VLOOKUP(F2328,'Customer Info'!$A:$B,2,0)</f>
        <v>Shui</v>
      </c>
      <c r="H2328" s="6" t="str">
        <f>VLOOKUP(F2328,'Customer Info'!$A$1:$C$501,3,0)</f>
        <v>Tom</v>
      </c>
      <c r="I2328" s="6" t="str">
        <f>VLOOKUP(F2328,Customer,5,0)</f>
        <v>Jakarta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13632</v>
      </c>
      <c r="O2328" s="2">
        <v>48</v>
      </c>
      <c r="P2328" s="8">
        <f t="shared" si="182"/>
        <v>13680</v>
      </c>
      <c r="Q2328" s="8">
        <f t="shared" si="183"/>
        <v>772</v>
      </c>
      <c r="R2328" s="2" t="s">
        <v>50</v>
      </c>
      <c r="S2328" s="24">
        <f t="shared" si="184"/>
        <v>0.05</v>
      </c>
    </row>
    <row r="2329" spans="1:19" x14ac:dyDescent="0.25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>VLOOKUP(F2329,'Customer Info'!$A:$B,2,0)</f>
        <v>Hunter</v>
      </c>
      <c r="H2329" s="6" t="str">
        <f>VLOOKUP(F2329,'Customer Info'!$A$1:$C$501,3,0)</f>
        <v>Lopez</v>
      </c>
      <c r="I2329" s="6" t="str">
        <f>VLOOKUP(F2329,Customer,5,0)</f>
        <v>Wollongong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567</v>
      </c>
      <c r="O2329" s="2">
        <v>10</v>
      </c>
      <c r="P2329" s="8">
        <f t="shared" si="182"/>
        <v>577</v>
      </c>
      <c r="Q2329" s="8">
        <f t="shared" si="183"/>
        <v>45</v>
      </c>
      <c r="R2329" s="2" t="s">
        <v>28</v>
      </c>
      <c r="S2329" s="24">
        <f t="shared" si="184"/>
        <v>0.02</v>
      </c>
    </row>
    <row r="2330" spans="1:19" x14ac:dyDescent="0.25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>VLOOKUP(F2330,'Customer Info'!$A:$B,2,0)</f>
        <v>Carl</v>
      </c>
      <c r="H2330" s="6" t="str">
        <f>VLOOKUP(F2330,'Customer Info'!$A$1:$C$501,3,0)</f>
        <v>Weiss</v>
      </c>
      <c r="I2330" s="6" t="str">
        <f>VLOOKUP(F2330,Customer,5,0)</f>
        <v>Delhi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4869</v>
      </c>
      <c r="O2330" s="2">
        <v>48</v>
      </c>
      <c r="P2330" s="8">
        <f t="shared" si="182"/>
        <v>4917</v>
      </c>
      <c r="Q2330" s="8">
        <f t="shared" si="183"/>
        <v>231</v>
      </c>
      <c r="R2330" s="2" t="s">
        <v>28</v>
      </c>
      <c r="S2330" s="24">
        <f t="shared" si="184"/>
        <v>0.02</v>
      </c>
    </row>
    <row r="2331" spans="1:19" x14ac:dyDescent="0.25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>VLOOKUP(F2331,'Customer Info'!$A:$B,2,0)</f>
        <v>Delfina</v>
      </c>
      <c r="H2331" s="6" t="str">
        <f>VLOOKUP(F2331,'Customer Info'!$A$1:$C$501,3,0)</f>
        <v>Latchford</v>
      </c>
      <c r="I2331" s="6" t="str">
        <f>VLOOKUP(F2331,Customer,5,0)</f>
        <v>Yogyakarta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16758</v>
      </c>
      <c r="O2331" s="2">
        <v>98</v>
      </c>
      <c r="P2331" s="8">
        <f t="shared" si="182"/>
        <v>16856</v>
      </c>
      <c r="Q2331" s="8">
        <f t="shared" si="183"/>
        <v>636</v>
      </c>
      <c r="R2331" s="2" t="s">
        <v>50</v>
      </c>
      <c r="S2331" s="24">
        <f t="shared" si="184"/>
        <v>0.05</v>
      </c>
    </row>
    <row r="2332" spans="1:19" x14ac:dyDescent="0.25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>VLOOKUP(F2332,'Customer Info'!$A:$B,2,0)</f>
        <v>Caroline</v>
      </c>
      <c r="H2332" s="6" t="str">
        <f>VLOOKUP(F2332,'Customer Info'!$A$1:$C$501,3,0)</f>
        <v>Jumper</v>
      </c>
      <c r="I2332" s="6" t="str">
        <f>VLOOKUP(F2332,Customer,5,0)</f>
        <v>Xuzhou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1809</v>
      </c>
      <c r="O2332" s="2">
        <v>32</v>
      </c>
      <c r="P2332" s="8">
        <f t="shared" si="182"/>
        <v>1841</v>
      </c>
      <c r="Q2332" s="8">
        <f t="shared" si="183"/>
        <v>118</v>
      </c>
      <c r="R2332" s="2" t="s">
        <v>28</v>
      </c>
      <c r="S2332" s="24">
        <f t="shared" si="184"/>
        <v>0.02</v>
      </c>
    </row>
    <row r="2333" spans="1:19" x14ac:dyDescent="0.25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>VLOOKUP(F2333,'Customer Info'!$A:$B,2,0)</f>
        <v>Ed</v>
      </c>
      <c r="H2333" s="6" t="str">
        <f>VLOOKUP(F2333,'Customer Info'!$A$1:$C$501,3,0)</f>
        <v>Braxton</v>
      </c>
      <c r="I2333" s="6" t="str">
        <f>VLOOKUP(F2333,Customer,5,0)</f>
        <v>Bhatpara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1533</v>
      </c>
      <c r="O2333" s="2">
        <v>88</v>
      </c>
      <c r="P2333" s="8">
        <f t="shared" si="182"/>
        <v>1621</v>
      </c>
      <c r="Q2333" s="8">
        <f t="shared" si="183"/>
        <v>129</v>
      </c>
      <c r="R2333" s="2" t="s">
        <v>50</v>
      </c>
      <c r="S2333" s="24">
        <f t="shared" si="184"/>
        <v>0.02</v>
      </c>
    </row>
    <row r="2334" spans="1:19" x14ac:dyDescent="0.25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>VLOOKUP(F2334,'Customer Info'!$A:$B,2,0)</f>
        <v>Brendan</v>
      </c>
      <c r="H2334" s="6" t="str">
        <f>VLOOKUP(F2334,'Customer Info'!$A$1:$C$501,3,0)</f>
        <v>Murry</v>
      </c>
      <c r="I2334" s="6" t="str">
        <f>VLOOKUP(F2334,Customer,5,0)</f>
        <v>Schwerin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43095</v>
      </c>
      <c r="O2334" s="2">
        <v>73</v>
      </c>
      <c r="P2334" s="8">
        <f t="shared" si="182"/>
        <v>43168</v>
      </c>
      <c r="Q2334" s="8">
        <f t="shared" si="183"/>
        <v>4300</v>
      </c>
      <c r="R2334" s="2" t="s">
        <v>50</v>
      </c>
      <c r="S2334" s="24">
        <f t="shared" si="184"/>
        <v>7.0000000000000007E-2</v>
      </c>
    </row>
    <row r="2335" spans="1:19" x14ac:dyDescent="0.25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>VLOOKUP(F2335,'Customer Info'!$A:$B,2,0)</f>
        <v>Jeremy</v>
      </c>
      <c r="H2335" s="6" t="str">
        <f>VLOOKUP(F2335,'Customer Info'!$A$1:$C$501,3,0)</f>
        <v>Ellison</v>
      </c>
      <c r="I2335" s="6" t="str">
        <f>VLOOKUP(F2335,Customer,5,0)</f>
        <v>Faridabad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35016</v>
      </c>
      <c r="O2335" s="2">
        <v>61</v>
      </c>
      <c r="P2335" s="8">
        <f t="shared" si="182"/>
        <v>35077</v>
      </c>
      <c r="Q2335" s="8">
        <f t="shared" si="183"/>
        <v>2274</v>
      </c>
      <c r="R2335" s="2" t="s">
        <v>28</v>
      </c>
      <c r="S2335" s="24">
        <f t="shared" si="184"/>
        <v>7.0000000000000007E-2</v>
      </c>
    </row>
    <row r="2336" spans="1:19" x14ac:dyDescent="0.25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>VLOOKUP(F2336,'Customer Info'!$A:$B,2,0)</f>
        <v>Max</v>
      </c>
      <c r="H2336" s="6" t="str">
        <f>VLOOKUP(F2336,'Customer Info'!$A$1:$C$501,3,0)</f>
        <v>Jones</v>
      </c>
      <c r="I2336" s="6" t="str">
        <f>VLOOKUP(F2336,Customer,5,0)</f>
        <v>Yuncheng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2706</v>
      </c>
      <c r="O2336" s="2">
        <v>56</v>
      </c>
      <c r="P2336" s="8">
        <f t="shared" si="182"/>
        <v>2762</v>
      </c>
      <c r="Q2336" s="8">
        <f t="shared" si="183"/>
        <v>153</v>
      </c>
      <c r="R2336" s="2" t="s">
        <v>50</v>
      </c>
      <c r="S2336" s="24">
        <f t="shared" si="184"/>
        <v>0.02</v>
      </c>
    </row>
    <row r="2337" spans="1:19" x14ac:dyDescent="0.25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>VLOOKUP(F2337,'Customer Info'!$A:$B,2,0)</f>
        <v>Dan</v>
      </c>
      <c r="H2337" s="6" t="str">
        <f>VLOOKUP(F2337,'Customer Info'!$A$1:$C$501,3,0)</f>
        <v>Campbell</v>
      </c>
      <c r="I2337" s="6" t="str">
        <f>VLOOKUP(F2337,Customer,5,0)</f>
        <v>Perth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3206</v>
      </c>
      <c r="O2337" s="2">
        <v>32</v>
      </c>
      <c r="P2337" s="8">
        <f t="shared" si="182"/>
        <v>3238</v>
      </c>
      <c r="Q2337" s="8">
        <f t="shared" si="183"/>
        <v>273</v>
      </c>
      <c r="R2337" s="2" t="s">
        <v>28</v>
      </c>
      <c r="S2337" s="24">
        <f t="shared" si="184"/>
        <v>0.02</v>
      </c>
    </row>
    <row r="2338" spans="1:19" x14ac:dyDescent="0.25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>VLOOKUP(F2338,'Customer Info'!$A:$B,2,0)</f>
        <v>Jeremy</v>
      </c>
      <c r="H2338" s="6" t="str">
        <f>VLOOKUP(F2338,'Customer Info'!$A$1:$C$501,3,0)</f>
        <v>Ellison</v>
      </c>
      <c r="I2338" s="6" t="str">
        <f>VLOOKUP(F2338,Customer,5,0)</f>
        <v>Jammu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25857</v>
      </c>
      <c r="O2338" s="2">
        <v>60</v>
      </c>
      <c r="P2338" s="8">
        <f t="shared" si="182"/>
        <v>25917</v>
      </c>
      <c r="Q2338" s="8">
        <f t="shared" si="183"/>
        <v>2580</v>
      </c>
      <c r="R2338" s="2" t="s">
        <v>28</v>
      </c>
      <c r="S2338" s="24">
        <f t="shared" si="184"/>
        <v>7.0000000000000007E-2</v>
      </c>
    </row>
    <row r="2339" spans="1:19" x14ac:dyDescent="0.25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>VLOOKUP(F2339,'Customer Info'!$A:$B,2,0)</f>
        <v>Brenda</v>
      </c>
      <c r="H2339" s="6" t="str">
        <f>VLOOKUP(F2339,'Customer Info'!$A$1:$C$501,3,0)</f>
        <v>Bowman</v>
      </c>
      <c r="I2339" s="6" t="str">
        <f>VLOOKUP(F2339,Customer,5,0)</f>
        <v>Perth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1001</v>
      </c>
      <c r="O2339" s="2">
        <v>30</v>
      </c>
      <c r="P2339" s="8">
        <f t="shared" si="182"/>
        <v>1031</v>
      </c>
      <c r="Q2339" s="8">
        <f t="shared" si="183"/>
        <v>42</v>
      </c>
      <c r="R2339" s="2" t="s">
        <v>28</v>
      </c>
      <c r="S2339" s="24">
        <f t="shared" si="184"/>
        <v>0.02</v>
      </c>
    </row>
    <row r="2340" spans="1:19" x14ac:dyDescent="0.25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>VLOOKUP(F2340,'Customer Info'!$A:$B,2,0)</f>
        <v>Brooke</v>
      </c>
      <c r="H2340" s="6" t="str">
        <f>VLOOKUP(F2340,'Customer Info'!$A$1:$C$501,3,0)</f>
        <v>Gillingham</v>
      </c>
      <c r="I2340" s="6" t="str">
        <f>VLOOKUP(F2340,Customer,5,0)</f>
        <v>Sunbury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5848</v>
      </c>
      <c r="O2340" s="2">
        <v>61</v>
      </c>
      <c r="P2340" s="8">
        <f t="shared" si="182"/>
        <v>5909</v>
      </c>
      <c r="Q2340" s="8">
        <f t="shared" si="183"/>
        <v>634</v>
      </c>
      <c r="R2340" s="2" t="s">
        <v>28</v>
      </c>
      <c r="S2340" s="24">
        <f t="shared" si="184"/>
        <v>0.05</v>
      </c>
    </row>
    <row r="2341" spans="1:19" x14ac:dyDescent="0.25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>VLOOKUP(F2341,'Customer Info'!$A:$B,2,0)</f>
        <v>Keith</v>
      </c>
      <c r="H2341" s="6" t="str">
        <f>VLOOKUP(F2341,'Customer Info'!$A$1:$C$501,3,0)</f>
        <v>Herrera</v>
      </c>
      <c r="I2341" s="6" t="str">
        <f>VLOOKUP(F2341,Customer,5,0)</f>
        <v>Jakarta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8990</v>
      </c>
      <c r="O2341" s="2">
        <v>24</v>
      </c>
      <c r="P2341" s="8">
        <f t="shared" si="182"/>
        <v>9014</v>
      </c>
      <c r="Q2341" s="8">
        <f t="shared" si="183"/>
        <v>740</v>
      </c>
      <c r="R2341" s="2" t="s">
        <v>26</v>
      </c>
      <c r="S2341" s="24">
        <f t="shared" si="184"/>
        <v>0.05</v>
      </c>
    </row>
    <row r="2342" spans="1:19" x14ac:dyDescent="0.25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>VLOOKUP(F2342,'Customer Info'!$A:$B,2,0)</f>
        <v>Candace</v>
      </c>
      <c r="H2342" s="6" t="str">
        <f>VLOOKUP(F2342,'Customer Info'!$A$1:$C$501,3,0)</f>
        <v>McMahon</v>
      </c>
      <c r="I2342" s="6" t="str">
        <f>VLOOKUP(F2342,Customer,5,0)</f>
        <v>Canberra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388</v>
      </c>
      <c r="O2342" s="2">
        <v>30</v>
      </c>
      <c r="P2342" s="8">
        <f t="shared" si="182"/>
        <v>418</v>
      </c>
      <c r="Q2342" s="8">
        <f t="shared" si="183"/>
        <v>36</v>
      </c>
      <c r="R2342" s="2" t="s">
        <v>50</v>
      </c>
      <c r="S2342" s="24">
        <f t="shared" si="184"/>
        <v>0.02</v>
      </c>
    </row>
    <row r="2343" spans="1:19" x14ac:dyDescent="0.25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>VLOOKUP(F2343,'Customer Info'!$A:$B,2,0)</f>
        <v>Ralph</v>
      </c>
      <c r="H2343" s="6" t="str">
        <f>VLOOKUP(F2343,'Customer Info'!$A$1:$C$501,3,0)</f>
        <v>Arnett</v>
      </c>
      <c r="I2343" s="6" t="str">
        <f>VLOOKUP(F2343,Customer,5,0)</f>
        <v>Shenyang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308</v>
      </c>
      <c r="O2343" s="2">
        <v>10</v>
      </c>
      <c r="P2343" s="8">
        <f t="shared" si="182"/>
        <v>318</v>
      </c>
      <c r="Q2343" s="8">
        <f t="shared" si="183"/>
        <v>16</v>
      </c>
      <c r="R2343" s="2" t="s">
        <v>28</v>
      </c>
      <c r="S2343" s="24">
        <f t="shared" si="184"/>
        <v>0.02</v>
      </c>
    </row>
    <row r="2344" spans="1:19" x14ac:dyDescent="0.25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>VLOOKUP(F2344,'Customer Info'!$A:$B,2,0)</f>
        <v>Barry</v>
      </c>
      <c r="H2344" s="6" t="str">
        <f>VLOOKUP(F2344,'Customer Info'!$A$1:$C$501,3,0)</f>
        <v>Franzšsisch</v>
      </c>
      <c r="I2344" s="6" t="str">
        <f>VLOOKUP(F2344,Customer,5,0)</f>
        <v>Bendigo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5600</v>
      </c>
      <c r="O2344" s="2">
        <v>51</v>
      </c>
      <c r="P2344" s="8">
        <f t="shared" si="182"/>
        <v>5651</v>
      </c>
      <c r="Q2344" s="8">
        <f t="shared" si="183"/>
        <v>560</v>
      </c>
      <c r="R2344" s="2" t="s">
        <v>28</v>
      </c>
      <c r="S2344" s="24">
        <f t="shared" si="184"/>
        <v>0.05</v>
      </c>
    </row>
    <row r="2345" spans="1:19" x14ac:dyDescent="0.25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>VLOOKUP(F2345,'Customer Info'!$A:$B,2,0)</f>
        <v>Dana</v>
      </c>
      <c r="H2345" s="6" t="str">
        <f>VLOOKUP(F2345,'Customer Info'!$A$1:$C$501,3,0)</f>
        <v>Kaydos</v>
      </c>
      <c r="I2345" s="6" t="str">
        <f>VLOOKUP(F2345,Customer,5,0)</f>
        <v>Nagercoil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108563</v>
      </c>
      <c r="O2345" s="2">
        <v>29</v>
      </c>
      <c r="P2345" s="8">
        <f t="shared" si="182"/>
        <v>108592</v>
      </c>
      <c r="Q2345" s="8">
        <f t="shared" si="183"/>
        <v>4134</v>
      </c>
      <c r="R2345" s="2" t="s">
        <v>50</v>
      </c>
      <c r="S2345" s="24">
        <f t="shared" si="184"/>
        <v>0.12</v>
      </c>
    </row>
    <row r="2346" spans="1:19" x14ac:dyDescent="0.25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>VLOOKUP(F2346,'Customer Info'!$A:$B,2,0)</f>
        <v>Magdelene</v>
      </c>
      <c r="H2346" s="6" t="str">
        <f>VLOOKUP(F2346,'Customer Info'!$A$1:$C$501,3,0)</f>
        <v>Morse</v>
      </c>
      <c r="I2346" s="6" t="str">
        <f>VLOOKUP(F2346,Customer,5,0)</f>
        <v>Berlin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30349</v>
      </c>
      <c r="O2346" s="2">
        <v>95</v>
      </c>
      <c r="P2346" s="8">
        <f t="shared" si="182"/>
        <v>30444</v>
      </c>
      <c r="Q2346" s="8">
        <f t="shared" si="183"/>
        <v>1441</v>
      </c>
      <c r="R2346" s="2" t="s">
        <v>28</v>
      </c>
      <c r="S2346" s="24">
        <f t="shared" si="184"/>
        <v>7.0000000000000007E-2</v>
      </c>
    </row>
    <row r="2347" spans="1:19" x14ac:dyDescent="0.25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>VLOOKUP(F2347,'Customer Info'!$A:$B,2,0)</f>
        <v>Liz</v>
      </c>
      <c r="H2347" s="6" t="str">
        <f>VLOOKUP(F2347,'Customer Info'!$A$1:$C$501,3,0)</f>
        <v>Pelletier</v>
      </c>
      <c r="I2347" s="6" t="str">
        <f>VLOOKUP(F2347,Customer,5,0)</f>
        <v>Zigong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4730</v>
      </c>
      <c r="O2347" s="2">
        <v>50</v>
      </c>
      <c r="P2347" s="8">
        <f t="shared" si="182"/>
        <v>4780</v>
      </c>
      <c r="Q2347" s="8">
        <f t="shared" si="183"/>
        <v>266</v>
      </c>
      <c r="R2347" s="2" t="s">
        <v>26</v>
      </c>
      <c r="S2347" s="24">
        <f t="shared" si="184"/>
        <v>0.02</v>
      </c>
    </row>
    <row r="2348" spans="1:19" x14ac:dyDescent="0.25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>VLOOKUP(F2348,'Customer Info'!$A:$B,2,0)</f>
        <v>Becky</v>
      </c>
      <c r="H2348" s="6" t="str">
        <f>VLOOKUP(F2348,'Customer Info'!$A$1:$C$501,3,0)</f>
        <v>Pak</v>
      </c>
      <c r="I2348" s="6" t="str">
        <f>VLOOKUP(F2348,Customer,5,0)</f>
        <v>Geelong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567</v>
      </c>
      <c r="O2348" s="2">
        <v>10</v>
      </c>
      <c r="P2348" s="8">
        <f t="shared" si="182"/>
        <v>577</v>
      </c>
      <c r="Q2348" s="8">
        <f t="shared" si="183"/>
        <v>45</v>
      </c>
      <c r="R2348" s="2" t="s">
        <v>28</v>
      </c>
      <c r="S2348" s="24">
        <f t="shared" si="184"/>
        <v>0.02</v>
      </c>
    </row>
    <row r="2349" spans="1:19" x14ac:dyDescent="0.25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>VLOOKUP(F2349,'Customer Info'!$A:$B,2,0)</f>
        <v>William</v>
      </c>
      <c r="H2349" s="6" t="str">
        <f>VLOOKUP(F2349,'Customer Info'!$A$1:$C$501,3,0)</f>
        <v>Brown</v>
      </c>
      <c r="I2349" s="6" t="str">
        <f>VLOOKUP(F2349,Customer,5,0)</f>
        <v>Denpasar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1704</v>
      </c>
      <c r="O2349" s="2">
        <v>60</v>
      </c>
      <c r="P2349" s="8">
        <f t="shared" si="182"/>
        <v>1764</v>
      </c>
      <c r="Q2349" s="8">
        <f t="shared" si="183"/>
        <v>80</v>
      </c>
      <c r="R2349" s="2" t="s">
        <v>26</v>
      </c>
      <c r="S2349" s="24">
        <f t="shared" si="184"/>
        <v>0.02</v>
      </c>
    </row>
    <row r="2350" spans="1:19" x14ac:dyDescent="0.25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>VLOOKUP(F2350,'Customer Info'!$A:$B,2,0)</f>
        <v>Ann</v>
      </c>
      <c r="H2350" s="6" t="str">
        <f>VLOOKUP(F2350,'Customer Info'!$A$1:$C$501,3,0)</f>
        <v>Chong</v>
      </c>
      <c r="I2350" s="6" t="str">
        <f>VLOOKUP(F2350,Customer,5,0)</f>
        <v>Sydney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680</v>
      </c>
      <c r="O2350" s="2">
        <v>30</v>
      </c>
      <c r="P2350" s="8">
        <f t="shared" si="182"/>
        <v>710</v>
      </c>
      <c r="Q2350" s="8">
        <f t="shared" si="183"/>
        <v>40</v>
      </c>
      <c r="R2350" s="2" t="s">
        <v>50</v>
      </c>
      <c r="S2350" s="24">
        <f t="shared" si="184"/>
        <v>0.02</v>
      </c>
    </row>
    <row r="2351" spans="1:19" x14ac:dyDescent="0.25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>VLOOKUP(F2351,'Customer Info'!$A:$B,2,0)</f>
        <v>Jas</v>
      </c>
      <c r="H2351" s="6" t="str">
        <f>VLOOKUP(F2351,'Customer Info'!$A$1:$C$501,3,0)</f>
        <v>O'Carroll</v>
      </c>
      <c r="I2351" s="6" t="str">
        <f>VLOOKUP(F2351,Customer,5,0)</f>
        <v>Essen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3224</v>
      </c>
      <c r="O2351" s="2">
        <v>38</v>
      </c>
      <c r="P2351" s="8">
        <f t="shared" si="182"/>
        <v>3262</v>
      </c>
      <c r="Q2351" s="8">
        <f t="shared" si="183"/>
        <v>240</v>
      </c>
      <c r="R2351" s="2" t="s">
        <v>26</v>
      </c>
      <c r="S2351" s="24">
        <f t="shared" si="184"/>
        <v>0.02</v>
      </c>
    </row>
    <row r="2352" spans="1:19" x14ac:dyDescent="0.25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>VLOOKUP(F2352,'Customer Info'!$A:$B,2,0)</f>
        <v>Cassandra</v>
      </c>
      <c r="H2352" s="6" t="str">
        <f>VLOOKUP(F2352,'Customer Info'!$A$1:$C$501,3,0)</f>
        <v>Brandow</v>
      </c>
      <c r="I2352" s="6" t="str">
        <f>VLOOKUP(F2352,Customer,5,0)</f>
        <v>Hamburg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880</v>
      </c>
      <c r="O2352" s="2">
        <v>74</v>
      </c>
      <c r="P2352" s="8">
        <f t="shared" si="182"/>
        <v>954</v>
      </c>
      <c r="Q2352" s="8">
        <f t="shared" si="183"/>
        <v>56</v>
      </c>
      <c r="R2352" s="2" t="s">
        <v>28</v>
      </c>
      <c r="S2352" s="24">
        <f t="shared" si="184"/>
        <v>0.02</v>
      </c>
    </row>
    <row r="2353" spans="1:19" x14ac:dyDescent="0.25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>VLOOKUP(F2353,'Customer Info'!$A:$B,2,0)</f>
        <v>Scott</v>
      </c>
      <c r="H2353" s="6" t="str">
        <f>VLOOKUP(F2353,'Customer Info'!$A$1:$C$501,3,0)</f>
        <v>Cohen</v>
      </c>
      <c r="I2353" s="6" t="str">
        <f>VLOOKUP(F2353,Customer,5,0)</f>
        <v>Freiburg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6578</v>
      </c>
      <c r="O2353" s="2">
        <v>71</v>
      </c>
      <c r="P2353" s="8">
        <f t="shared" si="182"/>
        <v>6649</v>
      </c>
      <c r="Q2353" s="8">
        <f t="shared" si="183"/>
        <v>368</v>
      </c>
      <c r="R2353" s="2" t="s">
        <v>28</v>
      </c>
      <c r="S2353" s="24">
        <f t="shared" si="184"/>
        <v>0.05</v>
      </c>
    </row>
    <row r="2354" spans="1:19" x14ac:dyDescent="0.25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>VLOOKUP(F2354,'Customer Info'!$A:$B,2,0)</f>
        <v>Magdelene</v>
      </c>
      <c r="H2354" s="6" t="str">
        <f>VLOOKUP(F2354,'Customer Info'!$A$1:$C$501,3,0)</f>
        <v>Morse</v>
      </c>
      <c r="I2354" s="6" t="str">
        <f>VLOOKUP(F2354,Customer,5,0)</f>
        <v>Berlin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13402</v>
      </c>
      <c r="O2354" s="2">
        <v>67</v>
      </c>
      <c r="P2354" s="8">
        <f t="shared" si="182"/>
        <v>13469</v>
      </c>
      <c r="Q2354" s="8">
        <f t="shared" si="183"/>
        <v>634</v>
      </c>
      <c r="R2354" s="2" t="s">
        <v>28</v>
      </c>
      <c r="S2354" s="24">
        <f t="shared" si="184"/>
        <v>0.05</v>
      </c>
    </row>
    <row r="2355" spans="1:19" x14ac:dyDescent="0.25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>VLOOKUP(F2355,'Customer Info'!$A:$B,2,0)</f>
        <v>Jessica</v>
      </c>
      <c r="H2355" s="6" t="str">
        <f>VLOOKUP(F2355,'Customer Info'!$A$1:$C$501,3,0)</f>
        <v>Myrick</v>
      </c>
      <c r="I2355" s="6" t="str">
        <f>VLOOKUP(F2355,Customer,5,0)</f>
        <v>Jakarta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6930</v>
      </c>
      <c r="O2355" s="2">
        <v>39</v>
      </c>
      <c r="P2355" s="8">
        <f t="shared" si="182"/>
        <v>6969</v>
      </c>
      <c r="Q2355" s="8">
        <f t="shared" si="183"/>
        <v>810</v>
      </c>
      <c r="R2355" s="2" t="s">
        <v>28</v>
      </c>
      <c r="S2355" s="24">
        <f t="shared" si="184"/>
        <v>0.05</v>
      </c>
    </row>
    <row r="2356" spans="1:19" x14ac:dyDescent="0.25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>VLOOKUP(F2356,'Customer Info'!$A:$B,2,0)</f>
        <v>Darren</v>
      </c>
      <c r="H2356" s="6" t="str">
        <f>VLOOKUP(F2356,'Customer Info'!$A$1:$C$501,3,0)</f>
        <v>Budd</v>
      </c>
      <c r="I2356" s="6" t="str">
        <f>VLOOKUP(F2356,Customer,5,0)</f>
        <v>Regensburg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676</v>
      </c>
      <c r="O2356" s="2">
        <v>30</v>
      </c>
      <c r="P2356" s="8">
        <f t="shared" si="182"/>
        <v>706</v>
      </c>
      <c r="Q2356" s="8">
        <f t="shared" si="183"/>
        <v>60</v>
      </c>
      <c r="R2356" s="2" t="s">
        <v>28</v>
      </c>
      <c r="S2356" s="24">
        <f t="shared" si="184"/>
        <v>0.02</v>
      </c>
    </row>
    <row r="2357" spans="1:19" x14ac:dyDescent="0.25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>VLOOKUP(F2357,'Customer Info'!$A:$B,2,0)</f>
        <v>Adam</v>
      </c>
      <c r="H2357" s="6" t="str">
        <f>VLOOKUP(F2357,'Customer Info'!$A$1:$C$501,3,0)</f>
        <v>Bellavance</v>
      </c>
      <c r="I2357" s="6" t="str">
        <f>VLOOKUP(F2357,Customer,5,0)</f>
        <v>Medan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9045</v>
      </c>
      <c r="O2357" s="2">
        <v>25</v>
      </c>
      <c r="P2357" s="8">
        <f t="shared" si="182"/>
        <v>9070</v>
      </c>
      <c r="Q2357" s="8">
        <f t="shared" si="183"/>
        <v>590</v>
      </c>
      <c r="R2357" s="2" t="s">
        <v>28</v>
      </c>
      <c r="S2357" s="24">
        <f t="shared" si="184"/>
        <v>0.05</v>
      </c>
    </row>
    <row r="2358" spans="1:19" x14ac:dyDescent="0.25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>VLOOKUP(F2358,'Customer Info'!$A:$B,2,0)</f>
        <v>Hunter</v>
      </c>
      <c r="H2358" s="6" t="str">
        <f>VLOOKUP(F2358,'Customer Info'!$A$1:$C$501,3,0)</f>
        <v>Glantz</v>
      </c>
      <c r="I2358" s="6" t="str">
        <f>VLOOKUP(F2358,Customer,5,0)</f>
        <v>Panihati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4722</v>
      </c>
      <c r="O2358" s="2">
        <v>36</v>
      </c>
      <c r="P2358" s="8">
        <f t="shared" si="182"/>
        <v>4758</v>
      </c>
      <c r="Q2358" s="8">
        <f t="shared" si="183"/>
        <v>348</v>
      </c>
      <c r="R2358" s="2" t="s">
        <v>28</v>
      </c>
      <c r="S2358" s="24">
        <f t="shared" si="184"/>
        <v>0.02</v>
      </c>
    </row>
    <row r="2359" spans="1:19" x14ac:dyDescent="0.25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>VLOOKUP(F2359,'Customer Info'!$A:$B,2,0)</f>
        <v>Lindsay</v>
      </c>
      <c r="H2359" s="6" t="str">
        <f>VLOOKUP(F2359,'Customer Info'!$A$1:$C$501,3,0)</f>
        <v>Castell</v>
      </c>
      <c r="I2359" s="6" t="str">
        <f>VLOOKUP(F2359,Customer,5,0)</f>
        <v>Depok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183</v>
      </c>
      <c r="O2359" s="2">
        <v>30</v>
      </c>
      <c r="P2359" s="8">
        <f t="shared" si="182"/>
        <v>213</v>
      </c>
      <c r="Q2359" s="8">
        <f t="shared" si="183"/>
        <v>15</v>
      </c>
      <c r="R2359" s="2" t="s">
        <v>28</v>
      </c>
      <c r="S2359" s="24">
        <f t="shared" si="184"/>
        <v>0.02</v>
      </c>
    </row>
    <row r="2360" spans="1:19" x14ac:dyDescent="0.25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>VLOOKUP(F2360,'Customer Info'!$A:$B,2,0)</f>
        <v>Rick</v>
      </c>
      <c r="H2360" s="6" t="str">
        <f>VLOOKUP(F2360,'Customer Info'!$A$1:$C$501,3,0)</f>
        <v>Duston</v>
      </c>
      <c r="I2360" s="6" t="str">
        <f>VLOOKUP(F2360,Customer,5,0)</f>
        <v>Surakarta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1560</v>
      </c>
      <c r="O2360" s="2">
        <v>39</v>
      </c>
      <c r="P2360" s="8">
        <f t="shared" si="182"/>
        <v>1599</v>
      </c>
      <c r="Q2360" s="8">
        <f t="shared" si="183"/>
        <v>129</v>
      </c>
      <c r="R2360" s="2" t="s">
        <v>28</v>
      </c>
      <c r="S2360" s="24">
        <f t="shared" si="184"/>
        <v>0.02</v>
      </c>
    </row>
    <row r="2361" spans="1:19" x14ac:dyDescent="0.25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>VLOOKUP(F2361,'Customer Info'!$A:$B,2,0)</f>
        <v>Kean</v>
      </c>
      <c r="H2361" s="6" t="str">
        <f>VLOOKUP(F2361,'Customer Info'!$A$1:$C$501,3,0)</f>
        <v>Takahito</v>
      </c>
      <c r="I2361" s="6" t="str">
        <f>VLOOKUP(F2361,Customer,5,0)</f>
        <v>Jakarta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8399</v>
      </c>
      <c r="O2361" s="2">
        <v>80</v>
      </c>
      <c r="P2361" s="8">
        <f t="shared" si="182"/>
        <v>8479</v>
      </c>
      <c r="Q2361" s="8">
        <f t="shared" si="183"/>
        <v>398</v>
      </c>
      <c r="R2361" s="2" t="s">
        <v>50</v>
      </c>
      <c r="S2361" s="24">
        <f t="shared" si="184"/>
        <v>0.05</v>
      </c>
    </row>
    <row r="2362" spans="1:19" x14ac:dyDescent="0.25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>VLOOKUP(F2362,'Customer Info'!$A:$B,2,0)</f>
        <v>Thea</v>
      </c>
      <c r="H2362" s="6" t="str">
        <f>VLOOKUP(F2362,'Customer Info'!$A$1:$C$501,3,0)</f>
        <v>Hendricks</v>
      </c>
      <c r="I2362" s="6" t="str">
        <f>VLOOKUP(F2362,Customer,5,0)</f>
        <v>Moers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22734</v>
      </c>
      <c r="O2362" s="2">
        <v>82</v>
      </c>
      <c r="P2362" s="8">
        <f t="shared" si="182"/>
        <v>22816</v>
      </c>
      <c r="Q2362" s="8">
        <f t="shared" si="183"/>
        <v>1062</v>
      </c>
      <c r="R2362" s="2" t="s">
        <v>50</v>
      </c>
      <c r="S2362" s="24">
        <f t="shared" si="184"/>
        <v>0.05</v>
      </c>
    </row>
    <row r="2363" spans="1:19" x14ac:dyDescent="0.25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>VLOOKUP(F2363,'Customer Info'!$A:$B,2,0)</f>
        <v>Hunter</v>
      </c>
      <c r="H2363" s="6" t="str">
        <f>VLOOKUP(F2363,'Customer Info'!$A$1:$C$501,3,0)</f>
        <v>Lopez</v>
      </c>
      <c r="I2363" s="6" t="str">
        <f>VLOOKUP(F2363,Customer,5,0)</f>
        <v>Wollongong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1560</v>
      </c>
      <c r="O2363" s="2">
        <v>49</v>
      </c>
      <c r="P2363" s="8">
        <f t="shared" si="182"/>
        <v>1609</v>
      </c>
      <c r="Q2363" s="8">
        <f t="shared" si="183"/>
        <v>129</v>
      </c>
      <c r="R2363" s="2" t="s">
        <v>50</v>
      </c>
      <c r="S2363" s="24">
        <f t="shared" si="184"/>
        <v>0.02</v>
      </c>
    </row>
    <row r="2364" spans="1:19" x14ac:dyDescent="0.25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>VLOOKUP(F2364,'Customer Info'!$A:$B,2,0)</f>
        <v>Evan</v>
      </c>
      <c r="H2364" s="6" t="str">
        <f>VLOOKUP(F2364,'Customer Info'!$A$1:$C$501,3,0)</f>
        <v>Bailliet</v>
      </c>
      <c r="I2364" s="6" t="str">
        <f>VLOOKUP(F2364,Customer,5,0)</f>
        <v>Sydney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4599</v>
      </c>
      <c r="O2364" s="2">
        <v>82</v>
      </c>
      <c r="P2364" s="8">
        <f t="shared" si="182"/>
        <v>4681</v>
      </c>
      <c r="Q2364" s="8">
        <f t="shared" si="183"/>
        <v>306</v>
      </c>
      <c r="R2364" s="2" t="s">
        <v>50</v>
      </c>
      <c r="S2364" s="24">
        <f t="shared" si="184"/>
        <v>0.02</v>
      </c>
    </row>
    <row r="2365" spans="1:19" x14ac:dyDescent="0.25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>VLOOKUP(F2365,'Customer Info'!$A:$B,2,0)</f>
        <v>Giulietta</v>
      </c>
      <c r="H2365" s="6" t="str">
        <f>VLOOKUP(F2365,'Customer Info'!$A$1:$C$501,3,0)</f>
        <v>Weimer</v>
      </c>
      <c r="I2365" s="6" t="str">
        <f>VLOOKUP(F2365,Customer,5,0)</f>
        <v>Suihua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954</v>
      </c>
      <c r="O2365" s="2">
        <v>46</v>
      </c>
      <c r="P2365" s="8">
        <f t="shared" si="182"/>
        <v>1000</v>
      </c>
      <c r="Q2365" s="8">
        <f t="shared" si="183"/>
        <v>53</v>
      </c>
      <c r="R2365" s="2" t="s">
        <v>28</v>
      </c>
      <c r="S2365" s="24">
        <f t="shared" si="184"/>
        <v>0.02</v>
      </c>
    </row>
    <row r="2366" spans="1:19" x14ac:dyDescent="0.25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>VLOOKUP(F2366,'Customer Info'!$A:$B,2,0)</f>
        <v>Paul</v>
      </c>
      <c r="H2366" s="6" t="str">
        <f>VLOOKUP(F2366,'Customer Info'!$A$1:$C$501,3,0)</f>
        <v>Knutson</v>
      </c>
      <c r="I2366" s="6" t="str">
        <f>VLOOKUP(F2366,Customer,5,0)</f>
        <v>Gold Coast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279</v>
      </c>
      <c r="O2366" s="2">
        <v>10</v>
      </c>
      <c r="P2366" s="8">
        <f t="shared" si="182"/>
        <v>289</v>
      </c>
      <c r="Q2366" s="8">
        <f t="shared" si="183"/>
        <v>21</v>
      </c>
      <c r="R2366" s="2" t="s">
        <v>28</v>
      </c>
      <c r="S2366" s="24">
        <f t="shared" si="184"/>
        <v>0.02</v>
      </c>
    </row>
    <row r="2367" spans="1:19" x14ac:dyDescent="0.25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>VLOOKUP(F2367,'Customer Info'!$A:$B,2,0)</f>
        <v>Jim</v>
      </c>
      <c r="H2367" s="6" t="str">
        <f>VLOOKUP(F2367,'Customer Info'!$A$1:$C$501,3,0)</f>
        <v>Epp</v>
      </c>
      <c r="I2367" s="6" t="str">
        <f>VLOOKUP(F2367,Customer,5,0)</f>
        <v>Jingmen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855</v>
      </c>
      <c r="O2367" s="2">
        <v>30</v>
      </c>
      <c r="P2367" s="8">
        <f t="shared" si="182"/>
        <v>885</v>
      </c>
      <c r="Q2367" s="8">
        <f t="shared" si="183"/>
        <v>90</v>
      </c>
      <c r="R2367" s="2" t="s">
        <v>50</v>
      </c>
      <c r="S2367" s="24">
        <f t="shared" si="184"/>
        <v>0.02</v>
      </c>
    </row>
    <row r="2368" spans="1:19" x14ac:dyDescent="0.25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>VLOOKUP(F2368,'Customer Info'!$A:$B,2,0)</f>
        <v>Carl</v>
      </c>
      <c r="H2368" s="6" t="str">
        <f>VLOOKUP(F2368,'Customer Info'!$A$1:$C$501,3,0)</f>
        <v>Weiss</v>
      </c>
      <c r="I2368" s="6" t="str">
        <f>VLOOKUP(F2368,Customer,5,0)</f>
        <v>Tianjin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2778</v>
      </c>
      <c r="O2368" s="2">
        <v>66</v>
      </c>
      <c r="P2368" s="8">
        <f t="shared" si="182"/>
        <v>2844</v>
      </c>
      <c r="Q2368" s="8">
        <f t="shared" si="183"/>
        <v>205</v>
      </c>
      <c r="R2368" s="2" t="s">
        <v>28</v>
      </c>
      <c r="S2368" s="24">
        <f t="shared" si="184"/>
        <v>0.02</v>
      </c>
    </row>
    <row r="2369" spans="1:19" x14ac:dyDescent="0.25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>VLOOKUP(F2369,'Customer Info'!$A:$B,2,0)</f>
        <v>David</v>
      </c>
      <c r="H2369" s="6" t="str">
        <f>VLOOKUP(F2369,'Customer Info'!$A$1:$C$501,3,0)</f>
        <v>Philippe</v>
      </c>
      <c r="I2369" s="6" t="str">
        <f>VLOOKUP(F2369,Customer,5,0)</f>
        <v>Hamburg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1798</v>
      </c>
      <c r="O2369" s="2">
        <v>26</v>
      </c>
      <c r="P2369" s="8">
        <f t="shared" si="182"/>
        <v>1824</v>
      </c>
      <c r="Q2369" s="8">
        <f t="shared" si="183"/>
        <v>132</v>
      </c>
      <c r="R2369" s="2" t="s">
        <v>28</v>
      </c>
      <c r="S2369" s="24">
        <f t="shared" si="184"/>
        <v>0.02</v>
      </c>
    </row>
    <row r="2370" spans="1:19" x14ac:dyDescent="0.25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>VLOOKUP(F2370,'Customer Info'!$A:$B,2,0)</f>
        <v>Andy</v>
      </c>
      <c r="H2370" s="6" t="str">
        <f>VLOOKUP(F2370,'Customer Info'!$A$1:$C$501,3,0)</f>
        <v>Yotov</v>
      </c>
      <c r="I2370" s="6" t="str">
        <f>VLOOKUP(F2370,Customer,5,0)</f>
        <v>Samarinda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4906</v>
      </c>
      <c r="O2370" s="2">
        <v>83</v>
      </c>
      <c r="P2370" s="8">
        <f t="shared" si="182"/>
        <v>4989</v>
      </c>
      <c r="Q2370" s="8">
        <f t="shared" si="183"/>
        <v>234</v>
      </c>
      <c r="R2370" s="2" t="s">
        <v>28</v>
      </c>
      <c r="S2370" s="24">
        <f t="shared" si="184"/>
        <v>0.02</v>
      </c>
    </row>
    <row r="2371" spans="1:19" x14ac:dyDescent="0.25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>VLOOKUP(F2371,'Customer Info'!$A:$B,2,0)</f>
        <v>Resi</v>
      </c>
      <c r="H2371" s="6" t="str">
        <f>VLOOKUP(F2371,'Customer Info'!$A$1:$C$501,3,0)</f>
        <v>Pšlking</v>
      </c>
      <c r="I2371" s="6" t="str">
        <f>VLOOKUP(F2371,Customer,5,0)</f>
        <v>Gelsenkirchen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3738</v>
      </c>
      <c r="O2371" s="2">
        <v>75</v>
      </c>
      <c r="P2371" s="8">
        <f t="shared" si="182"/>
        <v>3813</v>
      </c>
      <c r="Q2371" s="8">
        <f t="shared" si="183"/>
        <v>246</v>
      </c>
      <c r="R2371" s="2" t="s">
        <v>28</v>
      </c>
      <c r="S2371" s="24">
        <f t="shared" si="184"/>
        <v>0.02</v>
      </c>
    </row>
    <row r="2372" spans="1:19" x14ac:dyDescent="0.25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>VLOOKUP(F2372,'Customer Info'!$A:$B,2,0)</f>
        <v>Brian</v>
      </c>
      <c r="H2372" s="6" t="str">
        <f>VLOOKUP(F2372,'Customer Info'!$A$1:$C$501,3,0)</f>
        <v>Stugart</v>
      </c>
      <c r="I2372" s="6" t="str">
        <f>VLOOKUP(F2372,Customer,5,0)</f>
        <v>Jakarta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751</v>
      </c>
      <c r="O2372" s="2">
        <v>46</v>
      </c>
      <c r="P2372" s="8">
        <f t="shared" si="182"/>
        <v>797</v>
      </c>
      <c r="Q2372" s="8">
        <f t="shared" si="183"/>
        <v>55</v>
      </c>
      <c r="R2372" s="2" t="s">
        <v>50</v>
      </c>
      <c r="S2372" s="24">
        <f t="shared" si="184"/>
        <v>0.02</v>
      </c>
    </row>
    <row r="2373" spans="1:19" x14ac:dyDescent="0.25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>VLOOKUP(F2373,'Customer Info'!$A:$B,2,0)</f>
        <v>Craig</v>
      </c>
      <c r="H2373" s="6" t="str">
        <f>VLOOKUP(F2373,'Customer Info'!$A$1:$C$501,3,0)</f>
        <v>Carroll</v>
      </c>
      <c r="I2373" s="6" t="str">
        <f>VLOOKUP(F2373,Customer,5,0)</f>
        <v>Augsburg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4956</v>
      </c>
      <c r="O2373" s="2">
        <v>46</v>
      </c>
      <c r="P2373" s="8">
        <f t="shared" si="182"/>
        <v>5002</v>
      </c>
      <c r="Q2373" s="8">
        <f t="shared" si="183"/>
        <v>144</v>
      </c>
      <c r="R2373" s="2" t="s">
        <v>50</v>
      </c>
      <c r="S2373" s="24">
        <f t="shared" si="184"/>
        <v>0.02</v>
      </c>
    </row>
    <row r="2374" spans="1:19" x14ac:dyDescent="0.25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>VLOOKUP(F2374,'Customer Info'!$A:$B,2,0)</f>
        <v>Eugene</v>
      </c>
      <c r="H2374" s="6" t="str">
        <f>VLOOKUP(F2374,'Customer Info'!$A$1:$C$501,3,0)</f>
        <v>Barchas</v>
      </c>
      <c r="I2374" s="6" t="str">
        <f>VLOOKUP(F2374,Customer,5,0)</f>
        <v>Aksu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525</v>
      </c>
      <c r="O2374" s="2">
        <v>30</v>
      </c>
      <c r="P2374" s="8">
        <f t="shared" si="182"/>
        <v>555</v>
      </c>
      <c r="Q2374" s="8">
        <f t="shared" si="183"/>
        <v>39</v>
      </c>
      <c r="R2374" s="2" t="s">
        <v>28</v>
      </c>
      <c r="S2374" s="24">
        <f t="shared" si="184"/>
        <v>0.02</v>
      </c>
    </row>
    <row r="2375" spans="1:19" x14ac:dyDescent="0.25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>VLOOKUP(F2375,'Customer Info'!$A:$B,2,0)</f>
        <v>Maribeth</v>
      </c>
      <c r="H2375" s="6" t="str">
        <f>VLOOKUP(F2375,'Customer Info'!$A$1:$C$501,3,0)</f>
        <v>Dona</v>
      </c>
      <c r="I2375" s="6" t="str">
        <f>VLOOKUP(F2375,Customer,5,0)</f>
        <v>Adelaide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9184</v>
      </c>
      <c r="O2375" s="2">
        <v>37</v>
      </c>
      <c r="P2375" s="8">
        <f t="shared" si="182"/>
        <v>9221</v>
      </c>
      <c r="Q2375" s="8">
        <f t="shared" si="183"/>
        <v>600</v>
      </c>
      <c r="R2375" s="2" t="s">
        <v>28</v>
      </c>
      <c r="S2375" s="24">
        <f t="shared" si="184"/>
        <v>0.05</v>
      </c>
    </row>
    <row r="2376" spans="1:19" x14ac:dyDescent="0.25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>VLOOKUP(F2376,'Customer Info'!$A:$B,2,0)</f>
        <v>Christy</v>
      </c>
      <c r="H2376" s="6" t="str">
        <f>VLOOKUP(F2376,'Customer Info'!$A$1:$C$501,3,0)</f>
        <v>Brittain</v>
      </c>
      <c r="I2376" s="6" t="str">
        <f>VLOOKUP(F2376,Customer,5,0)</f>
        <v>Depok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53469</v>
      </c>
      <c r="O2376" s="2">
        <v>86</v>
      </c>
      <c r="P2376" s="8">
        <f t="shared" si="182"/>
        <v>53555</v>
      </c>
      <c r="Q2376" s="8">
        <f t="shared" si="183"/>
        <v>1026</v>
      </c>
      <c r="R2376" s="2" t="s">
        <v>28</v>
      </c>
      <c r="S2376" s="24">
        <f t="shared" si="184"/>
        <v>0.09</v>
      </c>
    </row>
    <row r="2377" spans="1:19" x14ac:dyDescent="0.25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>VLOOKUP(F2377,'Customer Info'!$A:$B,2,0)</f>
        <v>Patrick</v>
      </c>
      <c r="H2377" s="6" t="str">
        <f>VLOOKUP(F2377,'Customer Info'!$A$1:$C$501,3,0)</f>
        <v>Bzostek</v>
      </c>
      <c r="I2377" s="6" t="str">
        <f>VLOOKUP(F2377,Customer,5,0)</f>
        <v>Krefeld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4704</v>
      </c>
      <c r="O2377" s="2">
        <v>36</v>
      </c>
      <c r="P2377" s="8">
        <f t="shared" si="182"/>
        <v>4740</v>
      </c>
      <c r="Q2377" s="8">
        <f t="shared" si="183"/>
        <v>219</v>
      </c>
      <c r="R2377" s="2" t="s">
        <v>50</v>
      </c>
      <c r="S2377" s="24">
        <f t="shared" si="184"/>
        <v>0.02</v>
      </c>
    </row>
    <row r="2378" spans="1:19" x14ac:dyDescent="0.25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>VLOOKUP(F2378,'Customer Info'!$A:$B,2,0)</f>
        <v>Thea</v>
      </c>
      <c r="H2378" s="6" t="str">
        <f>VLOOKUP(F2378,'Customer Info'!$A$1:$C$501,3,0)</f>
        <v>Hendricks</v>
      </c>
      <c r="I2378" s="6" t="str">
        <f>VLOOKUP(F2378,Customer,5,0)</f>
        <v>Jining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1246</v>
      </c>
      <c r="O2378" s="2">
        <v>59</v>
      </c>
      <c r="P2378" s="8">
        <f t="shared" si="182"/>
        <v>1305</v>
      </c>
      <c r="Q2378" s="8">
        <f t="shared" si="183"/>
        <v>82</v>
      </c>
      <c r="R2378" s="2" t="s">
        <v>28</v>
      </c>
      <c r="S2378" s="24">
        <f t="shared" si="184"/>
        <v>0.02</v>
      </c>
    </row>
    <row r="2379" spans="1:19" x14ac:dyDescent="0.25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>VLOOKUP(F2379,'Customer Info'!$A:$B,2,0)</f>
        <v>Jack</v>
      </c>
      <c r="H2379" s="6" t="str">
        <f>VLOOKUP(F2379,'Customer Info'!$A$1:$C$501,3,0)</f>
        <v>O'Briant</v>
      </c>
      <c r="I2379" s="6" t="str">
        <f>VLOOKUP(F2379,Customer,5,0)</f>
        <v>Jammu</v>
      </c>
      <c r="J2379" s="2">
        <v>139</v>
      </c>
      <c r="K2379" s="2">
        <v>133</v>
      </c>
      <c r="L2379" s="2">
        <v>4</v>
      </c>
      <c r="M2379" s="7">
        <f t="shared" ref="M2379:M2442" si="185">K2379*L2379</f>
        <v>532</v>
      </c>
      <c r="N2379" s="7">
        <f t="shared" ref="N2379:N2442" si="186">J2379*L2379</f>
        <v>556</v>
      </c>
      <c r="O2379" s="2">
        <v>30</v>
      </c>
      <c r="P2379" s="8">
        <f t="shared" ref="P2379:P2442" si="187">N2379+O2379</f>
        <v>586</v>
      </c>
      <c r="Q2379" s="8">
        <f t="shared" ref="Q2379:Q2442" si="188">N2379-M2379</f>
        <v>24</v>
      </c>
      <c r="R2379" s="2" t="s">
        <v>28</v>
      </c>
      <c r="S2379" s="24">
        <f t="shared" ref="S2379:S2442" si="189">VLOOKUP(N2379,$T$1:$U$7,2,TRUE)</f>
        <v>0.02</v>
      </c>
    </row>
    <row r="2380" spans="1:19" x14ac:dyDescent="0.25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>VLOOKUP(F2380,'Customer Info'!$A:$B,2,0)</f>
        <v>Emily</v>
      </c>
      <c r="H2380" s="6" t="str">
        <f>VLOOKUP(F2380,'Customer Info'!$A$1:$C$501,3,0)</f>
        <v>Ducich</v>
      </c>
      <c r="I2380" s="6" t="str">
        <f>VLOOKUP(F2380,Customer,5,0)</f>
        <v>Lohne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8">
        <f t="shared" si="187"/>
        <v>2405</v>
      </c>
      <c r="Q2380" s="8">
        <f t="shared" si="188"/>
        <v>133</v>
      </c>
      <c r="R2380" s="2" t="s">
        <v>28</v>
      </c>
      <c r="S2380" s="24">
        <f t="shared" si="189"/>
        <v>0.02</v>
      </c>
    </row>
    <row r="2381" spans="1:19" x14ac:dyDescent="0.25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>VLOOKUP(F2381,'Customer Info'!$A:$B,2,0)</f>
        <v>Stefanie</v>
      </c>
      <c r="H2381" s="6" t="str">
        <f>VLOOKUP(F2381,'Customer Info'!$A$1:$C$501,3,0)</f>
        <v>Holloman</v>
      </c>
      <c r="I2381" s="6" t="str">
        <f>VLOOKUP(F2381,Customer,5,0)</f>
        <v>Durgapur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8">
        <f t="shared" si="187"/>
        <v>3142</v>
      </c>
      <c r="Q2381" s="8">
        <f t="shared" si="188"/>
        <v>360</v>
      </c>
      <c r="R2381" s="2" t="s">
        <v>28</v>
      </c>
      <c r="S2381" s="24">
        <f t="shared" si="189"/>
        <v>0.02</v>
      </c>
    </row>
    <row r="2382" spans="1:19" x14ac:dyDescent="0.25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>VLOOKUP(F2382,'Customer Info'!$A:$B,2,0)</f>
        <v>Michelle</v>
      </c>
      <c r="H2382" s="6" t="str">
        <f>VLOOKUP(F2382,'Customer Info'!$A$1:$C$501,3,0)</f>
        <v>Arnett</v>
      </c>
      <c r="I2382" s="6" t="str">
        <f>VLOOKUP(F2382,Customer,5,0)</f>
        <v>Yancheng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8">
        <f t="shared" si="187"/>
        <v>1691</v>
      </c>
      <c r="Q2382" s="8">
        <f t="shared" si="188"/>
        <v>64</v>
      </c>
      <c r="R2382" s="2" t="s">
        <v>28</v>
      </c>
      <c r="S2382" s="24">
        <f t="shared" si="189"/>
        <v>0.02</v>
      </c>
    </row>
    <row r="2383" spans="1:19" x14ac:dyDescent="0.25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>VLOOKUP(F2383,'Customer Info'!$A:$B,2,0)</f>
        <v>Philisse</v>
      </c>
      <c r="H2383" s="6" t="str">
        <f>VLOOKUP(F2383,'Customer Info'!$A$1:$C$501,3,0)</f>
        <v>Overcash</v>
      </c>
      <c r="I2383" s="6" t="str">
        <f>VLOOKUP(F2383,Customer,5,0)</f>
        <v>Devonport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8">
        <f t="shared" si="187"/>
        <v>77</v>
      </c>
      <c r="Q2383" s="8">
        <f t="shared" si="188"/>
        <v>5</v>
      </c>
      <c r="R2383" s="2" t="s">
        <v>26</v>
      </c>
      <c r="S2383" s="24">
        <f t="shared" si="189"/>
        <v>0.02</v>
      </c>
    </row>
    <row r="2384" spans="1:19" x14ac:dyDescent="0.25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>VLOOKUP(F2384,'Customer Info'!$A:$B,2,0)</f>
        <v>Deanra</v>
      </c>
      <c r="H2384" s="6" t="str">
        <f>VLOOKUP(F2384,'Customer Info'!$A$1:$C$501,3,0)</f>
        <v>Eno</v>
      </c>
      <c r="I2384" s="6" t="str">
        <f>VLOOKUP(F2384,Customer,5,0)</f>
        <v>Langen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6930</v>
      </c>
      <c r="O2384" s="2">
        <v>54</v>
      </c>
      <c r="P2384" s="8">
        <f t="shared" si="187"/>
        <v>6984</v>
      </c>
      <c r="Q2384" s="8">
        <f t="shared" si="188"/>
        <v>810</v>
      </c>
      <c r="R2384" s="2" t="s">
        <v>28</v>
      </c>
      <c r="S2384" s="24">
        <f t="shared" si="189"/>
        <v>0.05</v>
      </c>
    </row>
    <row r="2385" spans="1:19" x14ac:dyDescent="0.25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>VLOOKUP(F2385,'Customer Info'!$A:$B,2,0)</f>
        <v>Jennifer</v>
      </c>
      <c r="H2385" s="6" t="str">
        <f>VLOOKUP(F2385,'Customer Info'!$A$1:$C$501,3,0)</f>
        <v>Halladay</v>
      </c>
      <c r="I2385" s="6" t="str">
        <f>VLOOKUP(F2385,Customer,5,0)</f>
        <v>Krefeld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9154</v>
      </c>
      <c r="O2385" s="2">
        <v>50</v>
      </c>
      <c r="P2385" s="8">
        <f t="shared" si="187"/>
        <v>9204</v>
      </c>
      <c r="Q2385" s="8">
        <f t="shared" si="188"/>
        <v>594</v>
      </c>
      <c r="R2385" s="2" t="s">
        <v>28</v>
      </c>
      <c r="S2385" s="24">
        <f t="shared" si="189"/>
        <v>0.05</v>
      </c>
    </row>
    <row r="2386" spans="1:19" x14ac:dyDescent="0.25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>VLOOKUP(F2386,'Customer Info'!$A:$B,2,0)</f>
        <v>Victoria</v>
      </c>
      <c r="H2386" s="6" t="str">
        <f>VLOOKUP(F2386,'Customer Info'!$A$1:$C$501,3,0)</f>
        <v>Wilson</v>
      </c>
      <c r="I2386" s="6" t="str">
        <f>VLOOKUP(F2386,Customer,5,0)</f>
        <v>Berlin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365</v>
      </c>
      <c r="O2386" s="2">
        <v>10</v>
      </c>
      <c r="P2386" s="8">
        <f t="shared" si="187"/>
        <v>375</v>
      </c>
      <c r="Q2386" s="8">
        <f t="shared" si="188"/>
        <v>40</v>
      </c>
      <c r="R2386" s="2" t="s">
        <v>28</v>
      </c>
      <c r="S2386" s="24">
        <f t="shared" si="189"/>
        <v>0.02</v>
      </c>
    </row>
    <row r="2387" spans="1:19" x14ac:dyDescent="0.25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>VLOOKUP(F2387,'Customer Info'!$A:$B,2,0)</f>
        <v>Aaron</v>
      </c>
      <c r="H2387" s="6" t="str">
        <f>VLOOKUP(F2387,'Customer Info'!$A$1:$C$501,3,0)</f>
        <v>Smayling</v>
      </c>
      <c r="I2387" s="6" t="str">
        <f>VLOOKUP(F2387,Customer,5,0)</f>
        <v>Dresden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453</v>
      </c>
      <c r="O2387" s="2">
        <v>30</v>
      </c>
      <c r="P2387" s="8">
        <f t="shared" si="187"/>
        <v>483</v>
      </c>
      <c r="Q2387" s="8">
        <f t="shared" si="188"/>
        <v>36</v>
      </c>
      <c r="R2387" s="2" t="s">
        <v>50</v>
      </c>
      <c r="S2387" s="24">
        <f t="shared" si="189"/>
        <v>0.02</v>
      </c>
    </row>
    <row r="2388" spans="1:19" x14ac:dyDescent="0.25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>VLOOKUP(F2388,'Customer Info'!$A:$B,2,0)</f>
        <v>Jill</v>
      </c>
      <c r="H2388" s="6" t="str">
        <f>VLOOKUP(F2388,'Customer Info'!$A$1:$C$501,3,0)</f>
        <v>Fjeld</v>
      </c>
      <c r="I2388" s="6" t="str">
        <f>VLOOKUP(F2388,Customer,5,0)</f>
        <v>Wollongong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920</v>
      </c>
      <c r="O2388" s="2">
        <v>30</v>
      </c>
      <c r="P2388" s="8">
        <f t="shared" si="187"/>
        <v>950</v>
      </c>
      <c r="Q2388" s="8">
        <f t="shared" si="188"/>
        <v>40</v>
      </c>
      <c r="R2388" s="2" t="s">
        <v>50</v>
      </c>
      <c r="S2388" s="24">
        <f t="shared" si="189"/>
        <v>0.02</v>
      </c>
    </row>
    <row r="2389" spans="1:19" x14ac:dyDescent="0.25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>VLOOKUP(F2389,'Customer Info'!$A:$B,2,0)</f>
        <v>MaryBeth</v>
      </c>
      <c r="H2389" s="6" t="str">
        <f>VLOOKUP(F2389,'Customer Info'!$A$1:$C$501,3,0)</f>
        <v>Skach</v>
      </c>
      <c r="I2389" s="6" t="str">
        <f>VLOOKUP(F2389,Customer,5,0)</f>
        <v>Licheng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1368</v>
      </c>
      <c r="O2389" s="2">
        <v>81</v>
      </c>
      <c r="P2389" s="8">
        <f t="shared" si="187"/>
        <v>1449</v>
      </c>
      <c r="Q2389" s="8">
        <f t="shared" si="188"/>
        <v>78</v>
      </c>
      <c r="R2389" s="2" t="s">
        <v>50</v>
      </c>
      <c r="S2389" s="24">
        <f t="shared" si="189"/>
        <v>0.02</v>
      </c>
    </row>
    <row r="2390" spans="1:19" x14ac:dyDescent="0.25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>VLOOKUP(F2390,'Customer Info'!$A:$B,2,0)</f>
        <v>Elpida</v>
      </c>
      <c r="H2390" s="6" t="str">
        <f>VLOOKUP(F2390,'Customer Info'!$A$1:$C$501,3,0)</f>
        <v>Rittenbach</v>
      </c>
      <c r="I2390" s="6" t="str">
        <f>VLOOKUP(F2390,Customer,5,0)</f>
        <v>Melbourne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3370</v>
      </c>
      <c r="O2390" s="2">
        <v>81</v>
      </c>
      <c r="P2390" s="8">
        <f t="shared" si="187"/>
        <v>3451</v>
      </c>
      <c r="Q2390" s="8">
        <f t="shared" si="188"/>
        <v>225</v>
      </c>
      <c r="R2390" s="2" t="s">
        <v>26</v>
      </c>
      <c r="S2390" s="24">
        <f t="shared" si="189"/>
        <v>0.02</v>
      </c>
    </row>
    <row r="2391" spans="1:19" x14ac:dyDescent="0.25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>VLOOKUP(F2391,'Customer Info'!$A:$B,2,0)</f>
        <v>Ralph</v>
      </c>
      <c r="H2391" s="6" t="str">
        <f>VLOOKUP(F2391,'Customer Info'!$A$1:$C$501,3,0)</f>
        <v>Arnett</v>
      </c>
      <c r="I2391" s="6" t="str">
        <f>VLOOKUP(F2391,Customer,5,0)</f>
        <v>Shenyang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558</v>
      </c>
      <c r="O2391" s="2">
        <v>51</v>
      </c>
      <c r="P2391" s="8">
        <f t="shared" si="187"/>
        <v>609</v>
      </c>
      <c r="Q2391" s="8">
        <f t="shared" si="188"/>
        <v>50</v>
      </c>
      <c r="R2391" s="2" t="s">
        <v>26</v>
      </c>
      <c r="S2391" s="24">
        <f t="shared" si="189"/>
        <v>0.02</v>
      </c>
    </row>
    <row r="2392" spans="1:19" x14ac:dyDescent="0.25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>VLOOKUP(F2392,'Customer Info'!$A:$B,2,0)</f>
        <v>Neoma</v>
      </c>
      <c r="H2392" s="6" t="str">
        <f>VLOOKUP(F2392,'Customer Info'!$A$1:$C$501,3,0)</f>
        <v>Murray</v>
      </c>
      <c r="I2392" s="6" t="str">
        <f>VLOOKUP(F2392,Customer,5,0)</f>
        <v>Guwahati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428</v>
      </c>
      <c r="O2392" s="2">
        <v>45</v>
      </c>
      <c r="P2392" s="8">
        <f t="shared" si="187"/>
        <v>473</v>
      </c>
      <c r="Q2392" s="8">
        <f t="shared" si="188"/>
        <v>30</v>
      </c>
      <c r="R2392" s="2" t="s">
        <v>28</v>
      </c>
      <c r="S2392" s="24">
        <f t="shared" si="189"/>
        <v>0.02</v>
      </c>
    </row>
    <row r="2393" spans="1:19" x14ac:dyDescent="0.25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>VLOOKUP(F2393,'Customer Info'!$A:$B,2,0)</f>
        <v>Harold</v>
      </c>
      <c r="H2393" s="6" t="str">
        <f>VLOOKUP(F2393,'Customer Info'!$A$1:$C$501,3,0)</f>
        <v>Dahlen</v>
      </c>
      <c r="I2393" s="6" t="str">
        <f>VLOOKUP(F2393,Customer,5,0)</f>
        <v>Melbourne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76656</v>
      </c>
      <c r="O2393" s="2">
        <v>49</v>
      </c>
      <c r="P2393" s="8">
        <f t="shared" si="187"/>
        <v>76705</v>
      </c>
      <c r="Q2393" s="8">
        <f t="shared" si="188"/>
        <v>6328</v>
      </c>
      <c r="R2393" s="2" t="s">
        <v>26</v>
      </c>
      <c r="S2393" s="24">
        <f t="shared" si="189"/>
        <v>0.09</v>
      </c>
    </row>
    <row r="2394" spans="1:19" x14ac:dyDescent="0.25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>VLOOKUP(F2394,'Customer Info'!$A:$B,2,0)</f>
        <v>Troy</v>
      </c>
      <c r="H2394" s="6" t="str">
        <f>VLOOKUP(F2394,'Customer Info'!$A$1:$C$501,3,0)</f>
        <v>Blackwell</v>
      </c>
      <c r="I2394" s="6" t="str">
        <f>VLOOKUP(F2394,Customer,5,0)</f>
        <v>Akola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4197</v>
      </c>
      <c r="O2394" s="2">
        <v>42</v>
      </c>
      <c r="P2394" s="8">
        <f t="shared" si="187"/>
        <v>4239</v>
      </c>
      <c r="Q2394" s="8">
        <f t="shared" si="188"/>
        <v>273</v>
      </c>
      <c r="R2394" s="2" t="s">
        <v>50</v>
      </c>
      <c r="S2394" s="24">
        <f t="shared" si="189"/>
        <v>0.02</v>
      </c>
    </row>
    <row r="2395" spans="1:19" x14ac:dyDescent="0.25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>VLOOKUP(F2395,'Customer Info'!$A:$B,2,0)</f>
        <v>Lynn</v>
      </c>
      <c r="H2395" s="6" t="str">
        <f>VLOOKUP(F2395,'Customer Info'!$A$1:$C$501,3,0)</f>
        <v>Smith</v>
      </c>
      <c r="I2395" s="6" t="str">
        <f>VLOOKUP(F2395,Customer,5,0)</f>
        <v>Guiping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3794</v>
      </c>
      <c r="O2395" s="2">
        <v>53</v>
      </c>
      <c r="P2395" s="8">
        <f t="shared" si="187"/>
        <v>3847</v>
      </c>
      <c r="Q2395" s="8">
        <f t="shared" si="188"/>
        <v>350</v>
      </c>
      <c r="R2395" s="2" t="s">
        <v>56</v>
      </c>
      <c r="S2395" s="24">
        <f t="shared" si="189"/>
        <v>0.02</v>
      </c>
    </row>
    <row r="2396" spans="1:19" x14ac:dyDescent="0.25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>VLOOKUP(F2396,'Customer Info'!$A:$B,2,0)</f>
        <v>Dave</v>
      </c>
      <c r="H2396" s="6" t="str">
        <f>VLOOKUP(F2396,'Customer Info'!$A$1:$C$501,3,0)</f>
        <v>Hallsten</v>
      </c>
      <c r="I2396" s="6" t="str">
        <f>VLOOKUP(F2396,Customer,5,0)</f>
        <v>Melbourne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20204</v>
      </c>
      <c r="O2396" s="2">
        <v>59</v>
      </c>
      <c r="P2396" s="8">
        <f t="shared" si="187"/>
        <v>20263</v>
      </c>
      <c r="Q2396" s="8">
        <f t="shared" si="188"/>
        <v>1668</v>
      </c>
      <c r="R2396" s="2" t="s">
        <v>26</v>
      </c>
      <c r="S2396" s="24">
        <f t="shared" si="189"/>
        <v>0.05</v>
      </c>
    </row>
    <row r="2397" spans="1:19" x14ac:dyDescent="0.25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>VLOOKUP(F2397,'Customer Info'!$A:$B,2,0)</f>
        <v>Meg</v>
      </c>
      <c r="H2397" s="6" t="str">
        <f>VLOOKUP(F2397,'Customer Info'!$A$1:$C$501,3,0)</f>
        <v>Tillman</v>
      </c>
      <c r="I2397" s="6" t="str">
        <f>VLOOKUP(F2397,Customer,5,0)</f>
        <v>Bangalore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5370</v>
      </c>
      <c r="O2397" s="2">
        <v>50</v>
      </c>
      <c r="P2397" s="8">
        <f t="shared" si="187"/>
        <v>5420</v>
      </c>
      <c r="Q2397" s="8">
        <f t="shared" si="188"/>
        <v>252</v>
      </c>
      <c r="R2397" s="2" t="s">
        <v>28</v>
      </c>
      <c r="S2397" s="24">
        <f t="shared" si="189"/>
        <v>0.05</v>
      </c>
    </row>
    <row r="2398" spans="1:19" x14ac:dyDescent="0.25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>VLOOKUP(F2398,'Customer Info'!$A:$B,2,0)</f>
        <v>Dennis</v>
      </c>
      <c r="H2398" s="6" t="str">
        <f>VLOOKUP(F2398,'Customer Info'!$A$1:$C$501,3,0)</f>
        <v>Pardue</v>
      </c>
      <c r="I2398" s="6" t="str">
        <f>VLOOKUP(F2398,Customer,5,0)</f>
        <v>Townsville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11628</v>
      </c>
      <c r="O2398" s="2">
        <v>91</v>
      </c>
      <c r="P2398" s="8">
        <f t="shared" si="187"/>
        <v>11719</v>
      </c>
      <c r="Q2398" s="8">
        <f t="shared" si="188"/>
        <v>960</v>
      </c>
      <c r="R2398" s="2" t="s">
        <v>28</v>
      </c>
      <c r="S2398" s="24">
        <f t="shared" si="189"/>
        <v>0.05</v>
      </c>
    </row>
    <row r="2399" spans="1:19" x14ac:dyDescent="0.25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>VLOOKUP(F2399,'Customer Info'!$A:$B,2,0)</f>
        <v>Philip</v>
      </c>
      <c r="H2399" s="6" t="str">
        <f>VLOOKUP(F2399,'Customer Info'!$A$1:$C$501,3,0)</f>
        <v>Fox</v>
      </c>
      <c r="I2399" s="6" t="str">
        <f>VLOOKUP(F2399,Customer,5,0)</f>
        <v>Mount Isa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5962</v>
      </c>
      <c r="O2399" s="2">
        <v>21</v>
      </c>
      <c r="P2399" s="8">
        <f t="shared" si="187"/>
        <v>5983</v>
      </c>
      <c r="Q2399" s="8">
        <f t="shared" si="188"/>
        <v>222</v>
      </c>
      <c r="R2399" s="2" t="s">
        <v>26</v>
      </c>
      <c r="S2399" s="24">
        <f t="shared" si="189"/>
        <v>0.05</v>
      </c>
    </row>
    <row r="2400" spans="1:19" x14ac:dyDescent="0.25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>VLOOKUP(F2400,'Customer Info'!$A:$B,2,0)</f>
        <v>David</v>
      </c>
      <c r="H2400" s="6" t="str">
        <f>VLOOKUP(F2400,'Customer Info'!$A$1:$C$501,3,0)</f>
        <v>Smith</v>
      </c>
      <c r="I2400" s="6" t="str">
        <f>VLOOKUP(F2400,Customer,5,0)</f>
        <v>Surat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16870</v>
      </c>
      <c r="O2400" s="2">
        <v>57</v>
      </c>
      <c r="P2400" s="8">
        <f t="shared" si="187"/>
        <v>16927</v>
      </c>
      <c r="Q2400" s="8">
        <f t="shared" si="188"/>
        <v>644</v>
      </c>
      <c r="R2400" s="2" t="s">
        <v>28</v>
      </c>
      <c r="S2400" s="24">
        <f t="shared" si="189"/>
        <v>0.05</v>
      </c>
    </row>
    <row r="2401" spans="1:19" x14ac:dyDescent="0.25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>VLOOKUP(F2401,'Customer Info'!$A:$B,2,0)</f>
        <v>Sanjit</v>
      </c>
      <c r="H2401" s="6" t="str">
        <f>VLOOKUP(F2401,'Customer Info'!$A$1:$C$501,3,0)</f>
        <v>Jacobs</v>
      </c>
      <c r="I2401" s="6" t="str">
        <f>VLOOKUP(F2401,Customer,5,0)</f>
        <v>Munich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2951</v>
      </c>
      <c r="O2401" s="2">
        <v>28</v>
      </c>
      <c r="P2401" s="8">
        <f t="shared" si="187"/>
        <v>2979</v>
      </c>
      <c r="Q2401" s="8">
        <f t="shared" si="188"/>
        <v>165</v>
      </c>
      <c r="R2401" s="2" t="s">
        <v>28</v>
      </c>
      <c r="S2401" s="24">
        <f t="shared" si="189"/>
        <v>0.02</v>
      </c>
    </row>
    <row r="2402" spans="1:19" x14ac:dyDescent="0.25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>VLOOKUP(F2402,'Customer Info'!$A:$B,2,0)</f>
        <v>Delfina</v>
      </c>
      <c r="H2402" s="6" t="str">
        <f>VLOOKUP(F2402,'Customer Info'!$A$1:$C$501,3,0)</f>
        <v>Latchford</v>
      </c>
      <c r="I2402" s="6" t="str">
        <f>VLOOKUP(F2402,Customer,5,0)</f>
        <v>Yogyakarta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5322</v>
      </c>
      <c r="O2402" s="2">
        <v>65</v>
      </c>
      <c r="P2402" s="8">
        <f t="shared" si="187"/>
        <v>5387</v>
      </c>
      <c r="Q2402" s="8">
        <f t="shared" si="188"/>
        <v>396</v>
      </c>
      <c r="R2402" s="2" t="s">
        <v>28</v>
      </c>
      <c r="S2402" s="24">
        <f t="shared" si="189"/>
        <v>0.05</v>
      </c>
    </row>
    <row r="2403" spans="1:19" x14ac:dyDescent="0.25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>VLOOKUP(F2403,'Customer Info'!$A:$B,2,0)</f>
        <v>Max</v>
      </c>
      <c r="H2403" s="6" t="str">
        <f>VLOOKUP(F2403,'Customer Info'!$A$1:$C$501,3,0)</f>
        <v>Ludwig</v>
      </c>
      <c r="I2403" s="6" t="str">
        <f>VLOOKUP(F2403,Customer,5,0)</f>
        <v>Newcastle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2367</v>
      </c>
      <c r="O2403" s="2">
        <v>61</v>
      </c>
      <c r="P2403" s="8">
        <f t="shared" si="187"/>
        <v>2428</v>
      </c>
      <c r="Q2403" s="8">
        <f t="shared" si="188"/>
        <v>150</v>
      </c>
      <c r="R2403" s="2" t="s">
        <v>26</v>
      </c>
      <c r="S2403" s="24">
        <f t="shared" si="189"/>
        <v>0.02</v>
      </c>
    </row>
    <row r="2404" spans="1:19" x14ac:dyDescent="0.25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>VLOOKUP(F2404,'Customer Info'!$A:$B,2,0)</f>
        <v>Max</v>
      </c>
      <c r="H2404" s="6" t="str">
        <f>VLOOKUP(F2404,'Customer Info'!$A$1:$C$501,3,0)</f>
        <v>Ludwig</v>
      </c>
      <c r="I2404" s="6" t="str">
        <f>VLOOKUP(F2404,Customer,5,0)</f>
        <v>Cirebon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1283</v>
      </c>
      <c r="O2404" s="2">
        <v>83</v>
      </c>
      <c r="P2404" s="8">
        <f t="shared" si="187"/>
        <v>1366</v>
      </c>
      <c r="Q2404" s="8">
        <f t="shared" si="188"/>
        <v>96</v>
      </c>
      <c r="R2404" s="2" t="s">
        <v>28</v>
      </c>
      <c r="S2404" s="24">
        <f t="shared" si="189"/>
        <v>0.02</v>
      </c>
    </row>
    <row r="2405" spans="1:19" x14ac:dyDescent="0.25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>VLOOKUP(F2405,'Customer Info'!$A:$B,2,0)</f>
        <v>Patrick</v>
      </c>
      <c r="H2405" s="6" t="str">
        <f>VLOOKUP(F2405,'Customer Info'!$A$1:$C$501,3,0)</f>
        <v>O'Donnell</v>
      </c>
      <c r="I2405" s="6" t="str">
        <f>VLOOKUP(F2405,Customer,5,0)</f>
        <v>Sydney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305</v>
      </c>
      <c r="O2405" s="2">
        <v>10</v>
      </c>
      <c r="P2405" s="8">
        <f t="shared" si="187"/>
        <v>315</v>
      </c>
      <c r="Q2405" s="8">
        <f t="shared" si="188"/>
        <v>25</v>
      </c>
      <c r="R2405" s="2" t="s">
        <v>28</v>
      </c>
      <c r="S2405" s="24">
        <f t="shared" si="189"/>
        <v>0.02</v>
      </c>
    </row>
    <row r="2406" spans="1:19" x14ac:dyDescent="0.25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>VLOOKUP(F2406,'Customer Info'!$A:$B,2,0)</f>
        <v>Sanjit</v>
      </c>
      <c r="H2406" s="6" t="str">
        <f>VLOOKUP(F2406,'Customer Info'!$A$1:$C$501,3,0)</f>
        <v>Jacobs</v>
      </c>
      <c r="I2406" s="6" t="str">
        <f>VLOOKUP(F2406,Customer,5,0)</f>
        <v>Munich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8022</v>
      </c>
      <c r="O2406" s="2">
        <v>86</v>
      </c>
      <c r="P2406" s="8">
        <f t="shared" si="187"/>
        <v>8108</v>
      </c>
      <c r="Q2406" s="8">
        <f t="shared" si="188"/>
        <v>154</v>
      </c>
      <c r="R2406" s="2" t="s">
        <v>28</v>
      </c>
      <c r="S2406" s="24">
        <f t="shared" si="189"/>
        <v>0.05</v>
      </c>
    </row>
    <row r="2407" spans="1:19" x14ac:dyDescent="0.25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>VLOOKUP(F2407,'Customer Info'!$A:$B,2,0)</f>
        <v>Magdelene</v>
      </c>
      <c r="H2407" s="6" t="str">
        <f>VLOOKUP(F2407,'Customer Info'!$A$1:$C$501,3,0)</f>
        <v>Morse</v>
      </c>
      <c r="I2407" s="6" t="str">
        <f>VLOOKUP(F2407,Customer,5,0)</f>
        <v>Berlin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29896</v>
      </c>
      <c r="O2407" s="2">
        <v>52</v>
      </c>
      <c r="P2407" s="8">
        <f t="shared" si="187"/>
        <v>29948</v>
      </c>
      <c r="Q2407" s="8">
        <f t="shared" si="188"/>
        <v>2464</v>
      </c>
      <c r="R2407" s="2" t="s">
        <v>28</v>
      </c>
      <c r="S2407" s="24">
        <f t="shared" si="189"/>
        <v>7.0000000000000007E-2</v>
      </c>
    </row>
    <row r="2408" spans="1:19" x14ac:dyDescent="0.25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>VLOOKUP(F2408,'Customer Info'!$A:$B,2,0)</f>
        <v>Tom</v>
      </c>
      <c r="H2408" s="6" t="str">
        <f>VLOOKUP(F2408,'Customer Info'!$A$1:$C$501,3,0)</f>
        <v>Boeckenhauer</v>
      </c>
      <c r="I2408" s="6" t="str">
        <f>VLOOKUP(F2408,Customer,5,0)</f>
        <v>Neunkirchen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134</v>
      </c>
      <c r="O2408" s="2">
        <v>10</v>
      </c>
      <c r="P2408" s="8">
        <f t="shared" si="187"/>
        <v>144</v>
      </c>
      <c r="Q2408" s="8">
        <f t="shared" si="188"/>
        <v>10</v>
      </c>
      <c r="R2408" s="2" t="s">
        <v>28</v>
      </c>
      <c r="S2408" s="24">
        <f t="shared" si="189"/>
        <v>0.02</v>
      </c>
    </row>
    <row r="2409" spans="1:19" x14ac:dyDescent="0.25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>VLOOKUP(F2409,'Customer Info'!$A:$B,2,0)</f>
        <v>Lindsay</v>
      </c>
      <c r="H2409" s="6" t="str">
        <f>VLOOKUP(F2409,'Customer Info'!$A$1:$C$501,3,0)</f>
        <v>Shagiari</v>
      </c>
      <c r="I2409" s="6" t="str">
        <f>VLOOKUP(F2409,Customer,5,0)</f>
        <v>Canberra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280</v>
      </c>
      <c r="O2409" s="2">
        <v>30</v>
      </c>
      <c r="P2409" s="8">
        <f t="shared" si="187"/>
        <v>310</v>
      </c>
      <c r="Q2409" s="8">
        <f t="shared" si="188"/>
        <v>6</v>
      </c>
      <c r="R2409" s="2" t="s">
        <v>28</v>
      </c>
      <c r="S2409" s="24">
        <f t="shared" si="189"/>
        <v>0.02</v>
      </c>
    </row>
    <row r="2410" spans="1:19" x14ac:dyDescent="0.25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>VLOOKUP(F2410,'Customer Info'!$A:$B,2,0)</f>
        <v>Brad</v>
      </c>
      <c r="H2410" s="6" t="str">
        <f>VLOOKUP(F2410,'Customer Info'!$A$1:$C$501,3,0)</f>
        <v>Eason</v>
      </c>
      <c r="I2410" s="6" t="str">
        <f>VLOOKUP(F2410,Customer,5,0)</f>
        <v>Oberhausen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16044</v>
      </c>
      <c r="O2410" s="2">
        <v>96</v>
      </c>
      <c r="P2410" s="8">
        <f t="shared" si="187"/>
        <v>16140</v>
      </c>
      <c r="Q2410" s="8">
        <f t="shared" si="188"/>
        <v>308</v>
      </c>
      <c r="R2410" s="2" t="s">
        <v>50</v>
      </c>
      <c r="S2410" s="24">
        <f t="shared" si="189"/>
        <v>0.05</v>
      </c>
    </row>
    <row r="2411" spans="1:19" x14ac:dyDescent="0.25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>VLOOKUP(F2411,'Customer Info'!$A:$B,2,0)</f>
        <v>Dionis</v>
      </c>
      <c r="H2411" s="6" t="str">
        <f>VLOOKUP(F2411,'Customer Info'!$A$1:$C$501,3,0)</f>
        <v>Lloyd</v>
      </c>
      <c r="I2411" s="6" t="str">
        <f>VLOOKUP(F2411,Customer,5,0)</f>
        <v>Kamarhati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8967</v>
      </c>
      <c r="O2411" s="2">
        <v>41</v>
      </c>
      <c r="P2411" s="8">
        <f t="shared" si="187"/>
        <v>9008</v>
      </c>
      <c r="Q2411" s="8">
        <f t="shared" si="188"/>
        <v>816</v>
      </c>
      <c r="R2411" s="2" t="s">
        <v>28</v>
      </c>
      <c r="S2411" s="24">
        <f t="shared" si="189"/>
        <v>0.05</v>
      </c>
    </row>
    <row r="2412" spans="1:19" x14ac:dyDescent="0.25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>VLOOKUP(F2412,'Customer Info'!$A:$B,2,0)</f>
        <v>Lisa</v>
      </c>
      <c r="H2412" s="6" t="str">
        <f>VLOOKUP(F2412,'Customer Info'!$A$1:$C$501,3,0)</f>
        <v>Ryan</v>
      </c>
      <c r="I2412" s="6" t="str">
        <f>VLOOKUP(F2412,Customer,5,0)</f>
        <v>Townsville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2007</v>
      </c>
      <c r="O2412" s="2">
        <v>97</v>
      </c>
      <c r="P2412" s="8">
        <f t="shared" si="187"/>
        <v>2104</v>
      </c>
      <c r="Q2412" s="8">
        <f t="shared" si="188"/>
        <v>168</v>
      </c>
      <c r="R2412" s="2" t="s">
        <v>26</v>
      </c>
      <c r="S2412" s="24">
        <f t="shared" si="189"/>
        <v>0.02</v>
      </c>
    </row>
    <row r="2413" spans="1:19" x14ac:dyDescent="0.25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>VLOOKUP(F2413,'Customer Info'!$A:$B,2,0)</f>
        <v>Michael</v>
      </c>
      <c r="H2413" s="6" t="str">
        <f>VLOOKUP(F2413,'Customer Info'!$A$1:$C$501,3,0)</f>
        <v>Nguyen</v>
      </c>
      <c r="I2413" s="6" t="str">
        <f>VLOOKUP(F2413,Customer,5,0)</f>
        <v>Berlin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1974</v>
      </c>
      <c r="O2413" s="2">
        <v>73</v>
      </c>
      <c r="P2413" s="8">
        <f t="shared" si="187"/>
        <v>2047</v>
      </c>
      <c r="Q2413" s="8">
        <f t="shared" si="188"/>
        <v>129</v>
      </c>
      <c r="R2413" s="2" t="s">
        <v>28</v>
      </c>
      <c r="S2413" s="24">
        <f t="shared" si="189"/>
        <v>0.02</v>
      </c>
    </row>
    <row r="2414" spans="1:19" x14ac:dyDescent="0.25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>VLOOKUP(F2414,'Customer Info'!$A:$B,2,0)</f>
        <v>Steven</v>
      </c>
      <c r="H2414" s="6" t="str">
        <f>VLOOKUP(F2414,'Customer Info'!$A$1:$C$501,3,0)</f>
        <v>Ward</v>
      </c>
      <c r="I2414" s="6" t="str">
        <f>VLOOKUP(F2414,Customer,5,0)</f>
        <v>Adelaide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13452</v>
      </c>
      <c r="O2414" s="2">
        <v>57</v>
      </c>
      <c r="P2414" s="8">
        <f t="shared" si="187"/>
        <v>13509</v>
      </c>
      <c r="Q2414" s="8">
        <f t="shared" si="188"/>
        <v>1002</v>
      </c>
      <c r="R2414" s="2" t="s">
        <v>28</v>
      </c>
      <c r="S2414" s="24">
        <f t="shared" si="189"/>
        <v>0.05</v>
      </c>
    </row>
    <row r="2415" spans="1:19" x14ac:dyDescent="0.25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>VLOOKUP(F2415,'Customer Info'!$A:$B,2,0)</f>
        <v>Darren</v>
      </c>
      <c r="H2415" s="6" t="str">
        <f>VLOOKUP(F2415,'Customer Info'!$A$1:$C$501,3,0)</f>
        <v>Powers</v>
      </c>
      <c r="I2415" s="6" t="str">
        <f>VLOOKUP(F2415,Customer,5,0)</f>
        <v>Depok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17727</v>
      </c>
      <c r="O2415" s="2">
        <v>57</v>
      </c>
      <c r="P2415" s="8">
        <f t="shared" si="187"/>
        <v>17784</v>
      </c>
      <c r="Q2415" s="8">
        <f t="shared" si="188"/>
        <v>1143</v>
      </c>
      <c r="R2415" s="2" t="s">
        <v>28</v>
      </c>
      <c r="S2415" s="24">
        <f t="shared" si="189"/>
        <v>0.05</v>
      </c>
    </row>
    <row r="2416" spans="1:19" x14ac:dyDescent="0.25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>VLOOKUP(F2416,'Customer Info'!$A:$B,2,0)</f>
        <v>Toby</v>
      </c>
      <c r="H2416" s="6" t="str">
        <f>VLOOKUP(F2416,'Customer Info'!$A$1:$C$501,3,0)</f>
        <v>Carlisle</v>
      </c>
      <c r="I2416" s="6" t="str">
        <f>VLOOKUP(F2416,Customer,5,0)</f>
        <v>Depok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9142</v>
      </c>
      <c r="O2416" s="2">
        <v>81</v>
      </c>
      <c r="P2416" s="8">
        <f t="shared" si="187"/>
        <v>9223</v>
      </c>
      <c r="Q2416" s="8">
        <f t="shared" si="188"/>
        <v>763</v>
      </c>
      <c r="R2416" s="2" t="s">
        <v>28</v>
      </c>
      <c r="S2416" s="24">
        <f t="shared" si="189"/>
        <v>0.05</v>
      </c>
    </row>
    <row r="2417" spans="1:19" x14ac:dyDescent="0.25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>VLOOKUP(F2417,'Customer Info'!$A:$B,2,0)</f>
        <v>Thais</v>
      </c>
      <c r="H2417" s="6" t="str">
        <f>VLOOKUP(F2417,'Customer Info'!$A$1:$C$501,3,0)</f>
        <v>Sissman</v>
      </c>
      <c r="I2417" s="6" t="str">
        <f>VLOOKUP(F2417,Customer,5,0)</f>
        <v>Essen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9214</v>
      </c>
      <c r="O2417" s="2">
        <v>68</v>
      </c>
      <c r="P2417" s="8">
        <f t="shared" si="187"/>
        <v>9282</v>
      </c>
      <c r="Q2417" s="8">
        <f t="shared" si="188"/>
        <v>919</v>
      </c>
      <c r="R2417" s="2" t="s">
        <v>56</v>
      </c>
      <c r="S2417" s="24">
        <f t="shared" si="189"/>
        <v>0.05</v>
      </c>
    </row>
    <row r="2418" spans="1:19" x14ac:dyDescent="0.25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>VLOOKUP(F2418,'Customer Info'!$A:$B,2,0)</f>
        <v>Roger</v>
      </c>
      <c r="H2418" s="6" t="str">
        <f>VLOOKUP(F2418,'Customer Info'!$A$1:$C$501,3,0)</f>
        <v>Demir</v>
      </c>
      <c r="I2418" s="6" t="str">
        <f>VLOOKUP(F2418,Customer,5,0)</f>
        <v>Wollongong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28080</v>
      </c>
      <c r="O2418" s="2">
        <v>52</v>
      </c>
      <c r="P2418" s="8">
        <f t="shared" si="187"/>
        <v>28132</v>
      </c>
      <c r="Q2418" s="8">
        <f t="shared" si="188"/>
        <v>1340</v>
      </c>
      <c r="R2418" s="2" t="s">
        <v>50</v>
      </c>
      <c r="S2418" s="24">
        <f t="shared" si="189"/>
        <v>7.0000000000000007E-2</v>
      </c>
    </row>
    <row r="2419" spans="1:19" x14ac:dyDescent="0.25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>VLOOKUP(F2419,'Customer Info'!$A:$B,2,0)</f>
        <v>Ralph</v>
      </c>
      <c r="H2419" s="6" t="str">
        <f>VLOOKUP(F2419,'Customer Info'!$A$1:$C$501,3,0)</f>
        <v>Kennedy</v>
      </c>
      <c r="I2419" s="6" t="str">
        <f>VLOOKUP(F2419,Customer,5,0)</f>
        <v>Bundaberg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2553</v>
      </c>
      <c r="O2419" s="2">
        <v>20</v>
      </c>
      <c r="P2419" s="8">
        <f t="shared" si="187"/>
        <v>2573</v>
      </c>
      <c r="Q2419" s="8">
        <f t="shared" si="188"/>
        <v>234</v>
      </c>
      <c r="R2419" s="2" t="s">
        <v>28</v>
      </c>
      <c r="S2419" s="24">
        <f t="shared" si="189"/>
        <v>0.02</v>
      </c>
    </row>
    <row r="2420" spans="1:19" x14ac:dyDescent="0.25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>VLOOKUP(F2420,'Customer Info'!$A:$B,2,0)</f>
        <v>Anna</v>
      </c>
      <c r="H2420" s="6" t="str">
        <f>VLOOKUP(F2420,'Customer Info'!$A$1:$C$501,3,0)</f>
        <v>Gayman</v>
      </c>
      <c r="I2420" s="6" t="str">
        <f>VLOOKUP(F2420,Customer,5,0)</f>
        <v>Surat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2503</v>
      </c>
      <c r="O2420" s="2">
        <v>93</v>
      </c>
      <c r="P2420" s="8">
        <f t="shared" si="187"/>
        <v>2596</v>
      </c>
      <c r="Q2420" s="8">
        <f t="shared" si="188"/>
        <v>49</v>
      </c>
      <c r="R2420" s="2" t="s">
        <v>28</v>
      </c>
      <c r="S2420" s="24">
        <f t="shared" si="189"/>
        <v>0.02</v>
      </c>
    </row>
    <row r="2421" spans="1:19" x14ac:dyDescent="0.25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>VLOOKUP(F2421,'Customer Info'!$A:$B,2,0)</f>
        <v>Susan</v>
      </c>
      <c r="H2421" s="6" t="str">
        <f>VLOOKUP(F2421,'Customer Info'!$A$1:$C$501,3,0)</f>
        <v>MacKendrick</v>
      </c>
      <c r="I2421" s="6" t="str">
        <f>VLOOKUP(F2421,Customer,5,0)</f>
        <v>Brisbane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2372</v>
      </c>
      <c r="O2421" s="2">
        <v>83</v>
      </c>
      <c r="P2421" s="8">
        <f t="shared" si="187"/>
        <v>2455</v>
      </c>
      <c r="Q2421" s="8">
        <f t="shared" si="188"/>
        <v>90</v>
      </c>
      <c r="R2421" s="2" t="s">
        <v>50</v>
      </c>
      <c r="S2421" s="24">
        <f t="shared" si="189"/>
        <v>0.02</v>
      </c>
    </row>
    <row r="2422" spans="1:19" x14ac:dyDescent="0.25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>VLOOKUP(F2422,'Customer Info'!$A:$B,2,0)</f>
        <v>Becky</v>
      </c>
      <c r="H2422" s="6" t="str">
        <f>VLOOKUP(F2422,'Customer Info'!$A$1:$C$501,3,0)</f>
        <v>Pak</v>
      </c>
      <c r="I2422" s="6" t="str">
        <f>VLOOKUP(F2422,Customer,5,0)</f>
        <v>Geelong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39610</v>
      </c>
      <c r="O2422" s="2">
        <v>42</v>
      </c>
      <c r="P2422" s="8">
        <f t="shared" si="187"/>
        <v>39652</v>
      </c>
      <c r="Q2422" s="8">
        <f t="shared" si="188"/>
        <v>2970</v>
      </c>
      <c r="R2422" s="2" t="s">
        <v>50</v>
      </c>
      <c r="S2422" s="24">
        <f t="shared" si="189"/>
        <v>7.0000000000000007E-2</v>
      </c>
    </row>
    <row r="2423" spans="1:19" x14ac:dyDescent="0.25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>VLOOKUP(F2423,'Customer Info'!$A:$B,2,0)</f>
        <v>Parhena</v>
      </c>
      <c r="H2423" s="6" t="str">
        <f>VLOOKUP(F2423,'Customer Info'!$A$1:$C$501,3,0)</f>
        <v>Norris</v>
      </c>
      <c r="I2423" s="6" t="str">
        <f>VLOOKUP(F2423,Customer,5,0)</f>
        <v>Bandung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896</v>
      </c>
      <c r="O2423" s="2">
        <v>25</v>
      </c>
      <c r="P2423" s="8">
        <f t="shared" si="187"/>
        <v>921</v>
      </c>
      <c r="Q2423" s="8">
        <f t="shared" si="188"/>
        <v>26</v>
      </c>
      <c r="R2423" s="2" t="s">
        <v>50</v>
      </c>
      <c r="S2423" s="24">
        <f t="shared" si="189"/>
        <v>0.02</v>
      </c>
    </row>
    <row r="2424" spans="1:19" x14ac:dyDescent="0.25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>VLOOKUP(F2424,'Customer Info'!$A:$B,2,0)</f>
        <v>Peter</v>
      </c>
      <c r="H2424" s="6" t="str">
        <f>VLOOKUP(F2424,'Customer Info'!$A$1:$C$501,3,0)</f>
        <v>BŸhler</v>
      </c>
      <c r="I2424" s="6" t="str">
        <f>VLOOKUP(F2424,Customer,5,0)</f>
        <v>Dresden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3180</v>
      </c>
      <c r="O2424" s="2">
        <v>60</v>
      </c>
      <c r="P2424" s="8">
        <f t="shared" si="187"/>
        <v>3240</v>
      </c>
      <c r="Q2424" s="8">
        <f t="shared" si="188"/>
        <v>288</v>
      </c>
      <c r="R2424" s="2" t="s">
        <v>56</v>
      </c>
      <c r="S2424" s="24">
        <f t="shared" si="189"/>
        <v>0.02</v>
      </c>
    </row>
    <row r="2425" spans="1:19" x14ac:dyDescent="0.25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>VLOOKUP(F2425,'Customer Info'!$A:$B,2,0)</f>
        <v>Darren</v>
      </c>
      <c r="H2425" s="6" t="str">
        <f>VLOOKUP(F2425,'Customer Info'!$A$1:$C$501,3,0)</f>
        <v>Budd</v>
      </c>
      <c r="I2425" s="6" t="str">
        <f>VLOOKUP(F2425,Customer,5,0)</f>
        <v>Perth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5436</v>
      </c>
      <c r="O2425" s="2">
        <v>57</v>
      </c>
      <c r="P2425" s="8">
        <f t="shared" si="187"/>
        <v>5493</v>
      </c>
      <c r="Q2425" s="8">
        <f t="shared" si="188"/>
        <v>552</v>
      </c>
      <c r="R2425" s="2" t="s">
        <v>50</v>
      </c>
      <c r="S2425" s="24">
        <f t="shared" si="189"/>
        <v>0.05</v>
      </c>
    </row>
    <row r="2426" spans="1:19" x14ac:dyDescent="0.25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>VLOOKUP(F2426,'Customer Info'!$A:$B,2,0)</f>
        <v>Allen</v>
      </c>
      <c r="H2426" s="6" t="str">
        <f>VLOOKUP(F2426,'Customer Info'!$A$1:$C$501,3,0)</f>
        <v>Armold</v>
      </c>
      <c r="I2426" s="6" t="str">
        <f>VLOOKUP(F2426,Customer,5,0)</f>
        <v>Wuchuan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845</v>
      </c>
      <c r="O2426" s="2">
        <v>30</v>
      </c>
      <c r="P2426" s="8">
        <f t="shared" si="187"/>
        <v>875</v>
      </c>
      <c r="Q2426" s="8">
        <f t="shared" si="188"/>
        <v>45</v>
      </c>
      <c r="R2426" s="2" t="s">
        <v>50</v>
      </c>
      <c r="S2426" s="24">
        <f t="shared" si="189"/>
        <v>0.02</v>
      </c>
    </row>
    <row r="2427" spans="1:19" x14ac:dyDescent="0.25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>VLOOKUP(F2427,'Customer Info'!$A:$B,2,0)</f>
        <v>Scott</v>
      </c>
      <c r="H2427" s="6" t="str">
        <f>VLOOKUP(F2427,'Customer Info'!$A$1:$C$501,3,0)</f>
        <v>Cohen</v>
      </c>
      <c r="I2427" s="6" t="str">
        <f>VLOOKUP(F2427,Customer,5,0)</f>
        <v>Freiburg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4197</v>
      </c>
      <c r="O2427" s="2">
        <v>74</v>
      </c>
      <c r="P2427" s="8">
        <f t="shared" si="187"/>
        <v>4271</v>
      </c>
      <c r="Q2427" s="8">
        <f t="shared" si="188"/>
        <v>273</v>
      </c>
      <c r="R2427" s="2" t="s">
        <v>28</v>
      </c>
      <c r="S2427" s="24">
        <f t="shared" si="189"/>
        <v>0.02</v>
      </c>
    </row>
    <row r="2428" spans="1:19" x14ac:dyDescent="0.25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>VLOOKUP(F2428,'Customer Info'!$A:$B,2,0)</f>
        <v>Darren</v>
      </c>
      <c r="H2428" s="6" t="str">
        <f>VLOOKUP(F2428,'Customer Info'!$A$1:$C$501,3,0)</f>
        <v>Powers</v>
      </c>
      <c r="I2428" s="6" t="str">
        <f>VLOOKUP(F2428,Customer,5,0)</f>
        <v>Depok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568</v>
      </c>
      <c r="O2428" s="2">
        <v>30</v>
      </c>
      <c r="P2428" s="8">
        <f t="shared" si="187"/>
        <v>598</v>
      </c>
      <c r="Q2428" s="8">
        <f t="shared" si="188"/>
        <v>32</v>
      </c>
      <c r="R2428" s="2" t="s">
        <v>26</v>
      </c>
      <c r="S2428" s="24">
        <f t="shared" si="189"/>
        <v>0.02</v>
      </c>
    </row>
    <row r="2429" spans="1:19" x14ac:dyDescent="0.25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>VLOOKUP(F2429,'Customer Info'!$A:$B,2,0)</f>
        <v>Vivek</v>
      </c>
      <c r="H2429" s="6" t="str">
        <f>VLOOKUP(F2429,'Customer Info'!$A$1:$C$501,3,0)</f>
        <v>Sundaresam</v>
      </c>
      <c r="I2429" s="6" t="str">
        <f>VLOOKUP(F2429,Customer,5,0)</f>
        <v>Hamburg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17682</v>
      </c>
      <c r="O2429" s="2">
        <v>80</v>
      </c>
      <c r="P2429" s="8">
        <f t="shared" si="187"/>
        <v>17762</v>
      </c>
      <c r="Q2429" s="8">
        <f t="shared" si="188"/>
        <v>819</v>
      </c>
      <c r="R2429" s="2" t="s">
        <v>50</v>
      </c>
      <c r="S2429" s="24">
        <f t="shared" si="189"/>
        <v>0.05</v>
      </c>
    </row>
    <row r="2430" spans="1:19" x14ac:dyDescent="0.25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>VLOOKUP(F2430,'Customer Info'!$A:$B,2,0)</f>
        <v>Alice</v>
      </c>
      <c r="H2430" s="6" t="str">
        <f>VLOOKUP(F2430,'Customer Info'!$A$1:$C$501,3,0)</f>
        <v>McCarthy</v>
      </c>
      <c r="I2430" s="6" t="str">
        <f>VLOOKUP(F2430,Customer,5,0)</f>
        <v>Berlin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992</v>
      </c>
      <c r="O2430" s="2">
        <v>80</v>
      </c>
      <c r="P2430" s="8">
        <f t="shared" si="187"/>
        <v>1072</v>
      </c>
      <c r="Q2430" s="8">
        <f t="shared" si="188"/>
        <v>64</v>
      </c>
      <c r="R2430" s="2" t="s">
        <v>28</v>
      </c>
      <c r="S2430" s="24">
        <f t="shared" si="189"/>
        <v>0.02</v>
      </c>
    </row>
    <row r="2431" spans="1:19" x14ac:dyDescent="0.25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>VLOOKUP(F2431,'Customer Info'!$A:$B,2,0)</f>
        <v>MaryBeth</v>
      </c>
      <c r="H2431" s="6" t="str">
        <f>VLOOKUP(F2431,'Customer Info'!$A$1:$C$501,3,0)</f>
        <v>Skach</v>
      </c>
      <c r="I2431" s="6" t="str">
        <f>VLOOKUP(F2431,Customer,5,0)</f>
        <v>Licheng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14352</v>
      </c>
      <c r="O2431" s="2">
        <v>76</v>
      </c>
      <c r="P2431" s="8">
        <f t="shared" si="187"/>
        <v>14428</v>
      </c>
      <c r="Q2431" s="8">
        <f t="shared" si="188"/>
        <v>798</v>
      </c>
      <c r="R2431" s="2" t="s">
        <v>28</v>
      </c>
      <c r="S2431" s="24">
        <f t="shared" si="189"/>
        <v>0.05</v>
      </c>
    </row>
    <row r="2432" spans="1:19" x14ac:dyDescent="0.25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>VLOOKUP(F2432,'Customer Info'!$A:$B,2,0)</f>
        <v>Benjamin</v>
      </c>
      <c r="H2432" s="6" t="str">
        <f>VLOOKUP(F2432,'Customer Info'!$A$1:$C$501,3,0)</f>
        <v>Patterson</v>
      </c>
      <c r="I2432" s="6" t="str">
        <f>VLOOKUP(F2432,Customer,5,0)</f>
        <v>Wollongong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1828</v>
      </c>
      <c r="O2432" s="2">
        <v>86</v>
      </c>
      <c r="P2432" s="8">
        <f t="shared" si="187"/>
        <v>1914</v>
      </c>
      <c r="Q2432" s="8">
        <f t="shared" si="188"/>
        <v>168</v>
      </c>
      <c r="R2432" s="2" t="s">
        <v>50</v>
      </c>
      <c r="S2432" s="24">
        <f t="shared" si="189"/>
        <v>0.02</v>
      </c>
    </row>
    <row r="2433" spans="1:19" x14ac:dyDescent="0.25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>VLOOKUP(F2433,'Customer Info'!$A:$B,2,0)</f>
        <v>Toby</v>
      </c>
      <c r="H2433" s="6" t="str">
        <f>VLOOKUP(F2433,'Customer Info'!$A$1:$C$501,3,0)</f>
        <v>Braunhardt</v>
      </c>
      <c r="I2433" s="6" t="str">
        <f>VLOOKUP(F2433,Customer,5,0)</f>
        <v>Jiangyan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6812</v>
      </c>
      <c r="O2433" s="2">
        <v>91</v>
      </c>
      <c r="P2433" s="8">
        <f t="shared" si="187"/>
        <v>6903</v>
      </c>
      <c r="Q2433" s="8">
        <f t="shared" si="188"/>
        <v>256</v>
      </c>
      <c r="R2433" s="2" t="s">
        <v>28</v>
      </c>
      <c r="S2433" s="24">
        <f t="shared" si="189"/>
        <v>0.05</v>
      </c>
    </row>
    <row r="2434" spans="1:19" x14ac:dyDescent="0.25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>VLOOKUP(F2434,'Customer Info'!$A:$B,2,0)</f>
        <v>Mike</v>
      </c>
      <c r="H2434" s="6" t="str">
        <f>VLOOKUP(F2434,'Customer Info'!$A$1:$C$501,3,0)</f>
        <v>Gockenbach</v>
      </c>
      <c r="I2434" s="6" t="str">
        <f>VLOOKUP(F2434,Customer,5,0)</f>
        <v>Caloundra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4055</v>
      </c>
      <c r="O2434" s="2">
        <v>20</v>
      </c>
      <c r="P2434" s="8">
        <f t="shared" si="187"/>
        <v>4075</v>
      </c>
      <c r="Q2434" s="8">
        <f t="shared" si="188"/>
        <v>155</v>
      </c>
      <c r="R2434" s="2" t="s">
        <v>26</v>
      </c>
      <c r="S2434" s="24">
        <f t="shared" si="189"/>
        <v>0.02</v>
      </c>
    </row>
    <row r="2435" spans="1:19" x14ac:dyDescent="0.25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>VLOOKUP(F2435,'Customer Info'!$A:$B,2,0)</f>
        <v>Brad</v>
      </c>
      <c r="H2435" s="6" t="str">
        <f>VLOOKUP(F2435,'Customer Info'!$A$1:$C$501,3,0)</f>
        <v>Thomas</v>
      </c>
      <c r="I2435" s="6" t="str">
        <f>VLOOKUP(F2435,Customer,5,0)</f>
        <v>Udaipur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5328</v>
      </c>
      <c r="O2435" s="2">
        <v>57</v>
      </c>
      <c r="P2435" s="8">
        <f t="shared" si="187"/>
        <v>5385</v>
      </c>
      <c r="Q2435" s="8">
        <f t="shared" si="188"/>
        <v>492</v>
      </c>
      <c r="R2435" s="2" t="s">
        <v>28</v>
      </c>
      <c r="S2435" s="24">
        <f t="shared" si="189"/>
        <v>0.05</v>
      </c>
    </row>
    <row r="2436" spans="1:19" x14ac:dyDescent="0.25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>VLOOKUP(F2436,'Customer Info'!$A:$B,2,0)</f>
        <v>Thea</v>
      </c>
      <c r="H2436" s="6" t="str">
        <f>VLOOKUP(F2436,'Customer Info'!$A$1:$C$501,3,0)</f>
        <v>Hendricks</v>
      </c>
      <c r="I2436" s="6" t="str">
        <f>VLOOKUP(F2436,Customer,5,0)</f>
        <v>Moers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17948</v>
      </c>
      <c r="O2436" s="2">
        <v>52</v>
      </c>
      <c r="P2436" s="8">
        <f t="shared" si="187"/>
        <v>18000</v>
      </c>
      <c r="Q2436" s="8">
        <f t="shared" si="188"/>
        <v>1144</v>
      </c>
      <c r="R2436" s="2" t="s">
        <v>28</v>
      </c>
      <c r="S2436" s="24">
        <f t="shared" si="189"/>
        <v>0.05</v>
      </c>
    </row>
    <row r="2437" spans="1:19" x14ac:dyDescent="0.25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>VLOOKUP(F2437,'Customer Info'!$A:$B,2,0)</f>
        <v>Bill</v>
      </c>
      <c r="H2437" s="6" t="str">
        <f>VLOOKUP(F2437,'Customer Info'!$A$1:$C$501,3,0)</f>
        <v>Stewart</v>
      </c>
      <c r="I2437" s="6" t="str">
        <f>VLOOKUP(F2437,Customer,5,0)</f>
        <v>Wenling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134</v>
      </c>
      <c r="O2437" s="2">
        <v>10</v>
      </c>
      <c r="P2437" s="8">
        <f t="shared" si="187"/>
        <v>144</v>
      </c>
      <c r="Q2437" s="8">
        <f t="shared" si="188"/>
        <v>10</v>
      </c>
      <c r="R2437" s="2" t="s">
        <v>26</v>
      </c>
      <c r="S2437" s="24">
        <f t="shared" si="189"/>
        <v>0.02</v>
      </c>
    </row>
    <row r="2438" spans="1:19" x14ac:dyDescent="0.25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>VLOOKUP(F2438,'Customer Info'!$A:$B,2,0)</f>
        <v>Logan</v>
      </c>
      <c r="H2438" s="6" t="str">
        <f>VLOOKUP(F2438,'Customer Info'!$A$1:$C$501,3,0)</f>
        <v>Currie</v>
      </c>
      <c r="I2438" s="6" t="str">
        <f>VLOOKUP(F2438,Customer,5,0)</f>
        <v>Gold Coast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579</v>
      </c>
      <c r="O2438" s="2">
        <v>30</v>
      </c>
      <c r="P2438" s="8">
        <f t="shared" si="187"/>
        <v>609</v>
      </c>
      <c r="Q2438" s="8">
        <f t="shared" si="188"/>
        <v>60</v>
      </c>
      <c r="R2438" s="2" t="s">
        <v>50</v>
      </c>
      <c r="S2438" s="24">
        <f t="shared" si="189"/>
        <v>0.02</v>
      </c>
    </row>
    <row r="2439" spans="1:19" x14ac:dyDescent="0.25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>VLOOKUP(F2439,'Customer Info'!$A:$B,2,0)</f>
        <v>Dean</v>
      </c>
      <c r="H2439" s="6" t="str">
        <f>VLOOKUP(F2439,'Customer Info'!$A$1:$C$501,3,0)</f>
        <v>Katz</v>
      </c>
      <c r="I2439" s="6" t="str">
        <f>VLOOKUP(F2439,Customer,5,0)</f>
        <v>Changzhou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2250</v>
      </c>
      <c r="O2439" s="2">
        <v>83</v>
      </c>
      <c r="P2439" s="8">
        <f t="shared" si="187"/>
        <v>2333</v>
      </c>
      <c r="Q2439" s="8">
        <f t="shared" si="188"/>
        <v>170</v>
      </c>
      <c r="R2439" s="2" t="s">
        <v>28</v>
      </c>
      <c r="S2439" s="24">
        <f t="shared" si="189"/>
        <v>0.02</v>
      </c>
    </row>
    <row r="2440" spans="1:19" x14ac:dyDescent="0.25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>VLOOKUP(F2440,'Customer Info'!$A:$B,2,0)</f>
        <v>Robert</v>
      </c>
      <c r="H2440" s="6" t="str">
        <f>VLOOKUP(F2440,'Customer Info'!$A$1:$C$501,3,0)</f>
        <v>Waldorf</v>
      </c>
      <c r="I2440" s="6" t="str">
        <f>VLOOKUP(F2440,Customer,5,0)</f>
        <v>Emden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170</v>
      </c>
      <c r="O2440" s="2">
        <v>30</v>
      </c>
      <c r="P2440" s="8">
        <f t="shared" si="187"/>
        <v>200</v>
      </c>
      <c r="Q2440" s="8">
        <f t="shared" si="188"/>
        <v>10</v>
      </c>
      <c r="R2440" s="2" t="s">
        <v>50</v>
      </c>
      <c r="S2440" s="24">
        <f t="shared" si="189"/>
        <v>0.02</v>
      </c>
    </row>
    <row r="2441" spans="1:19" x14ac:dyDescent="0.25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>VLOOKUP(F2441,'Customer Info'!$A:$B,2,0)</f>
        <v>Mike</v>
      </c>
      <c r="H2441" s="6" t="str">
        <f>VLOOKUP(F2441,'Customer Info'!$A$1:$C$501,3,0)</f>
        <v>Vittorini</v>
      </c>
      <c r="I2441" s="6" t="str">
        <f>VLOOKUP(F2441,Customer,5,0)</f>
        <v>Naihati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6340</v>
      </c>
      <c r="O2441" s="2">
        <v>60</v>
      </c>
      <c r="P2441" s="8">
        <f t="shared" si="187"/>
        <v>6400</v>
      </c>
      <c r="Q2441" s="8">
        <f t="shared" si="188"/>
        <v>360</v>
      </c>
      <c r="R2441" s="2" t="s">
        <v>28</v>
      </c>
      <c r="S2441" s="24">
        <f t="shared" si="189"/>
        <v>0.05</v>
      </c>
    </row>
    <row r="2442" spans="1:19" x14ac:dyDescent="0.25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>VLOOKUP(F2442,'Customer Info'!$A:$B,2,0)</f>
        <v>Emily</v>
      </c>
      <c r="H2442" s="6" t="str">
        <f>VLOOKUP(F2442,'Customer Info'!$A$1:$C$501,3,0)</f>
        <v>Burns</v>
      </c>
      <c r="I2442" s="6" t="str">
        <f>VLOOKUP(F2442,Customer,5,0)</f>
        <v>Adelaide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126</v>
      </c>
      <c r="O2442" s="2">
        <v>10</v>
      </c>
      <c r="P2442" s="8">
        <f t="shared" si="187"/>
        <v>136</v>
      </c>
      <c r="Q2442" s="8">
        <f t="shared" si="188"/>
        <v>10</v>
      </c>
      <c r="R2442" s="2" t="s">
        <v>50</v>
      </c>
      <c r="S2442" s="24">
        <f t="shared" si="189"/>
        <v>0.02</v>
      </c>
    </row>
    <row r="2443" spans="1:19" x14ac:dyDescent="0.25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>VLOOKUP(F2443,'Customer Info'!$A:$B,2,0)</f>
        <v>Jack</v>
      </c>
      <c r="H2443" s="6" t="str">
        <f>VLOOKUP(F2443,'Customer Info'!$A$1:$C$501,3,0)</f>
        <v>O'Briant</v>
      </c>
      <c r="I2443" s="6" t="str">
        <f>VLOOKUP(F2443,Customer,5,0)</f>
        <v>Jammu</v>
      </c>
      <c r="J2443" s="2">
        <v>1071</v>
      </c>
      <c r="K2443" s="2">
        <v>1010</v>
      </c>
      <c r="L2443" s="2">
        <v>2</v>
      </c>
      <c r="M2443" s="7">
        <f t="shared" ref="M2443:M2506" si="190">K2443*L2443</f>
        <v>2020</v>
      </c>
      <c r="N2443" s="7">
        <f t="shared" ref="N2443:N2506" si="191">J2443*L2443</f>
        <v>2142</v>
      </c>
      <c r="O2443" s="2">
        <v>41</v>
      </c>
      <c r="P2443" s="8">
        <f t="shared" ref="P2443:P2506" si="192">N2443+O2443</f>
        <v>2183</v>
      </c>
      <c r="Q2443" s="8">
        <f t="shared" ref="Q2443:Q2506" si="193">N2443-M2443</f>
        <v>122</v>
      </c>
      <c r="R2443" s="2" t="s">
        <v>28</v>
      </c>
      <c r="S2443" s="24">
        <f t="shared" ref="S2443:S2506" si="194">VLOOKUP(N2443,$T$1:$U$7,2,TRUE)</f>
        <v>0.02</v>
      </c>
    </row>
    <row r="2444" spans="1:19" x14ac:dyDescent="0.25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>VLOOKUP(F2444,'Customer Info'!$A:$B,2,0)</f>
        <v>Yana</v>
      </c>
      <c r="H2444" s="6" t="str">
        <f>VLOOKUP(F2444,'Customer Info'!$A$1:$C$501,3,0)</f>
        <v>Sorensen</v>
      </c>
      <c r="I2444" s="6" t="str">
        <f>VLOOKUP(F2444,Customer,5,0)</f>
        <v>Hangzhou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8">
        <f t="shared" si="192"/>
        <v>35611</v>
      </c>
      <c r="Q2444" s="8">
        <f t="shared" si="193"/>
        <v>3856</v>
      </c>
      <c r="R2444" s="2" t="s">
        <v>26</v>
      </c>
      <c r="S2444" s="24">
        <f t="shared" si="194"/>
        <v>7.0000000000000007E-2</v>
      </c>
    </row>
    <row r="2445" spans="1:19" x14ac:dyDescent="0.25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>VLOOKUP(F2445,'Customer Info'!$A:$B,2,0)</f>
        <v>Tamara</v>
      </c>
      <c r="H2445" s="6" t="str">
        <f>VLOOKUP(F2445,'Customer Info'!$A$1:$C$501,3,0)</f>
        <v>Willingham</v>
      </c>
      <c r="I2445" s="6" t="str">
        <f>VLOOKUP(F2445,Customer,5,0)</f>
        <v>Sindelfingen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8">
        <f t="shared" si="192"/>
        <v>322</v>
      </c>
      <c r="Q2445" s="8">
        <f t="shared" si="193"/>
        <v>16</v>
      </c>
      <c r="R2445" s="2" t="s">
        <v>50</v>
      </c>
      <c r="S2445" s="24">
        <f t="shared" si="194"/>
        <v>0.02</v>
      </c>
    </row>
    <row r="2446" spans="1:19" x14ac:dyDescent="0.25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>VLOOKUP(F2446,'Customer Info'!$A:$B,2,0)</f>
        <v>Jack</v>
      </c>
      <c r="H2446" s="6" t="str">
        <f>VLOOKUP(F2446,'Customer Info'!$A$1:$C$501,3,0)</f>
        <v>O'Briant</v>
      </c>
      <c r="I2446" s="6" t="str">
        <f>VLOOKUP(F2446,Customer,5,0)</f>
        <v>Jammu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8">
        <f t="shared" si="192"/>
        <v>136</v>
      </c>
      <c r="Q2446" s="8">
        <f t="shared" si="193"/>
        <v>10</v>
      </c>
      <c r="R2446" s="2" t="s">
        <v>50</v>
      </c>
      <c r="S2446" s="24">
        <f t="shared" si="194"/>
        <v>0.02</v>
      </c>
    </row>
    <row r="2447" spans="1:19" x14ac:dyDescent="0.25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>VLOOKUP(F2447,'Customer Info'!$A:$B,2,0)</f>
        <v>Evan</v>
      </c>
      <c r="H2447" s="6" t="str">
        <f>VLOOKUP(F2447,'Customer Info'!$A$1:$C$501,3,0)</f>
        <v>Bailliet</v>
      </c>
      <c r="I2447" s="6" t="str">
        <f>VLOOKUP(F2447,Customer,5,0)</f>
        <v>Sydney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8">
        <f t="shared" si="192"/>
        <v>7618</v>
      </c>
      <c r="Q2447" s="8">
        <f t="shared" si="193"/>
        <v>630</v>
      </c>
      <c r="R2447" s="2" t="s">
        <v>28</v>
      </c>
      <c r="S2447" s="24">
        <f t="shared" si="194"/>
        <v>0.05</v>
      </c>
    </row>
    <row r="2448" spans="1:19" x14ac:dyDescent="0.25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>VLOOKUP(F2448,'Customer Info'!$A:$B,2,0)</f>
        <v>Helen</v>
      </c>
      <c r="H2448" s="6" t="str">
        <f>VLOOKUP(F2448,'Customer Info'!$A$1:$C$501,3,0)</f>
        <v>Abelman</v>
      </c>
      <c r="I2448" s="6" t="str">
        <f>VLOOKUP(F2448,Customer,5,0)</f>
        <v>Berlin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3434</v>
      </c>
      <c r="O2448" s="2">
        <v>26</v>
      </c>
      <c r="P2448" s="8">
        <f t="shared" si="192"/>
        <v>3460</v>
      </c>
      <c r="Q2448" s="8">
        <f t="shared" si="193"/>
        <v>130</v>
      </c>
      <c r="R2448" s="2" t="s">
        <v>28</v>
      </c>
      <c r="S2448" s="24">
        <f t="shared" si="194"/>
        <v>0.02</v>
      </c>
    </row>
    <row r="2449" spans="1:19" x14ac:dyDescent="0.25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>VLOOKUP(F2449,'Customer Info'!$A:$B,2,0)</f>
        <v>Helen</v>
      </c>
      <c r="H2449" s="6" t="str">
        <f>VLOOKUP(F2449,'Customer Info'!$A$1:$C$501,3,0)</f>
        <v>Abelman</v>
      </c>
      <c r="I2449" s="6" t="str">
        <f>VLOOKUP(F2449,Customer,5,0)</f>
        <v>Mangalore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3656</v>
      </c>
      <c r="O2449" s="2">
        <v>41</v>
      </c>
      <c r="P2449" s="8">
        <f t="shared" si="192"/>
        <v>3697</v>
      </c>
      <c r="Q2449" s="8">
        <f t="shared" si="193"/>
        <v>336</v>
      </c>
      <c r="R2449" s="2" t="s">
        <v>28</v>
      </c>
      <c r="S2449" s="24">
        <f t="shared" si="194"/>
        <v>0.02</v>
      </c>
    </row>
    <row r="2450" spans="1:19" x14ac:dyDescent="0.25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>VLOOKUP(F2450,'Customer Info'!$A:$B,2,0)</f>
        <v>Logan</v>
      </c>
      <c r="H2450" s="6" t="str">
        <f>VLOOKUP(F2450,'Customer Info'!$A$1:$C$501,3,0)</f>
        <v>Haushalter</v>
      </c>
      <c r="I2450" s="6" t="str">
        <f>VLOOKUP(F2450,Customer,5,0)</f>
        <v>Canberra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542</v>
      </c>
      <c r="O2450" s="2">
        <v>23</v>
      </c>
      <c r="P2450" s="8">
        <f t="shared" si="192"/>
        <v>565</v>
      </c>
      <c r="Q2450" s="8">
        <f t="shared" si="193"/>
        <v>50</v>
      </c>
      <c r="R2450" s="2" t="s">
        <v>50</v>
      </c>
      <c r="S2450" s="24">
        <f t="shared" si="194"/>
        <v>0.02</v>
      </c>
    </row>
    <row r="2451" spans="1:19" x14ac:dyDescent="0.25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>VLOOKUP(F2451,'Customer Info'!$A:$B,2,0)</f>
        <v>Roy</v>
      </c>
      <c r="H2451" s="6" t="str">
        <f>VLOOKUP(F2451,'Customer Info'!$A$1:$C$501,3,0)</f>
        <v>Phan</v>
      </c>
      <c r="I2451" s="6" t="str">
        <f>VLOOKUP(F2451,Customer,5,0)</f>
        <v>Melbourne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895</v>
      </c>
      <c r="O2451" s="2">
        <v>30</v>
      </c>
      <c r="P2451" s="8">
        <f t="shared" si="192"/>
        <v>925</v>
      </c>
      <c r="Q2451" s="8">
        <f t="shared" si="193"/>
        <v>65</v>
      </c>
      <c r="R2451" s="2" t="s">
        <v>56</v>
      </c>
      <c r="S2451" s="24">
        <f t="shared" si="194"/>
        <v>0.02</v>
      </c>
    </row>
    <row r="2452" spans="1:19" x14ac:dyDescent="0.25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>VLOOKUP(F2452,'Customer Info'!$A:$B,2,0)</f>
        <v>Valerie</v>
      </c>
      <c r="H2452" s="6" t="str">
        <f>VLOOKUP(F2452,'Customer Info'!$A$1:$C$501,3,0)</f>
        <v>Mitchum</v>
      </c>
      <c r="I2452" s="6" t="str">
        <f>VLOOKUP(F2452,Customer,5,0)</f>
        <v>Chengdu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4592</v>
      </c>
      <c r="O2452" s="2">
        <v>50</v>
      </c>
      <c r="P2452" s="8">
        <f t="shared" si="192"/>
        <v>4642</v>
      </c>
      <c r="Q2452" s="8">
        <f t="shared" si="193"/>
        <v>300</v>
      </c>
      <c r="R2452" s="2" t="s">
        <v>28</v>
      </c>
      <c r="S2452" s="24">
        <f t="shared" si="194"/>
        <v>0.02</v>
      </c>
    </row>
    <row r="2453" spans="1:19" x14ac:dyDescent="0.25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>VLOOKUP(F2453,'Customer Info'!$A:$B,2,0)</f>
        <v>Darren</v>
      </c>
      <c r="H2453" s="6" t="str">
        <f>VLOOKUP(F2453,'Customer Info'!$A$1:$C$501,3,0)</f>
        <v>Koutras</v>
      </c>
      <c r="I2453" s="6" t="str">
        <f>VLOOKUP(F2453,Customer,5,0)</f>
        <v>Pune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18948</v>
      </c>
      <c r="O2453" s="2">
        <v>62</v>
      </c>
      <c r="P2453" s="8">
        <f t="shared" si="192"/>
        <v>19010</v>
      </c>
      <c r="Q2453" s="8">
        <f t="shared" si="193"/>
        <v>1056</v>
      </c>
      <c r="R2453" s="2" t="s">
        <v>28</v>
      </c>
      <c r="S2453" s="24">
        <f t="shared" si="194"/>
        <v>0.05</v>
      </c>
    </row>
    <row r="2454" spans="1:19" x14ac:dyDescent="0.25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>VLOOKUP(F2454,'Customer Info'!$A:$B,2,0)</f>
        <v>Stuart</v>
      </c>
      <c r="H2454" s="6" t="str">
        <f>VLOOKUP(F2454,'Customer Info'!$A$1:$C$501,3,0)</f>
        <v>Calhoun</v>
      </c>
      <c r="I2454" s="6" t="str">
        <f>VLOOKUP(F2454,Customer,5,0)</f>
        <v>Pforzheim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2295</v>
      </c>
      <c r="O2454" s="2">
        <v>82</v>
      </c>
      <c r="P2454" s="8">
        <f t="shared" si="192"/>
        <v>2377</v>
      </c>
      <c r="Q2454" s="8">
        <f t="shared" si="193"/>
        <v>192</v>
      </c>
      <c r="R2454" s="2" t="s">
        <v>26</v>
      </c>
      <c r="S2454" s="24">
        <f t="shared" si="194"/>
        <v>0.02</v>
      </c>
    </row>
    <row r="2455" spans="1:19" x14ac:dyDescent="0.25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>VLOOKUP(F2455,'Customer Info'!$A:$B,2,0)</f>
        <v>Adam</v>
      </c>
      <c r="H2455" s="6" t="str">
        <f>VLOOKUP(F2455,'Customer Info'!$A$1:$C$501,3,0)</f>
        <v>Bellavance</v>
      </c>
      <c r="I2455" s="6" t="str">
        <f>VLOOKUP(F2455,Customer,5,0)</f>
        <v>Kwinana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21230</v>
      </c>
      <c r="O2455" s="2">
        <v>94</v>
      </c>
      <c r="P2455" s="8">
        <f t="shared" si="192"/>
        <v>21324</v>
      </c>
      <c r="Q2455" s="8">
        <f t="shared" si="193"/>
        <v>1945</v>
      </c>
      <c r="R2455" s="2" t="s">
        <v>28</v>
      </c>
      <c r="S2455" s="24">
        <f t="shared" si="194"/>
        <v>0.05</v>
      </c>
    </row>
    <row r="2456" spans="1:19" x14ac:dyDescent="0.25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>VLOOKUP(F2456,'Customer Info'!$A:$B,2,0)</f>
        <v>Becky</v>
      </c>
      <c r="H2456" s="6" t="str">
        <f>VLOOKUP(F2456,'Customer Info'!$A$1:$C$501,3,0)</f>
        <v>Pak</v>
      </c>
      <c r="I2456" s="6" t="str">
        <f>VLOOKUP(F2456,Customer,5,0)</f>
        <v>Mandurah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142</v>
      </c>
      <c r="O2456" s="2">
        <v>30</v>
      </c>
      <c r="P2456" s="8">
        <f t="shared" si="192"/>
        <v>172</v>
      </c>
      <c r="Q2456" s="8">
        <f t="shared" si="193"/>
        <v>8</v>
      </c>
      <c r="R2456" s="2" t="s">
        <v>28</v>
      </c>
      <c r="S2456" s="24">
        <f t="shared" si="194"/>
        <v>0.02</v>
      </c>
    </row>
    <row r="2457" spans="1:19" x14ac:dyDescent="0.25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>VLOOKUP(F2457,'Customer Info'!$A:$B,2,0)</f>
        <v>Lisa</v>
      </c>
      <c r="H2457" s="6" t="str">
        <f>VLOOKUP(F2457,'Customer Info'!$A$1:$C$501,3,0)</f>
        <v>Ryan</v>
      </c>
      <c r="I2457" s="6" t="str">
        <f>VLOOKUP(F2457,Customer,5,0)</f>
        <v>Berlin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7698</v>
      </c>
      <c r="O2457" s="2">
        <v>49</v>
      </c>
      <c r="P2457" s="8">
        <f t="shared" si="192"/>
        <v>7747</v>
      </c>
      <c r="Q2457" s="8">
        <f t="shared" si="193"/>
        <v>576</v>
      </c>
      <c r="R2457" s="2" t="s">
        <v>28</v>
      </c>
      <c r="S2457" s="24">
        <f t="shared" si="194"/>
        <v>0.05</v>
      </c>
    </row>
    <row r="2458" spans="1:19" x14ac:dyDescent="0.25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>VLOOKUP(F2458,'Customer Info'!$A:$B,2,0)</f>
        <v>Jesus</v>
      </c>
      <c r="H2458" s="6" t="str">
        <f>VLOOKUP(F2458,'Customer Info'!$A$1:$C$501,3,0)</f>
        <v>Ocampo</v>
      </c>
      <c r="I2458" s="6" t="str">
        <f>VLOOKUP(F2458,Customer,5,0)</f>
        <v>Herten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7254</v>
      </c>
      <c r="O2458" s="2">
        <v>52</v>
      </c>
      <c r="P2458" s="8">
        <f t="shared" si="192"/>
        <v>7306</v>
      </c>
      <c r="Q2458" s="8">
        <f t="shared" si="193"/>
        <v>408</v>
      </c>
      <c r="R2458" s="2" t="s">
        <v>28</v>
      </c>
      <c r="S2458" s="24">
        <f t="shared" si="194"/>
        <v>0.05</v>
      </c>
    </row>
    <row r="2459" spans="1:19" x14ac:dyDescent="0.25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>VLOOKUP(F2459,'Customer Info'!$A:$B,2,0)</f>
        <v>Eugene</v>
      </c>
      <c r="H2459" s="6" t="str">
        <f>VLOOKUP(F2459,'Customer Info'!$A$1:$C$501,3,0)</f>
        <v>Hildebrand</v>
      </c>
      <c r="I2459" s="6" t="str">
        <f>VLOOKUP(F2459,Customer,5,0)</f>
        <v>Coffs Harbour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1816</v>
      </c>
      <c r="O2459" s="2">
        <v>63</v>
      </c>
      <c r="P2459" s="8">
        <f t="shared" si="192"/>
        <v>1879</v>
      </c>
      <c r="Q2459" s="8">
        <f t="shared" si="193"/>
        <v>117</v>
      </c>
      <c r="R2459" s="2" t="s">
        <v>50</v>
      </c>
      <c r="S2459" s="24">
        <f t="shared" si="194"/>
        <v>0.02</v>
      </c>
    </row>
    <row r="2460" spans="1:19" x14ac:dyDescent="0.25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>VLOOKUP(F2460,'Customer Info'!$A:$B,2,0)</f>
        <v>Kean</v>
      </c>
      <c r="H2460" s="6" t="str">
        <f>VLOOKUP(F2460,'Customer Info'!$A$1:$C$501,3,0)</f>
        <v>Thornton</v>
      </c>
      <c r="I2460" s="6" t="str">
        <f>VLOOKUP(F2460,Customer,5,0)</f>
        <v>Melbourne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224</v>
      </c>
      <c r="O2460" s="2">
        <v>86</v>
      </c>
      <c r="P2460" s="8">
        <f t="shared" si="192"/>
        <v>310</v>
      </c>
      <c r="Q2460" s="8">
        <f t="shared" si="193"/>
        <v>14</v>
      </c>
      <c r="R2460" s="2" t="s">
        <v>28</v>
      </c>
      <c r="S2460" s="24">
        <f t="shared" si="194"/>
        <v>0.02</v>
      </c>
    </row>
    <row r="2461" spans="1:19" x14ac:dyDescent="0.25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>VLOOKUP(F2461,'Customer Info'!$A:$B,2,0)</f>
        <v>Bryan</v>
      </c>
      <c r="H2461" s="6" t="str">
        <f>VLOOKUP(F2461,'Customer Info'!$A$1:$C$501,3,0)</f>
        <v>Spruell</v>
      </c>
      <c r="I2461" s="6" t="str">
        <f>VLOOKUP(F2461,Customer,5,0)</f>
        <v>Bekasi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25255</v>
      </c>
      <c r="O2461" s="2">
        <v>67</v>
      </c>
      <c r="P2461" s="8">
        <f t="shared" si="192"/>
        <v>25322</v>
      </c>
      <c r="Q2461" s="8">
        <f t="shared" si="193"/>
        <v>2085</v>
      </c>
      <c r="R2461" s="2" t="s">
        <v>28</v>
      </c>
      <c r="S2461" s="24">
        <f t="shared" si="194"/>
        <v>7.0000000000000007E-2</v>
      </c>
    </row>
    <row r="2462" spans="1:19" x14ac:dyDescent="0.25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>VLOOKUP(F2462,'Customer Info'!$A:$B,2,0)</f>
        <v>Julie</v>
      </c>
      <c r="H2462" s="6" t="str">
        <f>VLOOKUP(F2462,'Customer Info'!$A$1:$C$501,3,0)</f>
        <v>Prescott</v>
      </c>
      <c r="I2462" s="6" t="str">
        <f>VLOOKUP(F2462,Customer,5,0)</f>
        <v>Norderstedt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2492</v>
      </c>
      <c r="O2462" s="2">
        <v>79</v>
      </c>
      <c r="P2462" s="8">
        <f t="shared" si="192"/>
        <v>2571</v>
      </c>
      <c r="Q2462" s="8">
        <f t="shared" si="193"/>
        <v>164</v>
      </c>
      <c r="R2462" s="2" t="s">
        <v>28</v>
      </c>
      <c r="S2462" s="24">
        <f t="shared" si="194"/>
        <v>0.02</v>
      </c>
    </row>
    <row r="2463" spans="1:19" x14ac:dyDescent="0.25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>VLOOKUP(F2463,'Customer Info'!$A:$B,2,0)</f>
        <v>Roland</v>
      </c>
      <c r="H2463" s="6" t="str">
        <f>VLOOKUP(F2463,'Customer Info'!$A$1:$C$501,3,0)</f>
        <v>Murray</v>
      </c>
      <c r="I2463" s="6" t="str">
        <f>VLOOKUP(F2463,Customer,5,0)</f>
        <v>Frankfurt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13731</v>
      </c>
      <c r="O2463" s="2">
        <v>81</v>
      </c>
      <c r="P2463" s="8">
        <f t="shared" si="192"/>
        <v>13812</v>
      </c>
      <c r="Q2463" s="8">
        <f t="shared" si="193"/>
        <v>891</v>
      </c>
      <c r="R2463" s="2" t="s">
        <v>50</v>
      </c>
      <c r="S2463" s="24">
        <f t="shared" si="194"/>
        <v>0.05</v>
      </c>
    </row>
    <row r="2464" spans="1:19" x14ac:dyDescent="0.25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>VLOOKUP(F2464,'Customer Info'!$A:$B,2,0)</f>
        <v>Brian</v>
      </c>
      <c r="H2464" s="6" t="str">
        <f>VLOOKUP(F2464,'Customer Info'!$A$1:$C$501,3,0)</f>
        <v>Dahlen</v>
      </c>
      <c r="I2464" s="6" t="str">
        <f>VLOOKUP(F2464,Customer,5,0)</f>
        <v>Shantou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6747</v>
      </c>
      <c r="O2464" s="2">
        <v>36</v>
      </c>
      <c r="P2464" s="8">
        <f t="shared" si="192"/>
        <v>6783</v>
      </c>
      <c r="Q2464" s="8">
        <f t="shared" si="193"/>
        <v>441</v>
      </c>
      <c r="R2464" s="2" t="s">
        <v>56</v>
      </c>
      <c r="S2464" s="24">
        <f t="shared" si="194"/>
        <v>0.05</v>
      </c>
    </row>
    <row r="2465" spans="1:19" x14ac:dyDescent="0.25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>VLOOKUP(F2465,'Customer Info'!$A:$B,2,0)</f>
        <v>Max</v>
      </c>
      <c r="H2465" s="6" t="str">
        <f>VLOOKUP(F2465,'Customer Info'!$A$1:$C$501,3,0)</f>
        <v>Ludwig</v>
      </c>
      <c r="I2465" s="6" t="str">
        <f>VLOOKUP(F2465,Customer,5,0)</f>
        <v>Newcastle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270</v>
      </c>
      <c r="O2465" s="2">
        <v>10</v>
      </c>
      <c r="P2465" s="8">
        <f t="shared" si="192"/>
        <v>280</v>
      </c>
      <c r="Q2465" s="8">
        <f t="shared" si="193"/>
        <v>27</v>
      </c>
      <c r="R2465" s="2" t="s">
        <v>26</v>
      </c>
      <c r="S2465" s="24">
        <f t="shared" si="194"/>
        <v>0.02</v>
      </c>
    </row>
    <row r="2466" spans="1:19" x14ac:dyDescent="0.25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>VLOOKUP(F2466,'Customer Info'!$A:$B,2,0)</f>
        <v>Barry</v>
      </c>
      <c r="H2466" s="6" t="str">
        <f>VLOOKUP(F2466,'Customer Info'!$A$1:$C$501,3,0)</f>
        <v>Blumstein</v>
      </c>
      <c r="I2466" s="6" t="str">
        <f>VLOOKUP(F2466,Customer,5,0)</f>
        <v>Toowoomba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567</v>
      </c>
      <c r="O2466" s="2">
        <v>10</v>
      </c>
      <c r="P2466" s="8">
        <f t="shared" si="192"/>
        <v>577</v>
      </c>
      <c r="Q2466" s="8">
        <f t="shared" si="193"/>
        <v>45</v>
      </c>
      <c r="R2466" s="2" t="s">
        <v>28</v>
      </c>
      <c r="S2466" s="24">
        <f t="shared" si="194"/>
        <v>0.02</v>
      </c>
    </row>
    <row r="2467" spans="1:19" x14ac:dyDescent="0.25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>VLOOKUP(F2467,'Customer Info'!$A:$B,2,0)</f>
        <v>Damala</v>
      </c>
      <c r="H2467" s="6" t="str">
        <f>VLOOKUP(F2467,'Customer Info'!$A$1:$C$501,3,0)</f>
        <v>Kotsonis</v>
      </c>
      <c r="I2467" s="6" t="str">
        <f>VLOOKUP(F2467,Customer,5,0)</f>
        <v>Berlin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17682</v>
      </c>
      <c r="O2467" s="2">
        <v>96</v>
      </c>
      <c r="P2467" s="8">
        <f t="shared" si="192"/>
        <v>17778</v>
      </c>
      <c r="Q2467" s="8">
        <f t="shared" si="193"/>
        <v>819</v>
      </c>
      <c r="R2467" s="2" t="s">
        <v>28</v>
      </c>
      <c r="S2467" s="24">
        <f t="shared" si="194"/>
        <v>0.05</v>
      </c>
    </row>
    <row r="2468" spans="1:19" x14ac:dyDescent="0.25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>VLOOKUP(F2468,'Customer Info'!$A:$B,2,0)</f>
        <v>David</v>
      </c>
      <c r="H2468" s="6" t="str">
        <f>VLOOKUP(F2468,'Customer Info'!$A$1:$C$501,3,0)</f>
        <v>Philippe</v>
      </c>
      <c r="I2468" s="6" t="str">
        <f>VLOOKUP(F2468,Customer,5,0)</f>
        <v>Hamburg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54912</v>
      </c>
      <c r="O2468" s="2">
        <v>37</v>
      </c>
      <c r="P2468" s="8">
        <f t="shared" si="192"/>
        <v>54949</v>
      </c>
      <c r="Q2468" s="8">
        <f t="shared" si="193"/>
        <v>1576</v>
      </c>
      <c r="R2468" s="2" t="s">
        <v>28</v>
      </c>
      <c r="S2468" s="24">
        <f t="shared" si="194"/>
        <v>0.09</v>
      </c>
    </row>
    <row r="2469" spans="1:19" x14ac:dyDescent="0.25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>VLOOKUP(F2469,'Customer Info'!$A:$B,2,0)</f>
        <v>Katherine</v>
      </c>
      <c r="H2469" s="6" t="str">
        <f>VLOOKUP(F2469,'Customer Info'!$A$1:$C$501,3,0)</f>
        <v>Murray</v>
      </c>
      <c r="I2469" s="6" t="str">
        <f>VLOOKUP(F2469,Customer,5,0)</f>
        <v>Sydney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3596</v>
      </c>
      <c r="O2469" s="2">
        <v>88</v>
      </c>
      <c r="P2469" s="8">
        <f t="shared" si="192"/>
        <v>3684</v>
      </c>
      <c r="Q2469" s="8">
        <f t="shared" si="193"/>
        <v>264</v>
      </c>
      <c r="R2469" s="2" t="s">
        <v>50</v>
      </c>
      <c r="S2469" s="24">
        <f t="shared" si="194"/>
        <v>0.02</v>
      </c>
    </row>
    <row r="2470" spans="1:19" x14ac:dyDescent="0.25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>VLOOKUP(F2470,'Customer Info'!$A:$B,2,0)</f>
        <v>Don</v>
      </c>
      <c r="H2470" s="6" t="str">
        <f>VLOOKUP(F2470,'Customer Info'!$A$1:$C$501,3,0)</f>
        <v>Weiss</v>
      </c>
      <c r="I2470" s="6" t="str">
        <f>VLOOKUP(F2470,Customer,5,0)</f>
        <v>Sydney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4714</v>
      </c>
      <c r="O2470" s="2">
        <v>77</v>
      </c>
      <c r="P2470" s="8">
        <f t="shared" si="192"/>
        <v>4791</v>
      </c>
      <c r="Q2470" s="8">
        <f t="shared" si="193"/>
        <v>391</v>
      </c>
      <c r="R2470" s="2" t="s">
        <v>26</v>
      </c>
      <c r="S2470" s="24">
        <f t="shared" si="194"/>
        <v>0.02</v>
      </c>
    </row>
    <row r="2471" spans="1:19" x14ac:dyDescent="0.25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>VLOOKUP(F2471,'Customer Info'!$A:$B,2,0)</f>
        <v>Barry</v>
      </c>
      <c r="H2471" s="6" t="str">
        <f>VLOOKUP(F2471,'Customer Info'!$A$1:$C$501,3,0)</f>
        <v>Blumstein</v>
      </c>
      <c r="I2471" s="6" t="str">
        <f>VLOOKUP(F2471,Customer,5,0)</f>
        <v>Toowoomba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23880</v>
      </c>
      <c r="O2471" s="2">
        <v>32</v>
      </c>
      <c r="P2471" s="8">
        <f t="shared" si="192"/>
        <v>23912</v>
      </c>
      <c r="Q2471" s="8">
        <f t="shared" si="193"/>
        <v>1755</v>
      </c>
      <c r="R2471" s="2" t="s">
        <v>50</v>
      </c>
      <c r="S2471" s="24">
        <f t="shared" si="194"/>
        <v>0.05</v>
      </c>
    </row>
    <row r="2472" spans="1:19" x14ac:dyDescent="0.25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>VLOOKUP(F2472,'Customer Info'!$A:$B,2,0)</f>
        <v>Kean</v>
      </c>
      <c r="H2472" s="6" t="str">
        <f>VLOOKUP(F2472,'Customer Info'!$A$1:$C$501,3,0)</f>
        <v>Thornton</v>
      </c>
      <c r="I2472" s="6" t="str">
        <f>VLOOKUP(F2472,Customer,5,0)</f>
        <v>Brisbane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666</v>
      </c>
      <c r="O2472" s="2">
        <v>74</v>
      </c>
      <c r="P2472" s="8">
        <f t="shared" si="192"/>
        <v>740</v>
      </c>
      <c r="Q2472" s="8">
        <f t="shared" si="193"/>
        <v>42</v>
      </c>
      <c r="R2472" s="2" t="s">
        <v>50</v>
      </c>
      <c r="S2472" s="24">
        <f t="shared" si="194"/>
        <v>0.02</v>
      </c>
    </row>
    <row r="2473" spans="1:19" x14ac:dyDescent="0.25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>VLOOKUP(F2473,'Customer Info'!$A:$B,2,0)</f>
        <v>Logan</v>
      </c>
      <c r="H2473" s="6" t="str">
        <f>VLOOKUP(F2473,'Customer Info'!$A$1:$C$501,3,0)</f>
        <v>Currie</v>
      </c>
      <c r="I2473" s="6" t="str">
        <f>VLOOKUP(F2473,Customer,5,0)</f>
        <v>Gold Coast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3321</v>
      </c>
      <c r="O2473" s="2">
        <v>56</v>
      </c>
      <c r="P2473" s="8">
        <f t="shared" si="192"/>
        <v>3377</v>
      </c>
      <c r="Q2473" s="8">
        <f t="shared" si="193"/>
        <v>332</v>
      </c>
      <c r="R2473" s="2" t="s">
        <v>28</v>
      </c>
      <c r="S2473" s="24">
        <f t="shared" si="194"/>
        <v>0.02</v>
      </c>
    </row>
    <row r="2474" spans="1:19" x14ac:dyDescent="0.25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>VLOOKUP(F2474,'Customer Info'!$A:$B,2,0)</f>
        <v>Anthony</v>
      </c>
      <c r="H2474" s="6" t="str">
        <f>VLOOKUP(F2474,'Customer Info'!$A$1:$C$501,3,0)</f>
        <v>Rawles</v>
      </c>
      <c r="I2474" s="6" t="str">
        <f>VLOOKUP(F2474,Customer,5,0)</f>
        <v>Samarinda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6868</v>
      </c>
      <c r="O2474" s="2">
        <v>97</v>
      </c>
      <c r="P2474" s="8">
        <f t="shared" si="192"/>
        <v>6965</v>
      </c>
      <c r="Q2474" s="8">
        <f t="shared" si="193"/>
        <v>260</v>
      </c>
      <c r="R2474" s="2" t="s">
        <v>28</v>
      </c>
      <c r="S2474" s="24">
        <f t="shared" si="194"/>
        <v>0.05</v>
      </c>
    </row>
    <row r="2475" spans="1:19" x14ac:dyDescent="0.25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>VLOOKUP(F2475,'Customer Info'!$A:$B,2,0)</f>
        <v>Michael</v>
      </c>
      <c r="H2475" s="6" t="str">
        <f>VLOOKUP(F2475,'Customer Info'!$A$1:$C$501,3,0)</f>
        <v>Chen</v>
      </c>
      <c r="I2475" s="6" t="str">
        <f>VLOOKUP(F2475,Customer,5,0)</f>
        <v>Jakarta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8399</v>
      </c>
      <c r="O2475" s="2">
        <v>85</v>
      </c>
      <c r="P2475" s="8">
        <f t="shared" si="192"/>
        <v>8484</v>
      </c>
      <c r="Q2475" s="8">
        <f t="shared" si="193"/>
        <v>398</v>
      </c>
      <c r="R2475" s="2" t="s">
        <v>28</v>
      </c>
      <c r="S2475" s="24">
        <f t="shared" si="194"/>
        <v>0.05</v>
      </c>
    </row>
    <row r="2476" spans="1:19" x14ac:dyDescent="0.25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>VLOOKUP(F2476,'Customer Info'!$A:$B,2,0)</f>
        <v>Cathy</v>
      </c>
      <c r="H2476" s="6" t="str">
        <f>VLOOKUP(F2476,'Customer Info'!$A$1:$C$501,3,0)</f>
        <v>Hwang</v>
      </c>
      <c r="I2476" s="6" t="str">
        <f>VLOOKUP(F2476,Customer,5,0)</f>
        <v>Ballarat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1098</v>
      </c>
      <c r="O2476" s="2">
        <v>30</v>
      </c>
      <c r="P2476" s="8">
        <f t="shared" si="192"/>
        <v>1128</v>
      </c>
      <c r="Q2476" s="8">
        <f t="shared" si="193"/>
        <v>90</v>
      </c>
      <c r="R2476" s="2" t="s">
        <v>28</v>
      </c>
      <c r="S2476" s="24">
        <f t="shared" si="194"/>
        <v>0.02</v>
      </c>
    </row>
    <row r="2477" spans="1:19" x14ac:dyDescent="0.25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>VLOOKUP(F2477,'Customer Info'!$A:$B,2,0)</f>
        <v>Ionia</v>
      </c>
      <c r="H2477" s="6" t="str">
        <f>VLOOKUP(F2477,'Customer Info'!$A$1:$C$501,3,0)</f>
        <v>McGrath</v>
      </c>
      <c r="I2477" s="6" t="str">
        <f>VLOOKUP(F2477,Customer,5,0)</f>
        <v>Dormagen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3321</v>
      </c>
      <c r="O2477" s="2">
        <v>76</v>
      </c>
      <c r="P2477" s="8">
        <f t="shared" si="192"/>
        <v>3397</v>
      </c>
      <c r="Q2477" s="8">
        <f t="shared" si="193"/>
        <v>332</v>
      </c>
      <c r="R2477" s="2" t="s">
        <v>26</v>
      </c>
      <c r="S2477" s="24">
        <f t="shared" si="194"/>
        <v>0.02</v>
      </c>
    </row>
    <row r="2478" spans="1:19" x14ac:dyDescent="0.25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>VLOOKUP(F2478,'Customer Info'!$A:$B,2,0)</f>
        <v>Toby</v>
      </c>
      <c r="H2478" s="6" t="str">
        <f>VLOOKUP(F2478,'Customer Info'!$A$1:$C$501,3,0)</f>
        <v>Gnade</v>
      </c>
      <c r="I2478" s="6" t="str">
        <f>VLOOKUP(F2478,Customer,5,0)</f>
        <v>Wagga Wagga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3508</v>
      </c>
      <c r="O2478" s="2">
        <v>51</v>
      </c>
      <c r="P2478" s="8">
        <f t="shared" si="192"/>
        <v>3559</v>
      </c>
      <c r="Q2478" s="8">
        <f t="shared" si="193"/>
        <v>356</v>
      </c>
      <c r="R2478" s="2" t="s">
        <v>50</v>
      </c>
      <c r="S2478" s="24">
        <f t="shared" si="194"/>
        <v>0.02</v>
      </c>
    </row>
    <row r="2479" spans="1:19" x14ac:dyDescent="0.25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>VLOOKUP(F2479,'Customer Info'!$A:$B,2,0)</f>
        <v>Russell</v>
      </c>
      <c r="H2479" s="6" t="str">
        <f>VLOOKUP(F2479,'Customer Info'!$A$1:$C$501,3,0)</f>
        <v>Applegate</v>
      </c>
      <c r="I2479" s="6" t="str">
        <f>VLOOKUP(F2479,Customer,5,0)</f>
        <v>Gorakhpur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5080</v>
      </c>
      <c r="O2479" s="2">
        <v>96</v>
      </c>
      <c r="P2479" s="8">
        <f t="shared" si="192"/>
        <v>5176</v>
      </c>
      <c r="Q2479" s="8">
        <f t="shared" si="193"/>
        <v>286</v>
      </c>
      <c r="R2479" s="2" t="s">
        <v>28</v>
      </c>
      <c r="S2479" s="24">
        <f t="shared" si="194"/>
        <v>0.05</v>
      </c>
    </row>
    <row r="2480" spans="1:19" x14ac:dyDescent="0.25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>VLOOKUP(F2480,'Customer Info'!$A:$B,2,0)</f>
        <v>Laurel</v>
      </c>
      <c r="H2480" s="6" t="str">
        <f>VLOOKUP(F2480,'Customer Info'!$A$1:$C$501,3,0)</f>
        <v>Workman</v>
      </c>
      <c r="I2480" s="6" t="str">
        <f>VLOOKUP(F2480,Customer,5,0)</f>
        <v>Dongguan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5848</v>
      </c>
      <c r="O2480" s="2">
        <v>94</v>
      </c>
      <c r="P2480" s="8">
        <f t="shared" si="192"/>
        <v>5942</v>
      </c>
      <c r="Q2480" s="8">
        <f t="shared" si="193"/>
        <v>634</v>
      </c>
      <c r="R2480" s="2" t="s">
        <v>28</v>
      </c>
      <c r="S2480" s="24">
        <f t="shared" si="194"/>
        <v>0.05</v>
      </c>
    </row>
    <row r="2481" spans="1:19" x14ac:dyDescent="0.25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>VLOOKUP(F2481,'Customer Info'!$A:$B,2,0)</f>
        <v>Philip</v>
      </c>
      <c r="H2481" s="6" t="str">
        <f>VLOOKUP(F2481,'Customer Info'!$A$1:$C$501,3,0)</f>
        <v>Fox</v>
      </c>
      <c r="I2481" s="6" t="str">
        <f>VLOOKUP(F2481,Customer,5,0)</f>
        <v>Mount Isa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158</v>
      </c>
      <c r="O2481" s="2">
        <v>10</v>
      </c>
      <c r="P2481" s="8">
        <f t="shared" si="192"/>
        <v>168</v>
      </c>
      <c r="Q2481" s="8">
        <f t="shared" si="193"/>
        <v>8</v>
      </c>
      <c r="R2481" s="2" t="s">
        <v>50</v>
      </c>
      <c r="S2481" s="24">
        <f t="shared" si="194"/>
        <v>0.02</v>
      </c>
    </row>
    <row r="2482" spans="1:19" x14ac:dyDescent="0.25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>VLOOKUP(F2482,'Customer Info'!$A:$B,2,0)</f>
        <v>Toby</v>
      </c>
      <c r="H2482" s="6" t="str">
        <f>VLOOKUP(F2482,'Customer Info'!$A$1:$C$501,3,0)</f>
        <v>Braunhardt</v>
      </c>
      <c r="I2482" s="6" t="str">
        <f>VLOOKUP(F2482,Customer,5,0)</f>
        <v>Perth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1834</v>
      </c>
      <c r="O2482" s="2">
        <v>20</v>
      </c>
      <c r="P2482" s="8">
        <f t="shared" si="192"/>
        <v>1854</v>
      </c>
      <c r="Q2482" s="8">
        <f t="shared" si="193"/>
        <v>118</v>
      </c>
      <c r="R2482" s="2" t="s">
        <v>28</v>
      </c>
      <c r="S2482" s="24">
        <f t="shared" si="194"/>
        <v>0.02</v>
      </c>
    </row>
    <row r="2483" spans="1:19" x14ac:dyDescent="0.25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>VLOOKUP(F2483,'Customer Info'!$A:$B,2,0)</f>
        <v>Brendan</v>
      </c>
      <c r="H2483" s="6" t="str">
        <f>VLOOKUP(F2483,'Customer Info'!$A$1:$C$501,3,0)</f>
        <v>Dodson</v>
      </c>
      <c r="I2483" s="6" t="str">
        <f>VLOOKUP(F2483,Customer,5,0)</f>
        <v>Adelaide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183</v>
      </c>
      <c r="O2483" s="2">
        <v>30</v>
      </c>
      <c r="P2483" s="8">
        <f t="shared" si="192"/>
        <v>213</v>
      </c>
      <c r="Q2483" s="8">
        <f t="shared" si="193"/>
        <v>15</v>
      </c>
      <c r="R2483" s="2" t="s">
        <v>28</v>
      </c>
      <c r="S2483" s="24">
        <f t="shared" si="194"/>
        <v>0.02</v>
      </c>
    </row>
    <row r="2484" spans="1:19" x14ac:dyDescent="0.25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>VLOOKUP(F2484,'Customer Info'!$A:$B,2,0)</f>
        <v>Erin</v>
      </c>
      <c r="H2484" s="6" t="str">
        <f>VLOOKUP(F2484,'Customer Info'!$A$1:$C$501,3,0)</f>
        <v>Smith</v>
      </c>
      <c r="I2484" s="6" t="str">
        <f>VLOOKUP(F2484,Customer,5,0)</f>
        <v>Yuci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6999</v>
      </c>
      <c r="O2484" s="2">
        <v>37</v>
      </c>
      <c r="P2484" s="8">
        <f t="shared" si="192"/>
        <v>7036</v>
      </c>
      <c r="Q2484" s="8">
        <f t="shared" si="193"/>
        <v>819</v>
      </c>
      <c r="R2484" s="2" t="s">
        <v>28</v>
      </c>
      <c r="S2484" s="24">
        <f t="shared" si="194"/>
        <v>0.05</v>
      </c>
    </row>
    <row r="2485" spans="1:19" x14ac:dyDescent="0.25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>VLOOKUP(F2485,'Customer Info'!$A:$B,2,0)</f>
        <v>Rob</v>
      </c>
      <c r="H2485" s="6" t="str">
        <f>VLOOKUP(F2485,'Customer Info'!$A$1:$C$501,3,0)</f>
        <v>Haberlin</v>
      </c>
      <c r="I2485" s="6" t="str">
        <f>VLOOKUP(F2485,Customer,5,0)</f>
        <v>Harbin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11840</v>
      </c>
      <c r="O2485" s="2">
        <v>37</v>
      </c>
      <c r="P2485" s="8">
        <f t="shared" si="192"/>
        <v>11877</v>
      </c>
      <c r="Q2485" s="8">
        <f t="shared" si="193"/>
        <v>1300</v>
      </c>
      <c r="R2485" s="2" t="s">
        <v>50</v>
      </c>
      <c r="S2485" s="24">
        <f t="shared" si="194"/>
        <v>0.05</v>
      </c>
    </row>
    <row r="2486" spans="1:19" x14ac:dyDescent="0.25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>VLOOKUP(F2486,'Customer Info'!$A:$B,2,0)</f>
        <v>Roger</v>
      </c>
      <c r="H2486" s="6" t="str">
        <f>VLOOKUP(F2486,'Customer Info'!$A$1:$C$501,3,0)</f>
        <v>Barcio</v>
      </c>
      <c r="I2486" s="6" t="str">
        <f>VLOOKUP(F2486,Customer,5,0)</f>
        <v>Bremen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8478</v>
      </c>
      <c r="O2486" s="2">
        <v>21</v>
      </c>
      <c r="P2486" s="8">
        <f t="shared" si="192"/>
        <v>8499</v>
      </c>
      <c r="Q2486" s="8">
        <f t="shared" si="193"/>
        <v>474</v>
      </c>
      <c r="R2486" s="2" t="s">
        <v>28</v>
      </c>
      <c r="S2486" s="24">
        <f t="shared" si="194"/>
        <v>0.05</v>
      </c>
    </row>
    <row r="2487" spans="1:19" x14ac:dyDescent="0.25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>VLOOKUP(F2487,'Customer Info'!$A:$B,2,0)</f>
        <v>Michael</v>
      </c>
      <c r="H2487" s="6" t="str">
        <f>VLOOKUP(F2487,'Customer Info'!$A$1:$C$501,3,0)</f>
        <v>Moore</v>
      </c>
      <c r="I2487" s="6" t="str">
        <f>VLOOKUP(F2487,Customer,5,0)</f>
        <v>Medan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1650</v>
      </c>
      <c r="O2487" s="2">
        <v>87</v>
      </c>
      <c r="P2487" s="8">
        <f t="shared" si="192"/>
        <v>1737</v>
      </c>
      <c r="Q2487" s="8">
        <f t="shared" si="193"/>
        <v>64</v>
      </c>
      <c r="R2487" s="2" t="s">
        <v>28</v>
      </c>
      <c r="S2487" s="24">
        <f t="shared" si="194"/>
        <v>0.02</v>
      </c>
    </row>
    <row r="2488" spans="1:19" x14ac:dyDescent="0.25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>VLOOKUP(F2488,'Customer Info'!$A:$B,2,0)</f>
        <v>Tamara</v>
      </c>
      <c r="H2488" s="6" t="str">
        <f>VLOOKUP(F2488,'Customer Info'!$A$1:$C$501,3,0)</f>
        <v>Chand</v>
      </c>
      <c r="I2488" s="6" t="str">
        <f>VLOOKUP(F2488,Customer,5,0)</f>
        <v>Yogyakarta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7474</v>
      </c>
      <c r="O2488" s="2">
        <v>79</v>
      </c>
      <c r="P2488" s="8">
        <f t="shared" si="192"/>
        <v>7553</v>
      </c>
      <c r="Q2488" s="8">
        <f t="shared" si="193"/>
        <v>616</v>
      </c>
      <c r="R2488" s="2" t="s">
        <v>56</v>
      </c>
      <c r="S2488" s="24">
        <f t="shared" si="194"/>
        <v>0.05</v>
      </c>
    </row>
    <row r="2489" spans="1:19" x14ac:dyDescent="0.25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>VLOOKUP(F2489,'Customer Info'!$A:$B,2,0)</f>
        <v>Logan</v>
      </c>
      <c r="H2489" s="6" t="str">
        <f>VLOOKUP(F2489,'Customer Info'!$A$1:$C$501,3,0)</f>
        <v>Currie</v>
      </c>
      <c r="I2489" s="6" t="str">
        <f>VLOOKUP(F2489,Customer,5,0)</f>
        <v>Anshan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35088</v>
      </c>
      <c r="O2489" s="2">
        <v>90</v>
      </c>
      <c r="P2489" s="8">
        <f t="shared" si="192"/>
        <v>35178</v>
      </c>
      <c r="Q2489" s="8">
        <f t="shared" si="193"/>
        <v>3804</v>
      </c>
      <c r="R2489" s="2" t="s">
        <v>28</v>
      </c>
      <c r="S2489" s="24">
        <f t="shared" si="194"/>
        <v>7.0000000000000007E-2</v>
      </c>
    </row>
    <row r="2490" spans="1:19" x14ac:dyDescent="0.25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>VLOOKUP(F2490,'Customer Info'!$A:$B,2,0)</f>
        <v>Caroline</v>
      </c>
      <c r="H2490" s="6" t="str">
        <f>VLOOKUP(F2490,'Customer Info'!$A$1:$C$501,3,0)</f>
        <v>Jumper</v>
      </c>
      <c r="I2490" s="6" t="str">
        <f>VLOOKUP(F2490,Customer,5,0)</f>
        <v>Xuzhou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8118</v>
      </c>
      <c r="O2490" s="2">
        <v>77</v>
      </c>
      <c r="P2490" s="8">
        <f t="shared" si="192"/>
        <v>8195</v>
      </c>
      <c r="Q2490" s="8">
        <f t="shared" si="193"/>
        <v>459</v>
      </c>
      <c r="R2490" s="2" t="s">
        <v>28</v>
      </c>
      <c r="S2490" s="24">
        <f t="shared" si="194"/>
        <v>0.05</v>
      </c>
    </row>
    <row r="2491" spans="1:19" x14ac:dyDescent="0.25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>VLOOKUP(F2491,'Customer Info'!$A:$B,2,0)</f>
        <v>Jack</v>
      </c>
      <c r="H2491" s="6" t="str">
        <f>VLOOKUP(F2491,'Customer Info'!$A$1:$C$501,3,0)</f>
        <v>Garza</v>
      </c>
      <c r="I2491" s="6" t="str">
        <f>VLOOKUP(F2491,Customer,5,0)</f>
        <v>Oldenburg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276</v>
      </c>
      <c r="O2491" s="2">
        <v>30</v>
      </c>
      <c r="P2491" s="8">
        <f t="shared" si="192"/>
        <v>306</v>
      </c>
      <c r="Q2491" s="8">
        <f t="shared" si="193"/>
        <v>20</v>
      </c>
      <c r="R2491" s="2" t="s">
        <v>28</v>
      </c>
      <c r="S2491" s="24">
        <f t="shared" si="194"/>
        <v>0.02</v>
      </c>
    </row>
    <row r="2492" spans="1:19" x14ac:dyDescent="0.25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>VLOOKUP(F2492,'Customer Info'!$A:$B,2,0)</f>
        <v>Thea</v>
      </c>
      <c r="H2492" s="6" t="str">
        <f>VLOOKUP(F2492,'Customer Info'!$A$1:$C$501,3,0)</f>
        <v>Hendricks</v>
      </c>
      <c r="I2492" s="6" t="str">
        <f>VLOOKUP(F2492,Customer,5,0)</f>
        <v>Moers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9135</v>
      </c>
      <c r="O2492" s="2">
        <v>73</v>
      </c>
      <c r="P2492" s="8">
        <f t="shared" si="192"/>
        <v>9208</v>
      </c>
      <c r="Q2492" s="8">
        <f t="shared" si="193"/>
        <v>992</v>
      </c>
      <c r="R2492" s="2" t="s">
        <v>50</v>
      </c>
      <c r="S2492" s="24">
        <f t="shared" si="194"/>
        <v>0.05</v>
      </c>
    </row>
    <row r="2493" spans="1:19" x14ac:dyDescent="0.25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>VLOOKUP(F2493,'Customer Info'!$A:$B,2,0)</f>
        <v>Brad</v>
      </c>
      <c r="H2493" s="6" t="str">
        <f>VLOOKUP(F2493,'Customer Info'!$A$1:$C$501,3,0)</f>
        <v>Thomas</v>
      </c>
      <c r="I2493" s="6" t="str">
        <f>VLOOKUP(F2493,Customer,5,0)</f>
        <v>Udaipur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4865</v>
      </c>
      <c r="O2493" s="2">
        <v>80</v>
      </c>
      <c r="P2493" s="8">
        <f t="shared" si="192"/>
        <v>4945</v>
      </c>
      <c r="Q2493" s="8">
        <f t="shared" si="193"/>
        <v>315</v>
      </c>
      <c r="R2493" s="2" t="s">
        <v>50</v>
      </c>
      <c r="S2493" s="24">
        <f t="shared" si="194"/>
        <v>0.02</v>
      </c>
    </row>
    <row r="2494" spans="1:19" x14ac:dyDescent="0.25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>VLOOKUP(F2494,'Customer Info'!$A:$B,2,0)</f>
        <v>Darren</v>
      </c>
      <c r="H2494" s="6" t="str">
        <f>VLOOKUP(F2494,'Customer Info'!$A$1:$C$501,3,0)</f>
        <v>Koutras</v>
      </c>
      <c r="I2494" s="6" t="str">
        <f>VLOOKUP(F2494,Customer,5,0)</f>
        <v>Pune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3816</v>
      </c>
      <c r="O2494" s="2">
        <v>52</v>
      </c>
      <c r="P2494" s="8">
        <f t="shared" si="192"/>
        <v>3868</v>
      </c>
      <c r="Q2494" s="8">
        <f t="shared" si="193"/>
        <v>212</v>
      </c>
      <c r="R2494" s="2" t="s">
        <v>50</v>
      </c>
      <c r="S2494" s="24">
        <f t="shared" si="194"/>
        <v>0.02</v>
      </c>
    </row>
    <row r="2495" spans="1:19" x14ac:dyDescent="0.25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>VLOOKUP(F2495,'Customer Info'!$A:$B,2,0)</f>
        <v>Rick</v>
      </c>
      <c r="H2495" s="6" t="str">
        <f>VLOOKUP(F2495,'Customer Info'!$A$1:$C$501,3,0)</f>
        <v>Reed</v>
      </c>
      <c r="I2495" s="6" t="str">
        <f>VLOOKUP(F2495,Customer,5,0)</f>
        <v>Lucknow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61</v>
      </c>
      <c r="O2495" s="2">
        <v>10</v>
      </c>
      <c r="P2495" s="8">
        <f t="shared" si="192"/>
        <v>71</v>
      </c>
      <c r="Q2495" s="8">
        <f t="shared" si="193"/>
        <v>5</v>
      </c>
      <c r="R2495" s="2" t="s">
        <v>28</v>
      </c>
      <c r="S2495" s="24">
        <f t="shared" si="194"/>
        <v>0.02</v>
      </c>
    </row>
    <row r="2496" spans="1:19" x14ac:dyDescent="0.25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>VLOOKUP(F2496,'Customer Info'!$A:$B,2,0)</f>
        <v>Brad</v>
      </c>
      <c r="H2496" s="6" t="str">
        <f>VLOOKUP(F2496,'Customer Info'!$A$1:$C$501,3,0)</f>
        <v>Thomas</v>
      </c>
      <c r="I2496" s="6" t="str">
        <f>VLOOKUP(F2496,Customer,5,0)</f>
        <v>Udaipur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2798</v>
      </c>
      <c r="O2496" s="2">
        <v>35</v>
      </c>
      <c r="P2496" s="8">
        <f t="shared" si="192"/>
        <v>2833</v>
      </c>
      <c r="Q2496" s="8">
        <f t="shared" si="193"/>
        <v>182</v>
      </c>
      <c r="R2496" s="2" t="s">
        <v>28</v>
      </c>
      <c r="S2496" s="24">
        <f t="shared" si="194"/>
        <v>0.02</v>
      </c>
    </row>
    <row r="2497" spans="1:19" x14ac:dyDescent="0.25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>VLOOKUP(F2497,'Customer Info'!$A:$B,2,0)</f>
        <v>Evan</v>
      </c>
      <c r="H2497" s="6" t="str">
        <f>VLOOKUP(F2497,'Customer Info'!$A$1:$C$501,3,0)</f>
        <v>Henry</v>
      </c>
      <c r="I2497" s="6" t="str">
        <f>VLOOKUP(F2497,Customer,5,0)</f>
        <v>Zhoukou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5008</v>
      </c>
      <c r="O2497" s="2">
        <v>90</v>
      </c>
      <c r="P2497" s="8">
        <f t="shared" si="192"/>
        <v>5098</v>
      </c>
      <c r="Q2497" s="8">
        <f t="shared" si="193"/>
        <v>536</v>
      </c>
      <c r="R2497" s="2" t="s">
        <v>28</v>
      </c>
      <c r="S2497" s="24">
        <f t="shared" si="194"/>
        <v>0.05</v>
      </c>
    </row>
    <row r="2498" spans="1:19" x14ac:dyDescent="0.25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>VLOOKUP(F2498,'Customer Info'!$A:$B,2,0)</f>
        <v>Heather</v>
      </c>
      <c r="H2498" s="6" t="str">
        <f>VLOOKUP(F2498,'Customer Info'!$A$1:$C$501,3,0)</f>
        <v>Kirkland</v>
      </c>
      <c r="I2498" s="6" t="str">
        <f>VLOOKUP(F2498,Customer,5,0)</f>
        <v>Luoyang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6216</v>
      </c>
      <c r="O2498" s="2">
        <v>28</v>
      </c>
      <c r="P2498" s="8">
        <f t="shared" si="192"/>
        <v>6244</v>
      </c>
      <c r="Q2498" s="8">
        <f t="shared" si="193"/>
        <v>452</v>
      </c>
      <c r="R2498" s="2" t="s">
        <v>28</v>
      </c>
      <c r="S2498" s="24">
        <f t="shared" si="194"/>
        <v>0.05</v>
      </c>
    </row>
    <row r="2499" spans="1:19" x14ac:dyDescent="0.25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>VLOOKUP(F2499,'Customer Info'!$A:$B,2,0)</f>
        <v>Justin</v>
      </c>
      <c r="H2499" s="6" t="str">
        <f>VLOOKUP(F2499,'Customer Info'!$A$1:$C$501,3,0)</f>
        <v>Hirsh</v>
      </c>
      <c r="I2499" s="6" t="str">
        <f>VLOOKUP(F2499,Customer,5,0)</f>
        <v>Shangzhi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8860</v>
      </c>
      <c r="O2499" s="2">
        <v>20</v>
      </c>
      <c r="P2499" s="8">
        <f t="shared" si="192"/>
        <v>8880</v>
      </c>
      <c r="Q2499" s="8">
        <f t="shared" si="193"/>
        <v>580</v>
      </c>
      <c r="R2499" s="2" t="s">
        <v>28</v>
      </c>
      <c r="S2499" s="24">
        <f t="shared" si="194"/>
        <v>0.05</v>
      </c>
    </row>
    <row r="2500" spans="1:19" x14ac:dyDescent="0.25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>VLOOKUP(F2500,'Customer Info'!$A:$B,2,0)</f>
        <v>Deirdre</v>
      </c>
      <c r="H2500" s="6" t="str">
        <f>VLOOKUP(F2500,'Customer Info'!$A$1:$C$501,3,0)</f>
        <v>Greer</v>
      </c>
      <c r="I2500" s="6" t="str">
        <f>VLOOKUP(F2500,Customer,5,0)</f>
        <v>Bandung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3184</v>
      </c>
      <c r="O2500" s="2">
        <v>90</v>
      </c>
      <c r="P2500" s="8">
        <f t="shared" si="192"/>
        <v>3274</v>
      </c>
      <c r="Q2500" s="8">
        <f t="shared" si="193"/>
        <v>237</v>
      </c>
      <c r="R2500" s="2" t="s">
        <v>50</v>
      </c>
      <c r="S2500" s="24">
        <f t="shared" si="194"/>
        <v>0.02</v>
      </c>
    </row>
    <row r="2501" spans="1:19" x14ac:dyDescent="0.25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>VLOOKUP(F2501,'Customer Info'!$A:$B,2,0)</f>
        <v>Victoria</v>
      </c>
      <c r="H2501" s="6" t="str">
        <f>VLOOKUP(F2501,'Customer Info'!$A$1:$C$501,3,0)</f>
        <v>Pisteka</v>
      </c>
      <c r="I2501" s="6" t="str">
        <f>VLOOKUP(F2501,Customer,5,0)</f>
        <v>Bokaro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2168</v>
      </c>
      <c r="O2501" s="2">
        <v>72</v>
      </c>
      <c r="P2501" s="8">
        <f t="shared" si="192"/>
        <v>2240</v>
      </c>
      <c r="Q2501" s="8">
        <f t="shared" si="193"/>
        <v>200</v>
      </c>
      <c r="R2501" s="2" t="s">
        <v>50</v>
      </c>
      <c r="S2501" s="24">
        <f t="shared" si="194"/>
        <v>0.02</v>
      </c>
    </row>
    <row r="2502" spans="1:19" x14ac:dyDescent="0.25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>VLOOKUP(F2502,'Customer Info'!$A:$B,2,0)</f>
        <v>Neil</v>
      </c>
      <c r="H2502" s="6" t="str">
        <f>VLOOKUP(F2502,'Customer Info'!$A$1:$C$501,3,0)</f>
        <v>Franzšsisch</v>
      </c>
      <c r="I2502" s="6" t="str">
        <f>VLOOKUP(F2502,Customer,5,0)</f>
        <v>Mount Isa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1637</v>
      </c>
      <c r="O2502" s="2">
        <v>99</v>
      </c>
      <c r="P2502" s="8">
        <f t="shared" si="192"/>
        <v>1736</v>
      </c>
      <c r="Q2502" s="8">
        <f t="shared" si="193"/>
        <v>46</v>
      </c>
      <c r="R2502" s="2" t="s">
        <v>50</v>
      </c>
      <c r="S2502" s="24">
        <f t="shared" si="194"/>
        <v>0.02</v>
      </c>
    </row>
    <row r="2503" spans="1:19" x14ac:dyDescent="0.25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>VLOOKUP(F2503,'Customer Info'!$A:$B,2,0)</f>
        <v>Adam</v>
      </c>
      <c r="H2503" s="6" t="str">
        <f>VLOOKUP(F2503,'Customer Info'!$A$1:$C$501,3,0)</f>
        <v>Bellavance</v>
      </c>
      <c r="I2503" s="6" t="str">
        <f>VLOOKUP(F2503,Customer,5,0)</f>
        <v>Kaiyuan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332</v>
      </c>
      <c r="O2503" s="2">
        <v>30</v>
      </c>
      <c r="P2503" s="8">
        <f t="shared" si="192"/>
        <v>362</v>
      </c>
      <c r="Q2503" s="8">
        <f t="shared" si="193"/>
        <v>18</v>
      </c>
      <c r="R2503" s="2" t="s">
        <v>28</v>
      </c>
      <c r="S2503" s="24">
        <f t="shared" si="194"/>
        <v>0.02</v>
      </c>
    </row>
    <row r="2504" spans="1:19" x14ac:dyDescent="0.25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>VLOOKUP(F2504,'Customer Info'!$A:$B,2,0)</f>
        <v>Bart</v>
      </c>
      <c r="H2504" s="6" t="str">
        <f>VLOOKUP(F2504,'Customer Info'!$A$1:$C$501,3,0)</f>
        <v>Folk</v>
      </c>
      <c r="I2504" s="6" t="str">
        <f>VLOOKUP(F2504,Customer,5,0)</f>
        <v>Melbourne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4444</v>
      </c>
      <c r="O2504" s="2">
        <v>75</v>
      </c>
      <c r="P2504" s="8">
        <f t="shared" si="192"/>
        <v>4519</v>
      </c>
      <c r="Q2504" s="8">
        <f t="shared" si="193"/>
        <v>282</v>
      </c>
      <c r="R2504" s="2" t="s">
        <v>50</v>
      </c>
      <c r="S2504" s="24">
        <f t="shared" si="194"/>
        <v>0.02</v>
      </c>
    </row>
    <row r="2505" spans="1:19" x14ac:dyDescent="0.25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>VLOOKUP(F2505,'Customer Info'!$A:$B,2,0)</f>
        <v>Valerie</v>
      </c>
      <c r="H2505" s="6" t="str">
        <f>VLOOKUP(F2505,'Customer Info'!$A$1:$C$501,3,0)</f>
        <v>Takahito</v>
      </c>
      <c r="I2505" s="6" t="str">
        <f>VLOOKUP(F2505,Customer,5,0)</f>
        <v>Surat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14130</v>
      </c>
      <c r="O2505" s="2">
        <v>37</v>
      </c>
      <c r="P2505" s="8">
        <f t="shared" si="192"/>
        <v>14167</v>
      </c>
      <c r="Q2505" s="8">
        <f t="shared" si="193"/>
        <v>1040</v>
      </c>
      <c r="R2505" s="2" t="s">
        <v>28</v>
      </c>
      <c r="S2505" s="24">
        <f t="shared" si="194"/>
        <v>0.05</v>
      </c>
    </row>
    <row r="2506" spans="1:19" x14ac:dyDescent="0.25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>VLOOKUP(F2506,'Customer Info'!$A:$B,2,0)</f>
        <v>Adam</v>
      </c>
      <c r="H2506" s="6" t="str">
        <f>VLOOKUP(F2506,'Customer Info'!$A$1:$C$501,3,0)</f>
        <v>Bellavance</v>
      </c>
      <c r="I2506" s="6" t="str">
        <f>VLOOKUP(F2506,Customer,5,0)</f>
        <v>Medan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1911</v>
      </c>
      <c r="O2506" s="2">
        <v>97</v>
      </c>
      <c r="P2506" s="8">
        <f t="shared" si="192"/>
        <v>2008</v>
      </c>
      <c r="Q2506" s="8">
        <f t="shared" si="193"/>
        <v>126</v>
      </c>
      <c r="R2506" s="2" t="s">
        <v>28</v>
      </c>
      <c r="S2506" s="24">
        <f t="shared" si="194"/>
        <v>0.02</v>
      </c>
    </row>
    <row r="2507" spans="1:19" x14ac:dyDescent="0.25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>VLOOKUP(F2507,'Customer Info'!$A:$B,2,0)</f>
        <v>Peter</v>
      </c>
      <c r="H2507" s="6" t="str">
        <f>VLOOKUP(F2507,'Customer Info'!$A$1:$C$501,3,0)</f>
        <v>BŸhler</v>
      </c>
      <c r="I2507" s="6" t="str">
        <f>VLOOKUP(F2507,Customer,5,0)</f>
        <v>Dresden</v>
      </c>
      <c r="J2507" s="2">
        <v>1512</v>
      </c>
      <c r="K2507" s="2">
        <v>1497</v>
      </c>
      <c r="L2507" s="2">
        <v>3</v>
      </c>
      <c r="M2507" s="7">
        <f t="shared" ref="M2507:M2570" si="195">K2507*L2507</f>
        <v>4491</v>
      </c>
      <c r="N2507" s="7">
        <f t="shared" ref="N2507:N2570" si="196">J2507*L2507</f>
        <v>4536</v>
      </c>
      <c r="O2507" s="2">
        <v>82</v>
      </c>
      <c r="P2507" s="8">
        <f t="shared" ref="P2507:P2570" si="197">N2507+O2507</f>
        <v>4618</v>
      </c>
      <c r="Q2507" s="8">
        <f t="shared" ref="Q2507:Q2570" si="198">N2507-M2507</f>
        <v>45</v>
      </c>
      <c r="R2507" s="2" t="s">
        <v>28</v>
      </c>
      <c r="S2507" s="24">
        <f t="shared" ref="S2507:S2570" si="199">VLOOKUP(N2507,$T$1:$U$7,2,TRUE)</f>
        <v>0.02</v>
      </c>
    </row>
    <row r="2508" spans="1:19" x14ac:dyDescent="0.25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>VLOOKUP(F2508,'Customer Info'!$A:$B,2,0)</f>
        <v>Christy</v>
      </c>
      <c r="H2508" s="6" t="str">
        <f>VLOOKUP(F2508,'Customer Info'!$A$1:$C$501,3,0)</f>
        <v>Brittain</v>
      </c>
      <c r="I2508" s="6" t="str">
        <f>VLOOKUP(F2508,Customer,5,0)</f>
        <v>Ajmer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8">
        <f t="shared" si="197"/>
        <v>37630</v>
      </c>
      <c r="Q2508" s="8">
        <f t="shared" si="198"/>
        <v>2760</v>
      </c>
      <c r="R2508" s="2" t="s">
        <v>28</v>
      </c>
      <c r="S2508" s="24">
        <f t="shared" si="199"/>
        <v>7.0000000000000007E-2</v>
      </c>
    </row>
    <row r="2509" spans="1:19" x14ac:dyDescent="0.25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>VLOOKUP(F2509,'Customer Info'!$A:$B,2,0)</f>
        <v>Jack</v>
      </c>
      <c r="H2509" s="6" t="str">
        <f>VLOOKUP(F2509,'Customer Info'!$A$1:$C$501,3,0)</f>
        <v>Garza</v>
      </c>
      <c r="I2509" s="6" t="str">
        <f>VLOOKUP(F2509,Customer,5,0)</f>
        <v>Oldenburg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8">
        <f t="shared" si="197"/>
        <v>15115</v>
      </c>
      <c r="Q2509" s="8">
        <f t="shared" si="198"/>
        <v>856</v>
      </c>
      <c r="R2509" s="2" t="s">
        <v>28</v>
      </c>
      <c r="S2509" s="24">
        <f t="shared" si="199"/>
        <v>0.05</v>
      </c>
    </row>
    <row r="2510" spans="1:19" x14ac:dyDescent="0.25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>VLOOKUP(F2510,'Customer Info'!$A:$B,2,0)</f>
        <v>Justin</v>
      </c>
      <c r="H2510" s="6" t="str">
        <f>VLOOKUP(F2510,'Customer Info'!$A$1:$C$501,3,0)</f>
        <v>Hirsh</v>
      </c>
      <c r="I2510" s="6" t="str">
        <f>VLOOKUP(F2510,Customer,5,0)</f>
        <v>Shangzhi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8">
        <f t="shared" si="197"/>
        <v>6743</v>
      </c>
      <c r="Q2510" s="8">
        <f t="shared" si="198"/>
        <v>378</v>
      </c>
      <c r="R2510" s="2" t="s">
        <v>26</v>
      </c>
      <c r="S2510" s="24">
        <f t="shared" si="199"/>
        <v>0.05</v>
      </c>
    </row>
    <row r="2511" spans="1:19" x14ac:dyDescent="0.25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>VLOOKUP(F2511,'Customer Info'!$A:$B,2,0)</f>
        <v>Rob</v>
      </c>
      <c r="H2511" s="6" t="str">
        <f>VLOOKUP(F2511,'Customer Info'!$A$1:$C$501,3,0)</f>
        <v>Haberlin</v>
      </c>
      <c r="I2511" s="6" t="str">
        <f>VLOOKUP(F2511,Customer,5,0)</f>
        <v>Harbin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8">
        <f t="shared" si="197"/>
        <v>2629</v>
      </c>
      <c r="Q2511" s="8">
        <f t="shared" si="198"/>
        <v>192</v>
      </c>
      <c r="R2511" s="2" t="s">
        <v>50</v>
      </c>
      <c r="S2511" s="24">
        <f t="shared" si="199"/>
        <v>0.02</v>
      </c>
    </row>
    <row r="2512" spans="1:19" x14ac:dyDescent="0.25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>VLOOKUP(F2512,'Customer Info'!$A:$B,2,0)</f>
        <v>Steven</v>
      </c>
      <c r="H2512" s="6" t="str">
        <f>VLOOKUP(F2512,'Customer Info'!$A$1:$C$501,3,0)</f>
        <v>Cartwright</v>
      </c>
      <c r="I2512" s="6" t="str">
        <f>VLOOKUP(F2512,Customer,5,0)</f>
        <v>Newcastle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18428</v>
      </c>
      <c r="O2512" s="2">
        <v>57</v>
      </c>
      <c r="P2512" s="8">
        <f t="shared" si="197"/>
        <v>18485</v>
      </c>
      <c r="Q2512" s="8">
        <f t="shared" si="198"/>
        <v>1838</v>
      </c>
      <c r="R2512" s="2" t="s">
        <v>28</v>
      </c>
      <c r="S2512" s="24">
        <f t="shared" si="199"/>
        <v>0.05</v>
      </c>
    </row>
    <row r="2513" spans="1:19" x14ac:dyDescent="0.25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>VLOOKUP(F2513,'Customer Info'!$A:$B,2,0)</f>
        <v>Bruce</v>
      </c>
      <c r="H2513" s="6" t="str">
        <f>VLOOKUP(F2513,'Customer Info'!$A$1:$C$501,3,0)</f>
        <v>Geld</v>
      </c>
      <c r="I2513" s="6" t="str">
        <f>VLOOKUP(F2513,Customer,5,0)</f>
        <v>Wollongong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2319</v>
      </c>
      <c r="O2513" s="2">
        <v>57</v>
      </c>
      <c r="P2513" s="8">
        <f t="shared" si="197"/>
        <v>2376</v>
      </c>
      <c r="Q2513" s="8">
        <f t="shared" si="198"/>
        <v>195</v>
      </c>
      <c r="R2513" s="2" t="s">
        <v>28</v>
      </c>
      <c r="S2513" s="24">
        <f t="shared" si="199"/>
        <v>0.02</v>
      </c>
    </row>
    <row r="2514" spans="1:19" x14ac:dyDescent="0.25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>VLOOKUP(F2514,'Customer Info'!$A:$B,2,0)</f>
        <v>Charles</v>
      </c>
      <c r="H2514" s="6" t="str">
        <f>VLOOKUP(F2514,'Customer Info'!$A$1:$C$501,3,0)</f>
        <v>Sheldon</v>
      </c>
      <c r="I2514" s="6" t="str">
        <f>VLOOKUP(F2514,Customer,5,0)</f>
        <v>Jakarta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6524</v>
      </c>
      <c r="O2514" s="2">
        <v>94</v>
      </c>
      <c r="P2514" s="8">
        <f t="shared" si="197"/>
        <v>6618</v>
      </c>
      <c r="Q2514" s="8">
        <f t="shared" si="198"/>
        <v>658</v>
      </c>
      <c r="R2514" s="2" t="s">
        <v>28</v>
      </c>
      <c r="S2514" s="24">
        <f t="shared" si="199"/>
        <v>0.05</v>
      </c>
    </row>
    <row r="2515" spans="1:19" x14ac:dyDescent="0.25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>VLOOKUP(F2515,'Customer Info'!$A:$B,2,0)</f>
        <v>Peter</v>
      </c>
      <c r="H2515" s="6" t="str">
        <f>VLOOKUP(F2515,'Customer Info'!$A$1:$C$501,3,0)</f>
        <v>BŸhler</v>
      </c>
      <c r="I2515" s="6" t="str">
        <f>VLOOKUP(F2515,Customer,5,0)</f>
        <v>Wolfsburg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30135</v>
      </c>
      <c r="O2515" s="2">
        <v>36</v>
      </c>
      <c r="P2515" s="8">
        <f t="shared" si="197"/>
        <v>30171</v>
      </c>
      <c r="Q2515" s="8">
        <f t="shared" si="198"/>
        <v>1665</v>
      </c>
      <c r="R2515" s="2" t="s">
        <v>28</v>
      </c>
      <c r="S2515" s="24">
        <f t="shared" si="199"/>
        <v>7.0000000000000007E-2</v>
      </c>
    </row>
    <row r="2516" spans="1:19" x14ac:dyDescent="0.25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>VLOOKUP(F2516,'Customer Info'!$A:$B,2,0)</f>
        <v>Troy</v>
      </c>
      <c r="H2516" s="6" t="str">
        <f>VLOOKUP(F2516,'Customer Info'!$A$1:$C$501,3,0)</f>
        <v>Staebel</v>
      </c>
      <c r="I2516" s="6" t="str">
        <f>VLOOKUP(F2516,Customer,5,0)</f>
        <v>Canberra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5845</v>
      </c>
      <c r="O2516" s="2">
        <v>25</v>
      </c>
      <c r="P2516" s="8">
        <f t="shared" si="197"/>
        <v>5870</v>
      </c>
      <c r="Q2516" s="8">
        <f t="shared" si="198"/>
        <v>330</v>
      </c>
      <c r="R2516" s="2" t="s">
        <v>50</v>
      </c>
      <c r="S2516" s="24">
        <f t="shared" si="199"/>
        <v>0.05</v>
      </c>
    </row>
    <row r="2517" spans="1:19" x14ac:dyDescent="0.25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>VLOOKUP(F2517,'Customer Info'!$A:$B,2,0)</f>
        <v>Meg</v>
      </c>
      <c r="H2517" s="6" t="str">
        <f>VLOOKUP(F2517,'Customer Info'!$A$1:$C$501,3,0)</f>
        <v>Tillman</v>
      </c>
      <c r="I2517" s="6" t="str">
        <f>VLOOKUP(F2517,Customer,5,0)</f>
        <v>Bangalore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3024</v>
      </c>
      <c r="O2517" s="2">
        <v>88</v>
      </c>
      <c r="P2517" s="8">
        <f t="shared" si="197"/>
        <v>3112</v>
      </c>
      <c r="Q2517" s="8">
        <f t="shared" si="198"/>
        <v>30</v>
      </c>
      <c r="R2517" s="2" t="s">
        <v>28</v>
      </c>
      <c r="S2517" s="24">
        <f t="shared" si="199"/>
        <v>0.02</v>
      </c>
    </row>
    <row r="2518" spans="1:19" x14ac:dyDescent="0.25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>VLOOKUP(F2518,'Customer Info'!$A:$B,2,0)</f>
        <v>Jack</v>
      </c>
      <c r="H2518" s="6" t="str">
        <f>VLOOKUP(F2518,'Customer Info'!$A$1:$C$501,3,0)</f>
        <v>Lebron</v>
      </c>
      <c r="I2518" s="6" t="str">
        <f>VLOOKUP(F2518,Customer,5,0)</f>
        <v>Erftstadt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173</v>
      </c>
      <c r="O2518" s="2">
        <v>30</v>
      </c>
      <c r="P2518" s="8">
        <f t="shared" si="197"/>
        <v>203</v>
      </c>
      <c r="Q2518" s="8">
        <f t="shared" si="198"/>
        <v>18</v>
      </c>
      <c r="R2518" s="2" t="s">
        <v>28</v>
      </c>
      <c r="S2518" s="24">
        <f t="shared" si="199"/>
        <v>0.02</v>
      </c>
    </row>
    <row r="2519" spans="1:19" x14ac:dyDescent="0.25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>VLOOKUP(F2519,'Customer Info'!$A:$B,2,0)</f>
        <v>Sarah</v>
      </c>
      <c r="H2519" s="6" t="str">
        <f>VLOOKUP(F2519,'Customer Info'!$A$1:$C$501,3,0)</f>
        <v>Foster</v>
      </c>
      <c r="I2519" s="6" t="str">
        <f>VLOOKUP(F2519,Customer,5,0)</f>
        <v>Harbin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912</v>
      </c>
      <c r="O2519" s="2">
        <v>55</v>
      </c>
      <c r="P2519" s="8">
        <f t="shared" si="197"/>
        <v>967</v>
      </c>
      <c r="Q2519" s="8">
        <f t="shared" si="198"/>
        <v>52</v>
      </c>
      <c r="R2519" s="2" t="s">
        <v>26</v>
      </c>
      <c r="S2519" s="24">
        <f t="shared" si="199"/>
        <v>0.02</v>
      </c>
    </row>
    <row r="2520" spans="1:19" x14ac:dyDescent="0.25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>VLOOKUP(F2520,'Customer Info'!$A:$B,2,0)</f>
        <v>Alex</v>
      </c>
      <c r="H2520" s="6" t="str">
        <f>VLOOKUP(F2520,'Customer Info'!$A$1:$C$501,3,0)</f>
        <v>Avila</v>
      </c>
      <c r="I2520" s="6" t="str">
        <f>VLOOKUP(F2520,Customer,5,0)</f>
        <v>Berlin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4239</v>
      </c>
      <c r="O2520" s="2">
        <v>57</v>
      </c>
      <c r="P2520" s="8">
        <f t="shared" si="197"/>
        <v>4296</v>
      </c>
      <c r="Q2520" s="8">
        <f t="shared" si="198"/>
        <v>237</v>
      </c>
      <c r="R2520" s="2" t="s">
        <v>28</v>
      </c>
      <c r="S2520" s="24">
        <f t="shared" si="199"/>
        <v>0.02</v>
      </c>
    </row>
    <row r="2521" spans="1:19" x14ac:dyDescent="0.25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>VLOOKUP(F2521,'Customer Info'!$A:$B,2,0)</f>
        <v>Brendan</v>
      </c>
      <c r="H2521" s="6" t="str">
        <f>VLOOKUP(F2521,'Customer Info'!$A$1:$C$501,3,0)</f>
        <v>Dodson</v>
      </c>
      <c r="I2521" s="6" t="str">
        <f>VLOOKUP(F2521,Customer,5,0)</f>
        <v>Adelaide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370</v>
      </c>
      <c r="O2521" s="2">
        <v>30</v>
      </c>
      <c r="P2521" s="8">
        <f t="shared" si="197"/>
        <v>400</v>
      </c>
      <c r="Q2521" s="8">
        <f t="shared" si="198"/>
        <v>22</v>
      </c>
      <c r="R2521" s="2" t="s">
        <v>28</v>
      </c>
      <c r="S2521" s="24">
        <f t="shared" si="199"/>
        <v>0.02</v>
      </c>
    </row>
    <row r="2522" spans="1:19" x14ac:dyDescent="0.25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>VLOOKUP(F2522,'Customer Info'!$A:$B,2,0)</f>
        <v>Jennifer</v>
      </c>
      <c r="H2522" s="6" t="str">
        <f>VLOOKUP(F2522,'Customer Info'!$A$1:$C$501,3,0)</f>
        <v>Halladay</v>
      </c>
      <c r="I2522" s="6" t="str">
        <f>VLOOKUP(F2522,Customer,5,0)</f>
        <v>Krefeld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1816</v>
      </c>
      <c r="O2522" s="2">
        <v>28</v>
      </c>
      <c r="P2522" s="8">
        <f t="shared" si="197"/>
        <v>1844</v>
      </c>
      <c r="Q2522" s="8">
        <f t="shared" si="198"/>
        <v>116</v>
      </c>
      <c r="R2522" s="2" t="s">
        <v>28</v>
      </c>
      <c r="S2522" s="24">
        <f t="shared" si="199"/>
        <v>0.02</v>
      </c>
    </row>
    <row r="2523" spans="1:19" x14ac:dyDescent="0.25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>VLOOKUP(F2523,'Customer Info'!$A:$B,2,0)</f>
        <v>Jenna</v>
      </c>
      <c r="H2523" s="6" t="str">
        <f>VLOOKUP(F2523,'Customer Info'!$A$1:$C$501,3,0)</f>
        <v>Caffey</v>
      </c>
      <c r="I2523" s="6" t="str">
        <f>VLOOKUP(F2523,Customer,5,0)</f>
        <v>Kanpur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1637</v>
      </c>
      <c r="O2523" s="2">
        <v>34</v>
      </c>
      <c r="P2523" s="8">
        <f t="shared" si="197"/>
        <v>1671</v>
      </c>
      <c r="Q2523" s="8">
        <f t="shared" si="198"/>
        <v>105</v>
      </c>
      <c r="R2523" s="2" t="s">
        <v>28</v>
      </c>
      <c r="S2523" s="24">
        <f t="shared" si="199"/>
        <v>0.02</v>
      </c>
    </row>
    <row r="2524" spans="1:19" x14ac:dyDescent="0.25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>VLOOKUP(F2524,'Customer Info'!$A:$B,2,0)</f>
        <v>Max</v>
      </c>
      <c r="H2524" s="6" t="str">
        <f>VLOOKUP(F2524,'Customer Info'!$A$1:$C$501,3,0)</f>
        <v>Ludwig</v>
      </c>
      <c r="I2524" s="6" t="str">
        <f>VLOOKUP(F2524,Customer,5,0)</f>
        <v>Newcastle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167</v>
      </c>
      <c r="O2524" s="2">
        <v>30</v>
      </c>
      <c r="P2524" s="8">
        <f t="shared" si="197"/>
        <v>197</v>
      </c>
      <c r="Q2524" s="8">
        <f t="shared" si="198"/>
        <v>12</v>
      </c>
      <c r="R2524" s="2" t="s">
        <v>28</v>
      </c>
      <c r="S2524" s="24">
        <f t="shared" si="199"/>
        <v>0.02</v>
      </c>
    </row>
    <row r="2525" spans="1:19" x14ac:dyDescent="0.25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>VLOOKUP(F2525,'Customer Info'!$A:$B,2,0)</f>
        <v>Mark</v>
      </c>
      <c r="H2525" s="6" t="str">
        <f>VLOOKUP(F2525,'Customer Info'!$A$1:$C$501,3,0)</f>
        <v>Packer</v>
      </c>
      <c r="I2525" s="6" t="str">
        <f>VLOOKUP(F2525,Customer,5,0)</f>
        <v>Perth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8943</v>
      </c>
      <c r="O2525" s="2">
        <v>45</v>
      </c>
      <c r="P2525" s="8">
        <f t="shared" si="197"/>
        <v>8988</v>
      </c>
      <c r="Q2525" s="8">
        <f t="shared" si="198"/>
        <v>333</v>
      </c>
      <c r="R2525" s="2" t="s">
        <v>28</v>
      </c>
      <c r="S2525" s="24">
        <f t="shared" si="199"/>
        <v>0.05</v>
      </c>
    </row>
    <row r="2526" spans="1:19" x14ac:dyDescent="0.25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>VLOOKUP(F2526,'Customer Info'!$A:$B,2,0)</f>
        <v>Darrin</v>
      </c>
      <c r="H2526" s="6" t="str">
        <f>VLOOKUP(F2526,'Customer Info'!$A$1:$C$501,3,0)</f>
        <v>Martin</v>
      </c>
      <c r="I2526" s="6" t="str">
        <f>VLOOKUP(F2526,Customer,5,0)</f>
        <v>Berlin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600</v>
      </c>
      <c r="O2526" s="2">
        <v>10</v>
      </c>
      <c r="P2526" s="8">
        <f t="shared" si="197"/>
        <v>610</v>
      </c>
      <c r="Q2526" s="8">
        <f t="shared" si="198"/>
        <v>30</v>
      </c>
      <c r="R2526" s="2" t="s">
        <v>28</v>
      </c>
      <c r="S2526" s="24">
        <f t="shared" si="199"/>
        <v>0.02</v>
      </c>
    </row>
    <row r="2527" spans="1:19" x14ac:dyDescent="0.25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>VLOOKUP(F2527,'Customer Info'!$A:$B,2,0)</f>
        <v>Liz</v>
      </c>
      <c r="H2527" s="6" t="str">
        <f>VLOOKUP(F2527,'Customer Info'!$A$1:$C$501,3,0)</f>
        <v>Pelletier</v>
      </c>
      <c r="I2527" s="6" t="str">
        <f>VLOOKUP(F2527,Customer,5,0)</f>
        <v>Zigong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44100</v>
      </c>
      <c r="O2527" s="2">
        <v>23</v>
      </c>
      <c r="P2527" s="8">
        <f t="shared" si="197"/>
        <v>44123</v>
      </c>
      <c r="Q2527" s="8">
        <f t="shared" si="198"/>
        <v>3642</v>
      </c>
      <c r="R2527" s="2" t="s">
        <v>28</v>
      </c>
      <c r="S2527" s="24">
        <f t="shared" si="199"/>
        <v>7.0000000000000007E-2</v>
      </c>
    </row>
    <row r="2528" spans="1:19" x14ac:dyDescent="0.25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>VLOOKUP(F2528,'Customer Info'!$A:$B,2,0)</f>
        <v>Beth</v>
      </c>
      <c r="H2528" s="6" t="str">
        <f>VLOOKUP(F2528,'Customer Info'!$A$1:$C$501,3,0)</f>
        <v>Thompson</v>
      </c>
      <c r="I2528" s="6" t="str">
        <f>VLOOKUP(F2528,Customer,5,0)</f>
        <v>Lohne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28260</v>
      </c>
      <c r="O2528" s="2">
        <v>39</v>
      </c>
      <c r="P2528" s="8">
        <f t="shared" si="197"/>
        <v>28299</v>
      </c>
      <c r="Q2528" s="8">
        <f t="shared" si="198"/>
        <v>2080</v>
      </c>
      <c r="R2528" s="2" t="s">
        <v>28</v>
      </c>
      <c r="S2528" s="24">
        <f t="shared" si="199"/>
        <v>7.0000000000000007E-2</v>
      </c>
    </row>
    <row r="2529" spans="1:19" x14ac:dyDescent="0.25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>VLOOKUP(F2529,'Customer Info'!$A:$B,2,0)</f>
        <v>Nat</v>
      </c>
      <c r="H2529" s="6" t="str">
        <f>VLOOKUP(F2529,'Customer Info'!$A$1:$C$501,3,0)</f>
        <v>Carroll</v>
      </c>
      <c r="I2529" s="6" t="str">
        <f>VLOOKUP(F2529,Customer,5,0)</f>
        <v>Shanghai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26634</v>
      </c>
      <c r="O2529" s="2">
        <v>75</v>
      </c>
      <c r="P2529" s="8">
        <f t="shared" si="197"/>
        <v>26709</v>
      </c>
      <c r="Q2529" s="8">
        <f t="shared" si="198"/>
        <v>2892</v>
      </c>
      <c r="R2529" s="2" t="s">
        <v>50</v>
      </c>
      <c r="S2529" s="24">
        <f t="shared" si="199"/>
        <v>7.0000000000000007E-2</v>
      </c>
    </row>
    <row r="2530" spans="1:19" x14ac:dyDescent="0.25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>VLOOKUP(F2530,'Customer Info'!$A:$B,2,0)</f>
        <v>Jennifer</v>
      </c>
      <c r="H2530" s="6" t="str">
        <f>VLOOKUP(F2530,'Customer Info'!$A$1:$C$501,3,0)</f>
        <v>Halladay</v>
      </c>
      <c r="I2530" s="6" t="str">
        <f>VLOOKUP(F2530,Customer,5,0)</f>
        <v>Krefeld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201</v>
      </c>
      <c r="O2530" s="2">
        <v>10</v>
      </c>
      <c r="P2530" s="8">
        <f t="shared" si="197"/>
        <v>211</v>
      </c>
      <c r="Q2530" s="8">
        <f t="shared" si="198"/>
        <v>15</v>
      </c>
      <c r="R2530" s="2" t="s">
        <v>28</v>
      </c>
      <c r="S2530" s="24">
        <f t="shared" si="199"/>
        <v>0.02</v>
      </c>
    </row>
    <row r="2531" spans="1:19" x14ac:dyDescent="0.25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>VLOOKUP(F2531,'Customer Info'!$A:$B,2,0)</f>
        <v>Quincy</v>
      </c>
      <c r="H2531" s="6" t="str">
        <f>VLOOKUP(F2531,'Customer Info'!$A$1:$C$501,3,0)</f>
        <v>Jones</v>
      </c>
      <c r="I2531" s="6" t="str">
        <f>VLOOKUP(F2531,Customer,5,0)</f>
        <v>Gold Coast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3865</v>
      </c>
      <c r="O2531" s="2">
        <v>99</v>
      </c>
      <c r="P2531" s="8">
        <f t="shared" si="197"/>
        <v>3964</v>
      </c>
      <c r="Q2531" s="8">
        <f t="shared" si="198"/>
        <v>325</v>
      </c>
      <c r="R2531" s="2" t="s">
        <v>56</v>
      </c>
      <c r="S2531" s="24">
        <f t="shared" si="199"/>
        <v>0.02</v>
      </c>
    </row>
    <row r="2532" spans="1:19" x14ac:dyDescent="0.25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>VLOOKUP(F2532,'Customer Info'!$A:$B,2,0)</f>
        <v>Shirley</v>
      </c>
      <c r="H2532" s="6" t="str">
        <f>VLOOKUP(F2532,'Customer Info'!$A$1:$C$501,3,0)</f>
        <v>Jackson</v>
      </c>
      <c r="I2532" s="6" t="str">
        <f>VLOOKUP(F2532,Customer,5,0)</f>
        <v>Gold Coast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50598</v>
      </c>
      <c r="O2532" s="2">
        <v>42</v>
      </c>
      <c r="P2532" s="8">
        <f t="shared" si="197"/>
        <v>50640</v>
      </c>
      <c r="Q2532" s="8">
        <f t="shared" si="198"/>
        <v>3792</v>
      </c>
      <c r="R2532" s="2" t="s">
        <v>28</v>
      </c>
      <c r="S2532" s="24">
        <f t="shared" si="199"/>
        <v>0.09</v>
      </c>
    </row>
    <row r="2533" spans="1:19" x14ac:dyDescent="0.25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>VLOOKUP(F2533,'Customer Info'!$A:$B,2,0)</f>
        <v>Ralph</v>
      </c>
      <c r="H2533" s="6" t="str">
        <f>VLOOKUP(F2533,'Customer Info'!$A$1:$C$501,3,0)</f>
        <v>Kennedy</v>
      </c>
      <c r="I2533" s="6" t="str">
        <f>VLOOKUP(F2533,Customer,5,0)</f>
        <v>Perth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3668</v>
      </c>
      <c r="O2533" s="2">
        <v>63</v>
      </c>
      <c r="P2533" s="8">
        <f t="shared" si="197"/>
        <v>3731</v>
      </c>
      <c r="Q2533" s="8">
        <f t="shared" si="198"/>
        <v>236</v>
      </c>
      <c r="R2533" s="2" t="s">
        <v>28</v>
      </c>
      <c r="S2533" s="24">
        <f t="shared" si="199"/>
        <v>0.02</v>
      </c>
    </row>
    <row r="2534" spans="1:19" x14ac:dyDescent="0.25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>VLOOKUP(F2534,'Customer Info'!$A:$B,2,0)</f>
        <v>Quincy</v>
      </c>
      <c r="H2534" s="6" t="str">
        <f>VLOOKUP(F2534,'Customer Info'!$A$1:$C$501,3,0)</f>
        <v>Jones</v>
      </c>
      <c r="I2534" s="6" t="str">
        <f>VLOOKUP(F2534,Customer,5,0)</f>
        <v>Gold Coast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2772</v>
      </c>
      <c r="O2534" s="2">
        <v>64</v>
      </c>
      <c r="P2534" s="8">
        <f t="shared" si="197"/>
        <v>2836</v>
      </c>
      <c r="Q2534" s="8">
        <f t="shared" si="198"/>
        <v>104</v>
      </c>
      <c r="R2534" s="2" t="s">
        <v>50</v>
      </c>
      <c r="S2534" s="24">
        <f t="shared" si="199"/>
        <v>0.02</v>
      </c>
    </row>
    <row r="2535" spans="1:19" x14ac:dyDescent="0.25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>VLOOKUP(F2535,'Customer Info'!$A:$B,2,0)</f>
        <v>Rachel</v>
      </c>
      <c r="H2535" s="6" t="str">
        <f>VLOOKUP(F2535,'Customer Info'!$A$1:$C$501,3,0)</f>
        <v>Payne</v>
      </c>
      <c r="I2535" s="6" t="str">
        <f>VLOOKUP(F2535,Customer,5,0)</f>
        <v>Mianyang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2034</v>
      </c>
      <c r="O2535" s="2">
        <v>92</v>
      </c>
      <c r="P2535" s="8">
        <f t="shared" si="197"/>
        <v>2126</v>
      </c>
      <c r="Q2535" s="8">
        <f t="shared" si="198"/>
        <v>134</v>
      </c>
      <c r="R2535" s="2" t="s">
        <v>28</v>
      </c>
      <c r="S2535" s="24">
        <f t="shared" si="199"/>
        <v>0.02</v>
      </c>
    </row>
    <row r="2536" spans="1:19" x14ac:dyDescent="0.25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>VLOOKUP(F2536,'Customer Info'!$A:$B,2,0)</f>
        <v>Frank</v>
      </c>
      <c r="H2536" s="6" t="str">
        <f>VLOOKUP(F2536,'Customer Info'!$A$1:$C$501,3,0)</f>
        <v>Hawley</v>
      </c>
      <c r="I2536" s="6" t="str">
        <f>VLOOKUP(F2536,Customer,5,0)</f>
        <v>Gold Coast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564</v>
      </c>
      <c r="O2536" s="2">
        <v>30</v>
      </c>
      <c r="P2536" s="8">
        <f t="shared" si="197"/>
        <v>594</v>
      </c>
      <c r="Q2536" s="8">
        <f t="shared" si="198"/>
        <v>45</v>
      </c>
      <c r="R2536" s="2" t="s">
        <v>28</v>
      </c>
      <c r="S2536" s="24">
        <f t="shared" si="199"/>
        <v>0.02</v>
      </c>
    </row>
    <row r="2537" spans="1:19" x14ac:dyDescent="0.25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>VLOOKUP(F2537,'Customer Info'!$A:$B,2,0)</f>
        <v>Harry</v>
      </c>
      <c r="H2537" s="6" t="str">
        <f>VLOOKUP(F2537,'Customer Info'!$A$1:$C$501,3,0)</f>
        <v>Marie</v>
      </c>
      <c r="I2537" s="6" t="str">
        <f>VLOOKUP(F2537,Customer,5,0)</f>
        <v>Dortmund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448</v>
      </c>
      <c r="O2537" s="2">
        <v>80</v>
      </c>
      <c r="P2537" s="8">
        <f t="shared" si="197"/>
        <v>528</v>
      </c>
      <c r="Q2537" s="8">
        <f t="shared" si="198"/>
        <v>28</v>
      </c>
      <c r="R2537" s="2" t="s">
        <v>28</v>
      </c>
      <c r="S2537" s="24">
        <f t="shared" si="199"/>
        <v>0.02</v>
      </c>
    </row>
    <row r="2538" spans="1:19" x14ac:dyDescent="0.25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>VLOOKUP(F2538,'Customer Info'!$A:$B,2,0)</f>
        <v>Jeremy</v>
      </c>
      <c r="H2538" s="6" t="str">
        <f>VLOOKUP(F2538,'Customer Info'!$A$1:$C$501,3,0)</f>
        <v>Ellison</v>
      </c>
      <c r="I2538" s="6" t="str">
        <f>VLOOKUP(F2538,Customer,5,0)</f>
        <v>Jammu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2352</v>
      </c>
      <c r="O2538" s="2">
        <v>61</v>
      </c>
      <c r="P2538" s="8">
        <f t="shared" si="197"/>
        <v>2413</v>
      </c>
      <c r="Q2538" s="8">
        <f t="shared" si="198"/>
        <v>216</v>
      </c>
      <c r="R2538" s="2" t="s">
        <v>28</v>
      </c>
      <c r="S2538" s="24">
        <f t="shared" si="199"/>
        <v>0.02</v>
      </c>
    </row>
    <row r="2539" spans="1:19" x14ac:dyDescent="0.25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>VLOOKUP(F2539,'Customer Info'!$A:$B,2,0)</f>
        <v>Jack</v>
      </c>
      <c r="H2539" s="6" t="str">
        <f>VLOOKUP(F2539,'Customer Info'!$A$1:$C$501,3,0)</f>
        <v>O'Briant</v>
      </c>
      <c r="I2539" s="6" t="str">
        <f>VLOOKUP(F2539,Customer,5,0)</f>
        <v>Jammu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4341</v>
      </c>
      <c r="O2539" s="2">
        <v>76</v>
      </c>
      <c r="P2539" s="8">
        <f t="shared" si="197"/>
        <v>4417</v>
      </c>
      <c r="Q2539" s="8">
        <f t="shared" si="198"/>
        <v>363</v>
      </c>
      <c r="R2539" s="2" t="s">
        <v>50</v>
      </c>
      <c r="S2539" s="24">
        <f t="shared" si="199"/>
        <v>0.02</v>
      </c>
    </row>
    <row r="2540" spans="1:19" x14ac:dyDescent="0.25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>VLOOKUP(F2540,'Customer Info'!$A:$B,2,0)</f>
        <v>Barry</v>
      </c>
      <c r="H2540" s="6" t="str">
        <f>VLOOKUP(F2540,'Customer Info'!$A$1:$C$501,3,0)</f>
        <v>Franzšsisch</v>
      </c>
      <c r="I2540" s="6" t="str">
        <f>VLOOKUP(F2540,Customer,5,0)</f>
        <v>Bendigo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8604</v>
      </c>
      <c r="O2540" s="2">
        <v>56</v>
      </c>
      <c r="P2540" s="8">
        <f t="shared" si="197"/>
        <v>8660</v>
      </c>
      <c r="Q2540" s="8">
        <f t="shared" si="198"/>
        <v>568</v>
      </c>
      <c r="R2540" s="2" t="s">
        <v>28</v>
      </c>
      <c r="S2540" s="24">
        <f t="shared" si="199"/>
        <v>0.05</v>
      </c>
    </row>
    <row r="2541" spans="1:19" x14ac:dyDescent="0.25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>VLOOKUP(F2541,'Customer Info'!$A:$B,2,0)</f>
        <v>Randy</v>
      </c>
      <c r="H2541" s="6" t="str">
        <f>VLOOKUP(F2541,'Customer Info'!$A$1:$C$501,3,0)</f>
        <v>Bradley</v>
      </c>
      <c r="I2541" s="6" t="str">
        <f>VLOOKUP(F2541,Customer,5,0)</f>
        <v>Wollongong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10008</v>
      </c>
      <c r="O2541" s="2">
        <v>56</v>
      </c>
      <c r="P2541" s="8">
        <f t="shared" si="197"/>
        <v>10064</v>
      </c>
      <c r="Q2541" s="8">
        <f t="shared" si="198"/>
        <v>192</v>
      </c>
      <c r="R2541" s="2" t="s">
        <v>28</v>
      </c>
      <c r="S2541" s="24">
        <f t="shared" si="199"/>
        <v>0.05</v>
      </c>
    </row>
    <row r="2542" spans="1:19" x14ac:dyDescent="0.25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>VLOOKUP(F2542,'Customer Info'!$A:$B,2,0)</f>
        <v>Marina</v>
      </c>
      <c r="H2542" s="6" t="str">
        <f>VLOOKUP(F2542,'Customer Info'!$A$1:$C$501,3,0)</f>
        <v>Lichtenstein</v>
      </c>
      <c r="I2542" s="6" t="str">
        <f>VLOOKUP(F2542,Customer,5,0)</f>
        <v>Denpasar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370</v>
      </c>
      <c r="O2542" s="2">
        <v>30</v>
      </c>
      <c r="P2542" s="8">
        <f t="shared" si="197"/>
        <v>400</v>
      </c>
      <c r="Q2542" s="8">
        <f t="shared" si="198"/>
        <v>22</v>
      </c>
      <c r="R2542" s="2" t="s">
        <v>28</v>
      </c>
      <c r="S2542" s="24">
        <f t="shared" si="199"/>
        <v>0.02</v>
      </c>
    </row>
    <row r="2543" spans="1:19" x14ac:dyDescent="0.25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>VLOOKUP(F2543,'Customer Info'!$A:$B,2,0)</f>
        <v>Olvera</v>
      </c>
      <c r="H2543" s="6" t="str">
        <f>VLOOKUP(F2543,'Customer Info'!$A$1:$C$501,3,0)</f>
        <v>Toch</v>
      </c>
      <c r="I2543" s="6" t="str">
        <f>VLOOKUP(F2543,Customer,5,0)</f>
        <v>Neubrandenburg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15462</v>
      </c>
      <c r="O2543" s="2">
        <v>78</v>
      </c>
      <c r="P2543" s="8">
        <f t="shared" si="197"/>
        <v>15540</v>
      </c>
      <c r="Q2543" s="8">
        <f t="shared" si="198"/>
        <v>1557</v>
      </c>
      <c r="R2543" s="2" t="s">
        <v>28</v>
      </c>
      <c r="S2543" s="24">
        <f t="shared" si="199"/>
        <v>0.05</v>
      </c>
    </row>
    <row r="2544" spans="1:19" x14ac:dyDescent="0.25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>VLOOKUP(F2544,'Customer Info'!$A:$B,2,0)</f>
        <v>Carlos</v>
      </c>
      <c r="H2544" s="6" t="str">
        <f>VLOOKUP(F2544,'Customer Info'!$A$1:$C$501,3,0)</f>
        <v>Soltero</v>
      </c>
      <c r="I2544" s="6" t="str">
        <f>VLOOKUP(F2544,Customer,5,0)</f>
        <v>Wodonga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5991</v>
      </c>
      <c r="O2544" s="2">
        <v>50</v>
      </c>
      <c r="P2544" s="8">
        <f t="shared" si="197"/>
        <v>6041</v>
      </c>
      <c r="Q2544" s="8">
        <f t="shared" si="198"/>
        <v>543</v>
      </c>
      <c r="R2544" s="2" t="s">
        <v>28</v>
      </c>
      <c r="S2544" s="24">
        <f t="shared" si="199"/>
        <v>0.05</v>
      </c>
    </row>
    <row r="2545" spans="1:19" x14ac:dyDescent="0.25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>VLOOKUP(F2545,'Customer Info'!$A:$B,2,0)</f>
        <v>Ralph</v>
      </c>
      <c r="H2545" s="6" t="str">
        <f>VLOOKUP(F2545,'Customer Info'!$A$1:$C$501,3,0)</f>
        <v>Kennedy</v>
      </c>
      <c r="I2545" s="6" t="str">
        <f>VLOOKUP(F2545,Customer,5,0)</f>
        <v>Perth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30069</v>
      </c>
      <c r="O2545" s="2">
        <v>85</v>
      </c>
      <c r="P2545" s="8">
        <f t="shared" si="197"/>
        <v>30154</v>
      </c>
      <c r="Q2545" s="8">
        <f t="shared" si="198"/>
        <v>1701</v>
      </c>
      <c r="R2545" s="2" t="s">
        <v>28</v>
      </c>
      <c r="S2545" s="24">
        <f t="shared" si="199"/>
        <v>7.0000000000000007E-2</v>
      </c>
    </row>
    <row r="2546" spans="1:19" x14ac:dyDescent="0.25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>VLOOKUP(F2546,'Customer Info'!$A:$B,2,0)</f>
        <v>Barry</v>
      </c>
      <c r="H2546" s="6" t="str">
        <f>VLOOKUP(F2546,'Customer Info'!$A$1:$C$501,3,0)</f>
        <v>Blumstein</v>
      </c>
      <c r="I2546" s="6" t="str">
        <f>VLOOKUP(F2546,Customer,5,0)</f>
        <v>Gold Coast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92</v>
      </c>
      <c r="O2546" s="2">
        <v>10</v>
      </c>
      <c r="P2546" s="8">
        <f t="shared" si="197"/>
        <v>102</v>
      </c>
      <c r="Q2546" s="8">
        <f t="shared" si="198"/>
        <v>7</v>
      </c>
      <c r="R2546" s="2" t="s">
        <v>26</v>
      </c>
      <c r="S2546" s="24">
        <f t="shared" si="199"/>
        <v>0.02</v>
      </c>
    </row>
    <row r="2547" spans="1:19" x14ac:dyDescent="0.25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>VLOOKUP(F2547,'Customer Info'!$A:$B,2,0)</f>
        <v>Randy</v>
      </c>
      <c r="H2547" s="6" t="str">
        <f>VLOOKUP(F2547,'Customer Info'!$A$1:$C$501,3,0)</f>
        <v>Bradley</v>
      </c>
      <c r="I2547" s="6" t="str">
        <f>VLOOKUP(F2547,Customer,5,0)</f>
        <v>Wollongong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28928</v>
      </c>
      <c r="O2547" s="2">
        <v>64</v>
      </c>
      <c r="P2547" s="8">
        <f t="shared" si="197"/>
        <v>28992</v>
      </c>
      <c r="Q2547" s="8">
        <f t="shared" si="198"/>
        <v>1916</v>
      </c>
      <c r="R2547" s="2" t="s">
        <v>26</v>
      </c>
      <c r="S2547" s="24">
        <f t="shared" si="199"/>
        <v>7.0000000000000007E-2</v>
      </c>
    </row>
    <row r="2548" spans="1:19" x14ac:dyDescent="0.25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>VLOOKUP(F2548,'Customer Info'!$A:$B,2,0)</f>
        <v>Clay</v>
      </c>
      <c r="H2548" s="6" t="str">
        <f>VLOOKUP(F2548,'Customer Info'!$A$1:$C$501,3,0)</f>
        <v>Cheatham</v>
      </c>
      <c r="I2548" s="6" t="str">
        <f>VLOOKUP(F2548,Customer,5,0)</f>
        <v>Freiburg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855</v>
      </c>
      <c r="O2548" s="2">
        <v>30</v>
      </c>
      <c r="P2548" s="8">
        <f t="shared" si="197"/>
        <v>885</v>
      </c>
      <c r="Q2548" s="8">
        <f t="shared" si="198"/>
        <v>90</v>
      </c>
      <c r="R2548" s="2" t="s">
        <v>28</v>
      </c>
      <c r="S2548" s="24">
        <f t="shared" si="199"/>
        <v>0.02</v>
      </c>
    </row>
    <row r="2549" spans="1:19" x14ac:dyDescent="0.25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>VLOOKUP(F2549,'Customer Info'!$A:$B,2,0)</f>
        <v>Sarah</v>
      </c>
      <c r="H2549" s="6" t="str">
        <f>VLOOKUP(F2549,'Customer Info'!$A$1:$C$501,3,0)</f>
        <v>Foster</v>
      </c>
      <c r="I2549" s="6" t="str">
        <f>VLOOKUP(F2549,Customer,5,0)</f>
        <v>Harbin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5424</v>
      </c>
      <c r="O2549" s="2">
        <v>27</v>
      </c>
      <c r="P2549" s="8">
        <f t="shared" si="197"/>
        <v>5451</v>
      </c>
      <c r="Q2549" s="8">
        <f t="shared" si="198"/>
        <v>204</v>
      </c>
      <c r="R2549" s="2" t="s">
        <v>28</v>
      </c>
      <c r="S2549" s="24">
        <f t="shared" si="199"/>
        <v>0.05</v>
      </c>
    </row>
    <row r="2550" spans="1:19" x14ac:dyDescent="0.25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>VLOOKUP(F2550,'Customer Info'!$A:$B,2,0)</f>
        <v>Victoria</v>
      </c>
      <c r="H2550" s="6" t="str">
        <f>VLOOKUP(F2550,'Customer Info'!$A$1:$C$501,3,0)</f>
        <v>Wilson</v>
      </c>
      <c r="I2550" s="6" t="str">
        <f>VLOOKUP(F2550,Customer,5,0)</f>
        <v>Berlin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8721</v>
      </c>
      <c r="O2550" s="2">
        <v>28</v>
      </c>
      <c r="P2550" s="8">
        <f t="shared" si="197"/>
        <v>8749</v>
      </c>
      <c r="Q2550" s="8">
        <f t="shared" si="198"/>
        <v>720</v>
      </c>
      <c r="R2550" s="2" t="s">
        <v>28</v>
      </c>
      <c r="S2550" s="24">
        <f t="shared" si="199"/>
        <v>0.05</v>
      </c>
    </row>
    <row r="2551" spans="1:19" x14ac:dyDescent="0.25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>VLOOKUP(F2551,'Customer Info'!$A:$B,2,0)</f>
        <v>Cari</v>
      </c>
      <c r="H2551" s="6" t="str">
        <f>VLOOKUP(F2551,'Customer Info'!$A$1:$C$501,3,0)</f>
        <v>Schnelling</v>
      </c>
      <c r="I2551" s="6" t="str">
        <f>VLOOKUP(F2551,Customer,5,0)</f>
        <v>Agra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18308</v>
      </c>
      <c r="O2551" s="2">
        <v>89</v>
      </c>
      <c r="P2551" s="8">
        <f t="shared" si="197"/>
        <v>18397</v>
      </c>
      <c r="Q2551" s="8">
        <f t="shared" si="198"/>
        <v>1188</v>
      </c>
      <c r="R2551" s="2" t="s">
        <v>50</v>
      </c>
      <c r="S2551" s="24">
        <f t="shared" si="199"/>
        <v>0.05</v>
      </c>
    </row>
    <row r="2552" spans="1:19" x14ac:dyDescent="0.25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>VLOOKUP(F2552,'Customer Info'!$A:$B,2,0)</f>
        <v>Victor</v>
      </c>
      <c r="H2552" s="6" t="str">
        <f>VLOOKUP(F2552,'Customer Info'!$A$1:$C$501,3,0)</f>
        <v>Preis</v>
      </c>
      <c r="I2552" s="6" t="str">
        <f>VLOOKUP(F2552,Customer,5,0)</f>
        <v>Melbourne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13270</v>
      </c>
      <c r="O2552" s="2">
        <v>21</v>
      </c>
      <c r="P2552" s="8">
        <f t="shared" si="197"/>
        <v>13291</v>
      </c>
      <c r="Q2552" s="8">
        <f t="shared" si="198"/>
        <v>628</v>
      </c>
      <c r="R2552" s="2" t="s">
        <v>28</v>
      </c>
      <c r="S2552" s="24">
        <f t="shared" si="199"/>
        <v>0.05</v>
      </c>
    </row>
    <row r="2553" spans="1:19" x14ac:dyDescent="0.25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>VLOOKUP(F2553,'Customer Info'!$A:$B,2,0)</f>
        <v>Ralph</v>
      </c>
      <c r="H2553" s="6" t="str">
        <f>VLOOKUP(F2553,'Customer Info'!$A$1:$C$501,3,0)</f>
        <v>Arnett</v>
      </c>
      <c r="I2553" s="6" t="str">
        <f>VLOOKUP(F2553,Customer,5,0)</f>
        <v>Jhansi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7315</v>
      </c>
      <c r="O2553" s="2">
        <v>95</v>
      </c>
      <c r="P2553" s="8">
        <f t="shared" si="197"/>
        <v>7410</v>
      </c>
      <c r="Q2553" s="8">
        <f t="shared" si="198"/>
        <v>348</v>
      </c>
      <c r="R2553" s="2" t="s">
        <v>28</v>
      </c>
      <c r="S2553" s="24">
        <f t="shared" si="199"/>
        <v>0.05</v>
      </c>
    </row>
    <row r="2554" spans="1:19" x14ac:dyDescent="0.25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>VLOOKUP(F2554,'Customer Info'!$A:$B,2,0)</f>
        <v>Christopher</v>
      </c>
      <c r="H2554" s="6" t="str">
        <f>VLOOKUP(F2554,'Customer Info'!$A$1:$C$501,3,0)</f>
        <v>Martinez</v>
      </c>
      <c r="I2554" s="6" t="str">
        <f>VLOOKUP(F2554,Customer,5,0)</f>
        <v>Qingdao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417</v>
      </c>
      <c r="O2554" s="2">
        <v>30</v>
      </c>
      <c r="P2554" s="8">
        <f t="shared" si="197"/>
        <v>447</v>
      </c>
      <c r="Q2554" s="8">
        <f t="shared" si="198"/>
        <v>27</v>
      </c>
      <c r="R2554" s="2" t="s">
        <v>28</v>
      </c>
      <c r="S2554" s="24">
        <f t="shared" si="199"/>
        <v>0.02</v>
      </c>
    </row>
    <row r="2555" spans="1:19" x14ac:dyDescent="0.25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>VLOOKUP(F2555,'Customer Info'!$A:$B,2,0)</f>
        <v>Evan</v>
      </c>
      <c r="H2555" s="6" t="str">
        <f>VLOOKUP(F2555,'Customer Info'!$A$1:$C$501,3,0)</f>
        <v>Bailliet</v>
      </c>
      <c r="I2555" s="6" t="str">
        <f>VLOOKUP(F2555,Customer,5,0)</f>
        <v>Sydney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3230</v>
      </c>
      <c r="O2555" s="2">
        <v>98</v>
      </c>
      <c r="P2555" s="8">
        <f t="shared" si="197"/>
        <v>3328</v>
      </c>
      <c r="Q2555" s="8">
        <f t="shared" si="198"/>
        <v>180</v>
      </c>
      <c r="R2555" s="2" t="s">
        <v>50</v>
      </c>
      <c r="S2555" s="24">
        <f t="shared" si="199"/>
        <v>0.02</v>
      </c>
    </row>
    <row r="2556" spans="1:19" x14ac:dyDescent="0.25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>VLOOKUP(F2556,'Customer Info'!$A:$B,2,0)</f>
        <v>Dave</v>
      </c>
      <c r="H2556" s="6" t="str">
        <f>VLOOKUP(F2556,'Customer Info'!$A$1:$C$501,3,0)</f>
        <v>Hallsten</v>
      </c>
      <c r="I2556" s="6" t="str">
        <f>VLOOKUP(F2556,Customer,5,0)</f>
        <v>Coimbatore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2566</v>
      </c>
      <c r="O2556" s="2">
        <v>84</v>
      </c>
      <c r="P2556" s="8">
        <f t="shared" si="197"/>
        <v>2650</v>
      </c>
      <c r="Q2556" s="8">
        <f t="shared" si="198"/>
        <v>192</v>
      </c>
      <c r="R2556" s="2" t="s">
        <v>28</v>
      </c>
      <c r="S2556" s="24">
        <f t="shared" si="199"/>
        <v>0.02</v>
      </c>
    </row>
    <row r="2557" spans="1:19" x14ac:dyDescent="0.25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>VLOOKUP(F2557,'Customer Info'!$A:$B,2,0)</f>
        <v>Sylvia</v>
      </c>
      <c r="H2557" s="6" t="str">
        <f>VLOOKUP(F2557,'Customer Info'!$A$1:$C$501,3,0)</f>
        <v>Foulston</v>
      </c>
      <c r="I2557" s="6" t="str">
        <f>VLOOKUP(F2557,Customer,5,0)</f>
        <v>Ludwigsburg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1668</v>
      </c>
      <c r="O2557" s="2">
        <v>38</v>
      </c>
      <c r="P2557" s="8">
        <f t="shared" si="197"/>
        <v>1706</v>
      </c>
      <c r="Q2557" s="8">
        <f t="shared" si="198"/>
        <v>32</v>
      </c>
      <c r="R2557" s="2" t="s">
        <v>50</v>
      </c>
      <c r="S2557" s="24">
        <f t="shared" si="199"/>
        <v>0.02</v>
      </c>
    </row>
    <row r="2558" spans="1:19" x14ac:dyDescent="0.25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>VLOOKUP(F2558,'Customer Info'!$A:$B,2,0)</f>
        <v>Yana</v>
      </c>
      <c r="H2558" s="6" t="str">
        <f>VLOOKUP(F2558,'Customer Info'!$A$1:$C$501,3,0)</f>
        <v>Sorensen</v>
      </c>
      <c r="I2558" s="6" t="str">
        <f>VLOOKUP(F2558,Customer,5,0)</f>
        <v>Bottrop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27918</v>
      </c>
      <c r="O2558" s="2">
        <v>33</v>
      </c>
      <c r="P2558" s="8">
        <f t="shared" si="197"/>
        <v>27951</v>
      </c>
      <c r="Q2558" s="8">
        <f t="shared" si="198"/>
        <v>2535</v>
      </c>
      <c r="R2558" s="2" t="s">
        <v>28</v>
      </c>
      <c r="S2558" s="24">
        <f t="shared" si="199"/>
        <v>7.0000000000000007E-2</v>
      </c>
    </row>
    <row r="2559" spans="1:19" x14ac:dyDescent="0.25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>VLOOKUP(F2559,'Customer Info'!$A:$B,2,0)</f>
        <v>Aaron</v>
      </c>
      <c r="H2559" s="6" t="str">
        <f>VLOOKUP(F2559,'Customer Info'!$A$1:$C$501,3,0)</f>
        <v>Hawkins</v>
      </c>
      <c r="I2559" s="6" t="str">
        <f>VLOOKUP(F2559,Customer,5,0)</f>
        <v>Minden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332</v>
      </c>
      <c r="O2559" s="2">
        <v>30</v>
      </c>
      <c r="P2559" s="8">
        <f t="shared" si="197"/>
        <v>362</v>
      </c>
      <c r="Q2559" s="8">
        <f t="shared" si="198"/>
        <v>34</v>
      </c>
      <c r="R2559" s="2" t="s">
        <v>26</v>
      </c>
      <c r="S2559" s="24">
        <f t="shared" si="199"/>
        <v>0.02</v>
      </c>
    </row>
    <row r="2560" spans="1:19" x14ac:dyDescent="0.25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>VLOOKUP(F2560,'Customer Info'!$A:$B,2,0)</f>
        <v>Ben</v>
      </c>
      <c r="H2560" s="6" t="str">
        <f>VLOOKUP(F2560,'Customer Info'!$A$1:$C$501,3,0)</f>
        <v>Wallace</v>
      </c>
      <c r="I2560" s="6" t="str">
        <f>VLOOKUP(F2560,Customer,5,0)</f>
        <v>Shanghai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4851</v>
      </c>
      <c r="O2560" s="2">
        <v>33</v>
      </c>
      <c r="P2560" s="8">
        <f t="shared" si="197"/>
        <v>4884</v>
      </c>
      <c r="Q2560" s="8">
        <f t="shared" si="198"/>
        <v>182</v>
      </c>
      <c r="R2560" s="2" t="s">
        <v>28</v>
      </c>
      <c r="S2560" s="24">
        <f t="shared" si="199"/>
        <v>0.02</v>
      </c>
    </row>
    <row r="2561" spans="1:19" x14ac:dyDescent="0.25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>VLOOKUP(F2561,'Customer Info'!$A:$B,2,0)</f>
        <v>Delfina</v>
      </c>
      <c r="H2561" s="6" t="str">
        <f>VLOOKUP(F2561,'Customer Info'!$A$1:$C$501,3,0)</f>
        <v>Latchford</v>
      </c>
      <c r="I2561" s="6" t="str">
        <f>VLOOKUP(F2561,Customer,5,0)</f>
        <v>Yogyakarta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33980</v>
      </c>
      <c r="O2561" s="2">
        <v>88</v>
      </c>
      <c r="P2561" s="8">
        <f t="shared" si="197"/>
        <v>34068</v>
      </c>
      <c r="Q2561" s="8">
        <f t="shared" si="198"/>
        <v>3392</v>
      </c>
      <c r="R2561" s="2" t="s">
        <v>28</v>
      </c>
      <c r="S2561" s="24">
        <f t="shared" si="199"/>
        <v>7.0000000000000007E-2</v>
      </c>
    </row>
    <row r="2562" spans="1:19" x14ac:dyDescent="0.25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>VLOOKUP(F2562,'Customer Info'!$A:$B,2,0)</f>
        <v>Ben</v>
      </c>
      <c r="H2562" s="6" t="str">
        <f>VLOOKUP(F2562,'Customer Info'!$A$1:$C$501,3,0)</f>
        <v>Wallace</v>
      </c>
      <c r="I2562" s="6" t="str">
        <f>VLOOKUP(F2562,Customer,5,0)</f>
        <v>Shanghai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183</v>
      </c>
      <c r="O2562" s="2">
        <v>30</v>
      </c>
      <c r="P2562" s="8">
        <f t="shared" si="197"/>
        <v>213</v>
      </c>
      <c r="Q2562" s="8">
        <f t="shared" si="198"/>
        <v>15</v>
      </c>
      <c r="R2562" s="2" t="s">
        <v>50</v>
      </c>
      <c r="S2562" s="24">
        <f t="shared" si="199"/>
        <v>0.02</v>
      </c>
    </row>
    <row r="2563" spans="1:19" x14ac:dyDescent="0.25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>VLOOKUP(F2563,'Customer Info'!$A:$B,2,0)</f>
        <v>Kelly</v>
      </c>
      <c r="H2563" s="6" t="str">
        <f>VLOOKUP(F2563,'Customer Info'!$A$1:$C$501,3,0)</f>
        <v>Collister</v>
      </c>
      <c r="I2563" s="6" t="str">
        <f>VLOOKUP(F2563,Customer,5,0)</f>
        <v>Tangshan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1169</v>
      </c>
      <c r="O2563" s="2">
        <v>54</v>
      </c>
      <c r="P2563" s="8">
        <f t="shared" si="197"/>
        <v>1223</v>
      </c>
      <c r="Q2563" s="8">
        <f t="shared" si="198"/>
        <v>97</v>
      </c>
      <c r="R2563" s="2" t="s">
        <v>56</v>
      </c>
      <c r="S2563" s="24">
        <f t="shared" si="199"/>
        <v>0.02</v>
      </c>
    </row>
    <row r="2564" spans="1:19" x14ac:dyDescent="0.25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>VLOOKUP(F2564,'Customer Info'!$A:$B,2,0)</f>
        <v>Laurel</v>
      </c>
      <c r="H2564" s="6" t="str">
        <f>VLOOKUP(F2564,'Customer Info'!$A$1:$C$501,3,0)</f>
        <v>Beltran</v>
      </c>
      <c r="I2564" s="6" t="str">
        <f>VLOOKUP(F2564,Customer,5,0)</f>
        <v>Melbourne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1911</v>
      </c>
      <c r="O2564" s="2">
        <v>82</v>
      </c>
      <c r="P2564" s="8">
        <f t="shared" si="197"/>
        <v>1993</v>
      </c>
      <c r="Q2564" s="8">
        <f t="shared" si="198"/>
        <v>126</v>
      </c>
      <c r="R2564" s="2" t="s">
        <v>28</v>
      </c>
      <c r="S2564" s="24">
        <f t="shared" si="199"/>
        <v>0.02</v>
      </c>
    </row>
    <row r="2565" spans="1:19" x14ac:dyDescent="0.25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>VLOOKUP(F2565,'Customer Info'!$A:$B,2,0)</f>
        <v>Bryan</v>
      </c>
      <c r="H2565" s="6" t="str">
        <f>VLOOKUP(F2565,'Customer Info'!$A$1:$C$501,3,0)</f>
        <v>Spruell</v>
      </c>
      <c r="I2565" s="6" t="str">
        <f>VLOOKUP(F2565,Customer,5,0)</f>
        <v>Bekasi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773</v>
      </c>
      <c r="O2565" s="2">
        <v>78</v>
      </c>
      <c r="P2565" s="8">
        <f t="shared" si="197"/>
        <v>851</v>
      </c>
      <c r="Q2565" s="8">
        <f t="shared" si="198"/>
        <v>65</v>
      </c>
      <c r="R2565" s="2" t="s">
        <v>28</v>
      </c>
      <c r="S2565" s="24">
        <f t="shared" si="199"/>
        <v>0.02</v>
      </c>
    </row>
    <row r="2566" spans="1:19" x14ac:dyDescent="0.25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>VLOOKUP(F2566,'Customer Info'!$A:$B,2,0)</f>
        <v>Michelle</v>
      </c>
      <c r="H2566" s="6" t="str">
        <f>VLOOKUP(F2566,'Customer Info'!$A$1:$C$501,3,0)</f>
        <v>Tran</v>
      </c>
      <c r="I2566" s="6" t="str">
        <f>VLOOKUP(F2566,Customer,5,0)</f>
        <v>Mount Gambier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1593</v>
      </c>
      <c r="O2566" s="2">
        <v>33</v>
      </c>
      <c r="P2566" s="8">
        <f t="shared" si="197"/>
        <v>1626</v>
      </c>
      <c r="Q2566" s="8">
        <f t="shared" si="198"/>
        <v>132</v>
      </c>
      <c r="R2566" s="2" t="s">
        <v>28</v>
      </c>
      <c r="S2566" s="24">
        <f t="shared" si="199"/>
        <v>0.02</v>
      </c>
    </row>
    <row r="2567" spans="1:19" x14ac:dyDescent="0.25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>VLOOKUP(F2567,'Customer Info'!$A:$B,2,0)</f>
        <v>Stuart</v>
      </c>
      <c r="H2567" s="6" t="str">
        <f>VLOOKUP(F2567,'Customer Info'!$A$1:$C$501,3,0)</f>
        <v>Calhoun</v>
      </c>
      <c r="I2567" s="6" t="str">
        <f>VLOOKUP(F2567,Customer,5,0)</f>
        <v>Bochum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4808</v>
      </c>
      <c r="O2567" s="2">
        <v>34</v>
      </c>
      <c r="P2567" s="8">
        <f t="shared" si="197"/>
        <v>4842</v>
      </c>
      <c r="Q2567" s="8">
        <f t="shared" si="198"/>
        <v>355</v>
      </c>
      <c r="R2567" s="2" t="s">
        <v>50</v>
      </c>
      <c r="S2567" s="24">
        <f t="shared" si="199"/>
        <v>0.02</v>
      </c>
    </row>
    <row r="2568" spans="1:19" x14ac:dyDescent="0.25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>VLOOKUP(F2568,'Customer Info'!$A:$B,2,0)</f>
        <v>Linda</v>
      </c>
      <c r="H2568" s="6" t="str">
        <f>VLOOKUP(F2568,'Customer Info'!$A$1:$C$501,3,0)</f>
        <v>Southworth</v>
      </c>
      <c r="I2568" s="6" t="str">
        <f>VLOOKUP(F2568,Customer,5,0)</f>
        <v>Brisbane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13328</v>
      </c>
      <c r="O2568" s="2">
        <v>41</v>
      </c>
      <c r="P2568" s="8">
        <f t="shared" si="197"/>
        <v>13369</v>
      </c>
      <c r="Q2568" s="8">
        <f t="shared" si="198"/>
        <v>382</v>
      </c>
      <c r="R2568" s="2" t="s">
        <v>50</v>
      </c>
      <c r="S2568" s="24">
        <f t="shared" si="199"/>
        <v>0.05</v>
      </c>
    </row>
    <row r="2569" spans="1:19" x14ac:dyDescent="0.25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>VLOOKUP(F2569,'Customer Info'!$A:$B,2,0)</f>
        <v>Art</v>
      </c>
      <c r="H2569" s="6" t="str">
        <f>VLOOKUP(F2569,'Customer Info'!$A$1:$C$501,3,0)</f>
        <v>Foster</v>
      </c>
      <c r="I2569" s="6" t="str">
        <f>VLOOKUP(F2569,Customer,5,0)</f>
        <v>Devonport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4239</v>
      </c>
      <c r="O2569" s="2">
        <v>41</v>
      </c>
      <c r="P2569" s="8">
        <f t="shared" si="197"/>
        <v>4280</v>
      </c>
      <c r="Q2569" s="8">
        <f t="shared" si="198"/>
        <v>237</v>
      </c>
      <c r="R2569" s="2" t="s">
        <v>50</v>
      </c>
      <c r="S2569" s="24">
        <f t="shared" si="199"/>
        <v>0.02</v>
      </c>
    </row>
    <row r="2570" spans="1:19" x14ac:dyDescent="0.25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>VLOOKUP(F2570,'Customer Info'!$A:$B,2,0)</f>
        <v>Brenda</v>
      </c>
      <c r="H2570" s="6" t="str">
        <f>VLOOKUP(F2570,'Customer Info'!$A$1:$C$501,3,0)</f>
        <v>Bowman</v>
      </c>
      <c r="I2570" s="6" t="str">
        <f>VLOOKUP(F2570,Customer,5,0)</f>
        <v>Perth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12048</v>
      </c>
      <c r="O2570" s="2">
        <v>79</v>
      </c>
      <c r="P2570" s="8">
        <f t="shared" si="197"/>
        <v>12127</v>
      </c>
      <c r="Q2570" s="8">
        <f t="shared" si="198"/>
        <v>1200</v>
      </c>
      <c r="R2570" s="2" t="s">
        <v>28</v>
      </c>
      <c r="S2570" s="24">
        <f t="shared" si="199"/>
        <v>0.05</v>
      </c>
    </row>
    <row r="2571" spans="1:19" x14ac:dyDescent="0.25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>VLOOKUP(F2571,'Customer Info'!$A:$B,2,0)</f>
        <v>Sam</v>
      </c>
      <c r="H2571" s="6" t="str">
        <f>VLOOKUP(F2571,'Customer Info'!$A$1:$C$501,3,0)</f>
        <v>Zeldin</v>
      </c>
      <c r="I2571" s="6" t="str">
        <f>VLOOKUP(F2571,Customer,5,0)</f>
        <v>Yanji</v>
      </c>
      <c r="J2571" s="2">
        <v>1169</v>
      </c>
      <c r="K2571" s="2">
        <v>1072</v>
      </c>
      <c r="L2571" s="2">
        <v>5</v>
      </c>
      <c r="M2571" s="7">
        <f t="shared" ref="M2571:M2634" si="200">K2571*L2571</f>
        <v>5360</v>
      </c>
      <c r="N2571" s="7">
        <f t="shared" ref="N2571:N2634" si="201">J2571*L2571</f>
        <v>5845</v>
      </c>
      <c r="O2571" s="2">
        <v>83</v>
      </c>
      <c r="P2571" s="8">
        <f t="shared" ref="P2571:P2634" si="202">N2571+O2571</f>
        <v>5928</v>
      </c>
      <c r="Q2571" s="8">
        <f t="shared" ref="Q2571:Q2634" si="203">N2571-M2571</f>
        <v>485</v>
      </c>
      <c r="R2571" s="2" t="s">
        <v>28</v>
      </c>
      <c r="S2571" s="24">
        <f t="shared" ref="S2571:S2634" si="204">VLOOKUP(N2571,$T$1:$U$7,2,TRUE)</f>
        <v>0.05</v>
      </c>
    </row>
    <row r="2572" spans="1:19" x14ac:dyDescent="0.25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>VLOOKUP(F2572,'Customer Info'!$A:$B,2,0)</f>
        <v>Tony</v>
      </c>
      <c r="H2572" s="6" t="str">
        <f>VLOOKUP(F2572,'Customer Info'!$A$1:$C$501,3,0)</f>
        <v>Sayre</v>
      </c>
      <c r="I2572" s="6" t="str">
        <f>VLOOKUP(F2572,Customer,5,0)</f>
        <v>Jakarta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8">
        <f t="shared" si="202"/>
        <v>1816</v>
      </c>
      <c r="Q2572" s="8">
        <f t="shared" si="203"/>
        <v>65</v>
      </c>
      <c r="R2572" s="2" t="s">
        <v>50</v>
      </c>
      <c r="S2572" s="24">
        <f t="shared" si="204"/>
        <v>0.02</v>
      </c>
    </row>
    <row r="2573" spans="1:19" x14ac:dyDescent="0.25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>VLOOKUP(F2573,'Customer Info'!$A:$B,2,0)</f>
        <v>Dorothy</v>
      </c>
      <c r="H2573" s="6" t="str">
        <f>VLOOKUP(F2573,'Customer Info'!$A$1:$C$501,3,0)</f>
        <v>Badders</v>
      </c>
      <c r="I2573" s="6" t="str">
        <f>VLOOKUP(F2573,Customer,5,0)</f>
        <v>Nanning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8">
        <f t="shared" si="202"/>
        <v>2232</v>
      </c>
      <c r="Q2573" s="8">
        <f t="shared" si="203"/>
        <v>216</v>
      </c>
      <c r="R2573" s="2" t="s">
        <v>50</v>
      </c>
      <c r="S2573" s="24">
        <f t="shared" si="204"/>
        <v>0.02</v>
      </c>
    </row>
    <row r="2574" spans="1:19" x14ac:dyDescent="0.25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>VLOOKUP(F2574,'Customer Info'!$A:$B,2,0)</f>
        <v>Michelle</v>
      </c>
      <c r="H2574" s="6" t="str">
        <f>VLOOKUP(F2574,'Customer Info'!$A$1:$C$501,3,0)</f>
        <v>Arnett</v>
      </c>
      <c r="I2574" s="6" t="str">
        <f>VLOOKUP(F2574,Customer,5,0)</f>
        <v>Palembang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8">
        <f t="shared" si="202"/>
        <v>11909</v>
      </c>
      <c r="Q2574" s="8">
        <f t="shared" si="203"/>
        <v>762</v>
      </c>
      <c r="R2574" s="2" t="s">
        <v>28</v>
      </c>
      <c r="S2574" s="24">
        <f t="shared" si="204"/>
        <v>0.05</v>
      </c>
    </row>
    <row r="2575" spans="1:19" x14ac:dyDescent="0.25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>VLOOKUP(F2575,'Customer Info'!$A:$B,2,0)</f>
        <v>Xylona</v>
      </c>
      <c r="H2575" s="6" t="str">
        <f>VLOOKUP(F2575,'Customer Info'!$A$1:$C$501,3,0)</f>
        <v>Preis</v>
      </c>
      <c r="I2575" s="6" t="str">
        <f>VLOOKUP(F2575,Customer,5,0)</f>
        <v>Qidong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8">
        <f t="shared" si="202"/>
        <v>13975</v>
      </c>
      <c r="Q2575" s="8">
        <f t="shared" si="203"/>
        <v>530</v>
      </c>
      <c r="R2575" s="2" t="s">
        <v>50</v>
      </c>
      <c r="S2575" s="24">
        <f t="shared" si="204"/>
        <v>0.05</v>
      </c>
    </row>
    <row r="2576" spans="1:19" x14ac:dyDescent="0.25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>VLOOKUP(F2576,'Customer Info'!$A:$B,2,0)</f>
        <v>Erin</v>
      </c>
      <c r="H2576" s="6" t="str">
        <f>VLOOKUP(F2576,'Customer Info'!$A$1:$C$501,3,0)</f>
        <v>Smith</v>
      </c>
      <c r="I2576" s="6" t="str">
        <f>VLOOKUP(F2576,Customer,5,0)</f>
        <v>Bremen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24480</v>
      </c>
      <c r="O2576" s="2">
        <v>64</v>
      </c>
      <c r="P2576" s="8">
        <f t="shared" si="202"/>
        <v>24544</v>
      </c>
      <c r="Q2576" s="8">
        <f t="shared" si="203"/>
        <v>2055</v>
      </c>
      <c r="R2576" s="2" t="s">
        <v>28</v>
      </c>
      <c r="S2576" s="24">
        <f t="shared" si="204"/>
        <v>0.05</v>
      </c>
    </row>
    <row r="2577" spans="1:19" x14ac:dyDescent="0.25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>VLOOKUP(F2577,'Customer Info'!$A:$B,2,0)</f>
        <v>Heather</v>
      </c>
      <c r="H2577" s="6" t="str">
        <f>VLOOKUP(F2577,'Customer Info'!$A$1:$C$501,3,0)</f>
        <v>Kirkland</v>
      </c>
      <c r="I2577" s="6" t="str">
        <f>VLOOKUP(F2577,Customer,5,0)</f>
        <v>Luoyang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511</v>
      </c>
      <c r="O2577" s="2">
        <v>38</v>
      </c>
      <c r="P2577" s="8">
        <f t="shared" si="202"/>
        <v>549</v>
      </c>
      <c r="Q2577" s="8">
        <f t="shared" si="203"/>
        <v>43</v>
      </c>
      <c r="R2577" s="2" t="s">
        <v>50</v>
      </c>
      <c r="S2577" s="24">
        <f t="shared" si="204"/>
        <v>0.02</v>
      </c>
    </row>
    <row r="2578" spans="1:19" x14ac:dyDescent="0.25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>VLOOKUP(F2578,'Customer Info'!$A:$B,2,0)</f>
        <v>Guy</v>
      </c>
      <c r="H2578" s="6" t="str">
        <f>VLOOKUP(F2578,'Customer Info'!$A$1:$C$501,3,0)</f>
        <v>Phonely</v>
      </c>
      <c r="I2578" s="6" t="str">
        <f>VLOOKUP(F2578,Customer,5,0)</f>
        <v>Jodhpur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6729</v>
      </c>
      <c r="O2578" s="2">
        <v>47</v>
      </c>
      <c r="P2578" s="8">
        <f t="shared" si="202"/>
        <v>6776</v>
      </c>
      <c r="Q2578" s="8">
        <f t="shared" si="203"/>
        <v>729</v>
      </c>
      <c r="R2578" s="2" t="s">
        <v>28</v>
      </c>
      <c r="S2578" s="24">
        <f t="shared" si="204"/>
        <v>0.05</v>
      </c>
    </row>
    <row r="2579" spans="1:19" x14ac:dyDescent="0.25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>VLOOKUP(F2579,'Customer Info'!$A:$B,2,0)</f>
        <v>Brian</v>
      </c>
      <c r="H2579" s="6" t="str">
        <f>VLOOKUP(F2579,'Customer Info'!$A$1:$C$501,3,0)</f>
        <v>Stugart</v>
      </c>
      <c r="I2579" s="6" t="str">
        <f>VLOOKUP(F2579,Customer,5,0)</f>
        <v>Jakarta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1859</v>
      </c>
      <c r="O2579" s="2">
        <v>56</v>
      </c>
      <c r="P2579" s="8">
        <f t="shared" si="202"/>
        <v>1915</v>
      </c>
      <c r="Q2579" s="8">
        <f t="shared" si="203"/>
        <v>104</v>
      </c>
      <c r="R2579" s="2" t="s">
        <v>50</v>
      </c>
      <c r="S2579" s="24">
        <f t="shared" si="204"/>
        <v>0.02</v>
      </c>
    </row>
    <row r="2580" spans="1:19" x14ac:dyDescent="0.25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>VLOOKUP(F2580,'Customer Info'!$A:$B,2,0)</f>
        <v>Michael</v>
      </c>
      <c r="H2580" s="6" t="str">
        <f>VLOOKUP(F2580,'Customer Info'!$A$1:$C$501,3,0)</f>
        <v>Nguyen</v>
      </c>
      <c r="I2580" s="6" t="str">
        <f>VLOOKUP(F2580,Customer,5,0)</f>
        <v>Berlin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2566</v>
      </c>
      <c r="O2580" s="2">
        <v>82</v>
      </c>
      <c r="P2580" s="8">
        <f t="shared" si="202"/>
        <v>2648</v>
      </c>
      <c r="Q2580" s="8">
        <f t="shared" si="203"/>
        <v>192</v>
      </c>
      <c r="R2580" s="2" t="s">
        <v>50</v>
      </c>
      <c r="S2580" s="24">
        <f t="shared" si="204"/>
        <v>0.02</v>
      </c>
    </row>
    <row r="2581" spans="1:19" x14ac:dyDescent="0.25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>VLOOKUP(F2581,'Customer Info'!$A:$B,2,0)</f>
        <v>Eugene</v>
      </c>
      <c r="H2581" s="6" t="str">
        <f>VLOOKUP(F2581,'Customer Info'!$A$1:$C$501,3,0)</f>
        <v>Hildebrand</v>
      </c>
      <c r="I2581" s="6" t="str">
        <f>VLOOKUP(F2581,Customer,5,0)</f>
        <v>Coffs Harbour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712</v>
      </c>
      <c r="O2581" s="2">
        <v>86</v>
      </c>
      <c r="P2581" s="8">
        <f t="shared" si="202"/>
        <v>798</v>
      </c>
      <c r="Q2581" s="8">
        <f t="shared" si="203"/>
        <v>72</v>
      </c>
      <c r="R2581" s="2" t="s">
        <v>28</v>
      </c>
      <c r="S2581" s="24">
        <f t="shared" si="204"/>
        <v>0.02</v>
      </c>
    </row>
    <row r="2582" spans="1:19" x14ac:dyDescent="0.25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>VLOOKUP(F2582,'Customer Info'!$A:$B,2,0)</f>
        <v>Debra</v>
      </c>
      <c r="H2582" s="6" t="str">
        <f>VLOOKUP(F2582,'Customer Info'!$A$1:$C$501,3,0)</f>
        <v>Catini</v>
      </c>
      <c r="I2582" s="6" t="str">
        <f>VLOOKUP(F2582,Customer,5,0)</f>
        <v>Zhengzhou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80</v>
      </c>
      <c r="O2582" s="2">
        <v>10</v>
      </c>
      <c r="P2582" s="8">
        <f t="shared" si="202"/>
        <v>90</v>
      </c>
      <c r="Q2582" s="8">
        <f t="shared" si="203"/>
        <v>5</v>
      </c>
      <c r="R2582" s="2" t="s">
        <v>28</v>
      </c>
      <c r="S2582" s="24">
        <f t="shared" si="204"/>
        <v>0.02</v>
      </c>
    </row>
    <row r="2583" spans="1:19" x14ac:dyDescent="0.25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>VLOOKUP(F2583,'Customer Info'!$A:$B,2,0)</f>
        <v>Aaron</v>
      </c>
      <c r="H2583" s="6" t="str">
        <f>VLOOKUP(F2583,'Customer Info'!$A$1:$C$501,3,0)</f>
        <v>Hawkins</v>
      </c>
      <c r="I2583" s="6" t="str">
        <f>VLOOKUP(F2583,Customer,5,0)</f>
        <v>Minden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417</v>
      </c>
      <c r="O2583" s="2">
        <v>30</v>
      </c>
      <c r="P2583" s="8">
        <f t="shared" si="202"/>
        <v>447</v>
      </c>
      <c r="Q2583" s="8">
        <f t="shared" si="203"/>
        <v>18</v>
      </c>
      <c r="R2583" s="2" t="s">
        <v>28</v>
      </c>
      <c r="S2583" s="24">
        <f t="shared" si="204"/>
        <v>0.02</v>
      </c>
    </row>
    <row r="2584" spans="1:19" x14ac:dyDescent="0.25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>VLOOKUP(F2584,'Customer Info'!$A:$B,2,0)</f>
        <v>Julia</v>
      </c>
      <c r="H2584" s="6" t="str">
        <f>VLOOKUP(F2584,'Customer Info'!$A$1:$C$501,3,0)</f>
        <v>Dunbar</v>
      </c>
      <c r="I2584" s="6" t="str">
        <f>VLOOKUP(F2584,Customer,5,0)</f>
        <v>Melbourne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8270</v>
      </c>
      <c r="O2584" s="2">
        <v>66</v>
      </c>
      <c r="P2584" s="8">
        <f t="shared" si="202"/>
        <v>8336</v>
      </c>
      <c r="Q2584" s="8">
        <f t="shared" si="203"/>
        <v>385</v>
      </c>
      <c r="R2584" s="2" t="s">
        <v>28</v>
      </c>
      <c r="S2584" s="24">
        <f t="shared" si="204"/>
        <v>0.05</v>
      </c>
    </row>
    <row r="2585" spans="1:19" x14ac:dyDescent="0.25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>VLOOKUP(F2585,'Customer Info'!$A:$B,2,0)</f>
        <v>Peter</v>
      </c>
      <c r="H2585" s="6" t="str">
        <f>VLOOKUP(F2585,'Customer Info'!$A$1:$C$501,3,0)</f>
        <v>BŸhler</v>
      </c>
      <c r="I2585" s="6" t="str">
        <f>VLOOKUP(F2585,Customer,5,0)</f>
        <v>Wolfsburg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19136</v>
      </c>
      <c r="O2585" s="2">
        <v>59</v>
      </c>
      <c r="P2585" s="8">
        <f t="shared" si="202"/>
        <v>19195</v>
      </c>
      <c r="Q2585" s="8">
        <f t="shared" si="203"/>
        <v>1064</v>
      </c>
      <c r="R2585" s="2" t="s">
        <v>28</v>
      </c>
      <c r="S2585" s="24">
        <f t="shared" si="204"/>
        <v>0.05</v>
      </c>
    </row>
    <row r="2586" spans="1:19" x14ac:dyDescent="0.25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>VLOOKUP(F2586,'Customer Info'!$A:$B,2,0)</f>
        <v>Anthony</v>
      </c>
      <c r="H2586" s="6" t="str">
        <f>VLOOKUP(F2586,'Customer Info'!$A$1:$C$501,3,0)</f>
        <v>Garverick</v>
      </c>
      <c r="I2586" s="6" t="str">
        <f>VLOOKUP(F2586,Customer,5,0)</f>
        <v>Delhi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121604</v>
      </c>
      <c r="O2586" s="2">
        <v>65</v>
      </c>
      <c r="P2586" s="8">
        <f t="shared" si="202"/>
        <v>121669</v>
      </c>
      <c r="Q2586" s="8">
        <f t="shared" si="203"/>
        <v>9114</v>
      </c>
      <c r="R2586" s="2" t="s">
        <v>26</v>
      </c>
      <c r="S2586" s="24">
        <f t="shared" si="204"/>
        <v>0.12</v>
      </c>
    </row>
    <row r="2587" spans="1:19" x14ac:dyDescent="0.25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>VLOOKUP(F2587,'Customer Info'!$A:$B,2,0)</f>
        <v>Tamara</v>
      </c>
      <c r="H2587" s="6" t="str">
        <f>VLOOKUP(F2587,'Customer Info'!$A$1:$C$501,3,0)</f>
        <v>Chand</v>
      </c>
      <c r="I2587" s="6" t="str">
        <f>VLOOKUP(F2587,Customer,5,0)</f>
        <v>Canberra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5051</v>
      </c>
      <c r="O2587" s="2">
        <v>69</v>
      </c>
      <c r="P2587" s="8">
        <f t="shared" si="202"/>
        <v>5120</v>
      </c>
      <c r="Q2587" s="8">
        <f t="shared" si="203"/>
        <v>417</v>
      </c>
      <c r="R2587" s="2" t="s">
        <v>50</v>
      </c>
      <c r="S2587" s="24">
        <f t="shared" si="204"/>
        <v>0.05</v>
      </c>
    </row>
    <row r="2588" spans="1:19" x14ac:dyDescent="0.25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>VLOOKUP(F2588,'Customer Info'!$A:$B,2,0)</f>
        <v>Rick</v>
      </c>
      <c r="H2588" s="6" t="str">
        <f>VLOOKUP(F2588,'Customer Info'!$A$1:$C$501,3,0)</f>
        <v>Duston</v>
      </c>
      <c r="I2588" s="6" t="str">
        <f>VLOOKUP(F2588,Customer,5,0)</f>
        <v>Surakarta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1828</v>
      </c>
      <c r="O2588" s="2">
        <v>73</v>
      </c>
      <c r="P2588" s="8">
        <f t="shared" si="202"/>
        <v>1901</v>
      </c>
      <c r="Q2588" s="8">
        <f t="shared" si="203"/>
        <v>168</v>
      </c>
      <c r="R2588" s="2" t="s">
        <v>28</v>
      </c>
      <c r="S2588" s="24">
        <f t="shared" si="204"/>
        <v>0.02</v>
      </c>
    </row>
    <row r="2589" spans="1:19" x14ac:dyDescent="0.25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>VLOOKUP(F2589,'Customer Info'!$A:$B,2,0)</f>
        <v>Stewart</v>
      </c>
      <c r="H2589" s="6" t="str">
        <f>VLOOKUP(F2589,'Customer Info'!$A$1:$C$501,3,0)</f>
        <v>Visinsky</v>
      </c>
      <c r="I2589" s="6" t="str">
        <f>VLOOKUP(F2589,Customer,5,0)</f>
        <v>Shenyang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2422</v>
      </c>
      <c r="O2589" s="2">
        <v>30</v>
      </c>
      <c r="P2589" s="8">
        <f t="shared" si="202"/>
        <v>2452</v>
      </c>
      <c r="Q2589" s="8">
        <f t="shared" si="203"/>
        <v>252</v>
      </c>
      <c r="R2589" s="2" t="s">
        <v>50</v>
      </c>
      <c r="S2589" s="24">
        <f t="shared" si="204"/>
        <v>0.02</v>
      </c>
    </row>
    <row r="2590" spans="1:19" x14ac:dyDescent="0.25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>VLOOKUP(F2590,'Customer Info'!$A:$B,2,0)</f>
        <v>Olvera</v>
      </c>
      <c r="H2590" s="6" t="str">
        <f>VLOOKUP(F2590,'Customer Info'!$A$1:$C$501,3,0)</f>
        <v>Toch</v>
      </c>
      <c r="I2590" s="6" t="str">
        <f>VLOOKUP(F2590,Customer,5,0)</f>
        <v>Wollongong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20052</v>
      </c>
      <c r="O2590" s="2">
        <v>100</v>
      </c>
      <c r="P2590" s="8">
        <f t="shared" si="202"/>
        <v>20152</v>
      </c>
      <c r="Q2590" s="8">
        <f t="shared" si="203"/>
        <v>765</v>
      </c>
      <c r="R2590" s="2" t="s">
        <v>28</v>
      </c>
      <c r="S2590" s="24">
        <f t="shared" si="204"/>
        <v>0.05</v>
      </c>
    </row>
    <row r="2591" spans="1:19" x14ac:dyDescent="0.25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>VLOOKUP(F2591,'Customer Info'!$A:$B,2,0)</f>
        <v>Laura</v>
      </c>
      <c r="H2591" s="6" t="str">
        <f>VLOOKUP(F2591,'Customer Info'!$A$1:$C$501,3,0)</f>
        <v>Armstrong</v>
      </c>
      <c r="I2591" s="6" t="str">
        <f>VLOOKUP(F2591,Customer,5,0)</f>
        <v>Torquay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2444</v>
      </c>
      <c r="O2591" s="2">
        <v>61</v>
      </c>
      <c r="P2591" s="8">
        <f t="shared" si="202"/>
        <v>2505</v>
      </c>
      <c r="Q2591" s="8">
        <f t="shared" si="203"/>
        <v>70</v>
      </c>
      <c r="R2591" s="2" t="s">
        <v>28</v>
      </c>
      <c r="S2591" s="24">
        <f t="shared" si="204"/>
        <v>0.02</v>
      </c>
    </row>
    <row r="2592" spans="1:19" x14ac:dyDescent="0.25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>VLOOKUP(F2592,'Customer Info'!$A:$B,2,0)</f>
        <v>Andy</v>
      </c>
      <c r="H2592" s="6" t="str">
        <f>VLOOKUP(F2592,'Customer Info'!$A$1:$C$501,3,0)</f>
        <v>Yotov</v>
      </c>
      <c r="I2592" s="6" t="str">
        <f>VLOOKUP(F2592,Customer,5,0)</f>
        <v>Samarinda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372</v>
      </c>
      <c r="O2592" s="2">
        <v>10</v>
      </c>
      <c r="P2592" s="8">
        <f t="shared" si="202"/>
        <v>382</v>
      </c>
      <c r="Q2592" s="8">
        <f t="shared" si="203"/>
        <v>28</v>
      </c>
      <c r="R2592" s="2" t="s">
        <v>50</v>
      </c>
      <c r="S2592" s="24">
        <f t="shared" si="204"/>
        <v>0.02</v>
      </c>
    </row>
    <row r="2593" spans="1:19" x14ac:dyDescent="0.25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>VLOOKUP(F2593,'Customer Info'!$A:$B,2,0)</f>
        <v>Sanjit</v>
      </c>
      <c r="H2593" s="6" t="str">
        <f>VLOOKUP(F2593,'Customer Info'!$A$1:$C$501,3,0)</f>
        <v>Chand</v>
      </c>
      <c r="I2593" s="6" t="str">
        <f>VLOOKUP(F2593,Customer,5,0)</f>
        <v>Thiruvananthapuram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2787</v>
      </c>
      <c r="O2593" s="2">
        <v>55</v>
      </c>
      <c r="P2593" s="8">
        <f t="shared" si="202"/>
        <v>2842</v>
      </c>
      <c r="Q2593" s="8">
        <f t="shared" si="203"/>
        <v>106</v>
      </c>
      <c r="R2593" s="2" t="s">
        <v>50</v>
      </c>
      <c r="S2593" s="24">
        <f t="shared" si="204"/>
        <v>0.02</v>
      </c>
    </row>
    <row r="2594" spans="1:19" x14ac:dyDescent="0.25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>VLOOKUP(F2594,'Customer Info'!$A:$B,2,0)</f>
        <v>Steven</v>
      </c>
      <c r="H2594" s="6" t="str">
        <f>VLOOKUP(F2594,'Customer Info'!$A$1:$C$501,3,0)</f>
        <v>Cartwright</v>
      </c>
      <c r="I2594" s="6" t="str">
        <f>VLOOKUP(F2594,Customer,5,0)</f>
        <v>Newcastle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1712</v>
      </c>
      <c r="O2594" s="2">
        <v>68</v>
      </c>
      <c r="P2594" s="8">
        <f t="shared" si="202"/>
        <v>1780</v>
      </c>
      <c r="Q2594" s="8">
        <f t="shared" si="203"/>
        <v>120</v>
      </c>
      <c r="R2594" s="2" t="s">
        <v>28</v>
      </c>
      <c r="S2594" s="24">
        <f t="shared" si="204"/>
        <v>0.02</v>
      </c>
    </row>
    <row r="2595" spans="1:19" x14ac:dyDescent="0.25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>VLOOKUP(F2595,'Customer Info'!$A:$B,2,0)</f>
        <v>Kristina</v>
      </c>
      <c r="H2595" s="6" t="str">
        <f>VLOOKUP(F2595,'Customer Info'!$A$1:$C$501,3,0)</f>
        <v>Nunn</v>
      </c>
      <c r="I2595" s="6" t="str">
        <f>VLOOKUP(F2595,Customer,5,0)</f>
        <v>Sydney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1721</v>
      </c>
      <c r="O2595" s="2">
        <v>79</v>
      </c>
      <c r="P2595" s="8">
        <f t="shared" si="202"/>
        <v>1800</v>
      </c>
      <c r="Q2595" s="8">
        <f t="shared" si="203"/>
        <v>81</v>
      </c>
      <c r="R2595" s="2" t="s">
        <v>28</v>
      </c>
      <c r="S2595" s="24">
        <f t="shared" si="204"/>
        <v>0.02</v>
      </c>
    </row>
    <row r="2596" spans="1:19" x14ac:dyDescent="0.25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>VLOOKUP(F2596,'Customer Info'!$A:$B,2,0)</f>
        <v>Roger</v>
      </c>
      <c r="H2596" s="6" t="str">
        <f>VLOOKUP(F2596,'Customer Info'!$A$1:$C$501,3,0)</f>
        <v>Barcio</v>
      </c>
      <c r="I2596" s="6" t="str">
        <f>VLOOKUP(F2596,Customer,5,0)</f>
        <v>Celle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220</v>
      </c>
      <c r="O2596" s="2">
        <v>21</v>
      </c>
      <c r="P2596" s="8">
        <f t="shared" si="202"/>
        <v>241</v>
      </c>
      <c r="Q2596" s="8">
        <f t="shared" si="203"/>
        <v>14</v>
      </c>
      <c r="R2596" s="2" t="s">
        <v>28</v>
      </c>
      <c r="S2596" s="24">
        <f t="shared" si="204"/>
        <v>0.02</v>
      </c>
    </row>
    <row r="2597" spans="1:19" x14ac:dyDescent="0.25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>VLOOKUP(F2597,'Customer Info'!$A:$B,2,0)</f>
        <v>Bill</v>
      </c>
      <c r="H2597" s="6" t="str">
        <f>VLOOKUP(F2597,'Customer Info'!$A$1:$C$501,3,0)</f>
        <v>Eplett</v>
      </c>
      <c r="I2597" s="6" t="str">
        <f>VLOOKUP(F2597,Customer,5,0)</f>
        <v>Newcastle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6598</v>
      </c>
      <c r="O2597" s="2">
        <v>36</v>
      </c>
      <c r="P2597" s="8">
        <f t="shared" si="202"/>
        <v>6634</v>
      </c>
      <c r="Q2597" s="8">
        <f t="shared" si="203"/>
        <v>252</v>
      </c>
      <c r="R2597" s="2" t="s">
        <v>26</v>
      </c>
      <c r="S2597" s="24">
        <f t="shared" si="204"/>
        <v>0.05</v>
      </c>
    </row>
    <row r="2598" spans="1:19" x14ac:dyDescent="0.25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>VLOOKUP(F2598,'Customer Info'!$A:$B,2,0)</f>
        <v>Laurel</v>
      </c>
      <c r="H2598" s="6" t="str">
        <f>VLOOKUP(F2598,'Customer Info'!$A$1:$C$501,3,0)</f>
        <v>Beltran</v>
      </c>
      <c r="I2598" s="6" t="str">
        <f>VLOOKUP(F2598,Customer,5,0)</f>
        <v>Bonn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5204</v>
      </c>
      <c r="O2598" s="2">
        <v>55</v>
      </c>
      <c r="P2598" s="8">
        <f t="shared" si="202"/>
        <v>5259</v>
      </c>
      <c r="Q2598" s="8">
        <f t="shared" si="203"/>
        <v>478</v>
      </c>
      <c r="R2598" s="2" t="s">
        <v>26</v>
      </c>
      <c r="S2598" s="24">
        <f t="shared" si="204"/>
        <v>0.05</v>
      </c>
    </row>
    <row r="2599" spans="1:19" x14ac:dyDescent="0.25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>VLOOKUP(F2599,'Customer Info'!$A:$B,2,0)</f>
        <v>Pamela</v>
      </c>
      <c r="H2599" s="6" t="str">
        <f>VLOOKUP(F2599,'Customer Info'!$A$1:$C$501,3,0)</f>
        <v>Coakley</v>
      </c>
      <c r="I2599" s="6" t="str">
        <f>VLOOKUP(F2599,Customer,5,0)</f>
        <v>Jakarta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25299</v>
      </c>
      <c r="O2599" s="2">
        <v>58</v>
      </c>
      <c r="P2599" s="8">
        <f t="shared" si="202"/>
        <v>25357</v>
      </c>
      <c r="Q2599" s="8">
        <f t="shared" si="203"/>
        <v>1896</v>
      </c>
      <c r="R2599" s="2" t="s">
        <v>28</v>
      </c>
      <c r="S2599" s="24">
        <f t="shared" si="204"/>
        <v>7.0000000000000007E-2</v>
      </c>
    </row>
    <row r="2600" spans="1:19" x14ac:dyDescent="0.25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>VLOOKUP(F2600,'Customer Info'!$A:$B,2,0)</f>
        <v>Rachel</v>
      </c>
      <c r="H2600" s="6" t="str">
        <f>VLOOKUP(F2600,'Customer Info'!$A$1:$C$501,3,0)</f>
        <v>Payne</v>
      </c>
      <c r="I2600" s="6" t="str">
        <f>VLOOKUP(F2600,Customer,5,0)</f>
        <v>Mianyang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390</v>
      </c>
      <c r="O2600" s="2">
        <v>30</v>
      </c>
      <c r="P2600" s="8">
        <f t="shared" si="202"/>
        <v>420</v>
      </c>
      <c r="Q2600" s="8">
        <f t="shared" si="203"/>
        <v>24</v>
      </c>
      <c r="R2600" s="2" t="s">
        <v>50</v>
      </c>
      <c r="S2600" s="24">
        <f t="shared" si="204"/>
        <v>0.02</v>
      </c>
    </row>
    <row r="2601" spans="1:19" x14ac:dyDescent="0.25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>VLOOKUP(F2601,'Customer Info'!$A:$B,2,0)</f>
        <v>Brooke</v>
      </c>
      <c r="H2601" s="6" t="str">
        <f>VLOOKUP(F2601,'Customer Info'!$A$1:$C$501,3,0)</f>
        <v>Gillingham</v>
      </c>
      <c r="I2601" s="6" t="str">
        <f>VLOOKUP(F2601,Customer,5,0)</f>
        <v>Sunbury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21637</v>
      </c>
      <c r="O2601" s="2">
        <v>36</v>
      </c>
      <c r="P2601" s="8">
        <f t="shared" si="202"/>
        <v>21673</v>
      </c>
      <c r="Q2601" s="8">
        <f t="shared" si="203"/>
        <v>1414</v>
      </c>
      <c r="R2601" s="2" t="s">
        <v>50</v>
      </c>
      <c r="S2601" s="24">
        <f t="shared" si="204"/>
        <v>0.05</v>
      </c>
    </row>
    <row r="2602" spans="1:19" x14ac:dyDescent="0.25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>VLOOKUP(F2602,'Customer Info'!$A:$B,2,0)</f>
        <v>Lisa</v>
      </c>
      <c r="H2602" s="6" t="str">
        <f>VLOOKUP(F2602,'Customer Info'!$A$1:$C$501,3,0)</f>
        <v>Ryan</v>
      </c>
      <c r="I2602" s="6" t="str">
        <f>VLOOKUP(F2602,Customer,5,0)</f>
        <v>Townsville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9444</v>
      </c>
      <c r="O2602" s="2">
        <v>88</v>
      </c>
      <c r="P2602" s="8">
        <f t="shared" si="202"/>
        <v>9532</v>
      </c>
      <c r="Q2602" s="8">
        <f t="shared" si="203"/>
        <v>1194</v>
      </c>
      <c r="R2602" s="2" t="s">
        <v>50</v>
      </c>
      <c r="S2602" s="24">
        <f t="shared" si="204"/>
        <v>0.05</v>
      </c>
    </row>
    <row r="2603" spans="1:19" x14ac:dyDescent="0.25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>VLOOKUP(F2603,'Customer Info'!$A:$B,2,0)</f>
        <v>Evan</v>
      </c>
      <c r="H2603" s="6" t="str">
        <f>VLOOKUP(F2603,'Customer Info'!$A$1:$C$501,3,0)</f>
        <v>Bailliet</v>
      </c>
      <c r="I2603" s="6" t="str">
        <f>VLOOKUP(F2603,Customer,5,0)</f>
        <v>Sydney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6034</v>
      </c>
      <c r="O2603" s="2">
        <v>62</v>
      </c>
      <c r="P2603" s="8">
        <f t="shared" si="202"/>
        <v>6096</v>
      </c>
      <c r="Q2603" s="8">
        <f t="shared" si="203"/>
        <v>384</v>
      </c>
      <c r="R2603" s="2" t="s">
        <v>28</v>
      </c>
      <c r="S2603" s="24">
        <f t="shared" si="204"/>
        <v>0.05</v>
      </c>
    </row>
    <row r="2604" spans="1:19" x14ac:dyDescent="0.25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>VLOOKUP(F2604,'Customer Info'!$A:$B,2,0)</f>
        <v>Clay</v>
      </c>
      <c r="H2604" s="6" t="str">
        <f>VLOOKUP(F2604,'Customer Info'!$A$1:$C$501,3,0)</f>
        <v>Cheatham</v>
      </c>
      <c r="I2604" s="6" t="str">
        <f>VLOOKUP(F2604,Customer,5,0)</f>
        <v>Freiburg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6680</v>
      </c>
      <c r="O2604" s="2">
        <v>33</v>
      </c>
      <c r="P2604" s="8">
        <f t="shared" si="202"/>
        <v>6713</v>
      </c>
      <c r="Q2604" s="8">
        <f t="shared" si="203"/>
        <v>312</v>
      </c>
      <c r="R2604" s="2" t="s">
        <v>28</v>
      </c>
      <c r="S2604" s="24">
        <f t="shared" si="204"/>
        <v>0.05</v>
      </c>
    </row>
    <row r="2605" spans="1:19" x14ac:dyDescent="0.25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>VLOOKUP(F2605,'Customer Info'!$A:$B,2,0)</f>
        <v>John</v>
      </c>
      <c r="H2605" s="6" t="str">
        <f>VLOOKUP(F2605,'Customer Info'!$A$1:$C$501,3,0)</f>
        <v>Huston</v>
      </c>
      <c r="I2605" s="6" t="str">
        <f>VLOOKUP(F2605,Customer,5,0)</f>
        <v>Jena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8686</v>
      </c>
      <c r="O2605" s="2">
        <v>51</v>
      </c>
      <c r="P2605" s="8">
        <f t="shared" si="202"/>
        <v>8737</v>
      </c>
      <c r="Q2605" s="8">
        <f t="shared" si="203"/>
        <v>651</v>
      </c>
      <c r="R2605" s="2" t="s">
        <v>50</v>
      </c>
      <c r="S2605" s="24">
        <f t="shared" si="204"/>
        <v>0.05</v>
      </c>
    </row>
    <row r="2606" spans="1:19" x14ac:dyDescent="0.25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>VLOOKUP(F2606,'Customer Info'!$A:$B,2,0)</f>
        <v>Brooke</v>
      </c>
      <c r="H2606" s="6" t="str">
        <f>VLOOKUP(F2606,'Customer Info'!$A$1:$C$501,3,0)</f>
        <v>Gillingham</v>
      </c>
      <c r="I2606" s="6" t="str">
        <f>VLOOKUP(F2606,Customer,5,0)</f>
        <v>Geraldton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244</v>
      </c>
      <c r="O2606" s="2">
        <v>10</v>
      </c>
      <c r="P2606" s="8">
        <f t="shared" si="202"/>
        <v>254</v>
      </c>
      <c r="Q2606" s="8">
        <f t="shared" si="203"/>
        <v>16</v>
      </c>
      <c r="R2606" s="2" t="s">
        <v>28</v>
      </c>
      <c r="S2606" s="24">
        <f t="shared" si="204"/>
        <v>0.02</v>
      </c>
    </row>
    <row r="2607" spans="1:19" x14ac:dyDescent="0.25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>VLOOKUP(F2607,'Customer Info'!$A:$B,2,0)</f>
        <v>Neil</v>
      </c>
      <c r="H2607" s="6" t="str">
        <f>VLOOKUP(F2607,'Customer Info'!$A$1:$C$501,3,0)</f>
        <v>Knudson</v>
      </c>
      <c r="I2607" s="6" t="str">
        <f>VLOOKUP(F2607,Customer,5,0)</f>
        <v>Malang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6368</v>
      </c>
      <c r="O2607" s="2">
        <v>63</v>
      </c>
      <c r="P2607" s="8">
        <f t="shared" si="202"/>
        <v>6431</v>
      </c>
      <c r="Q2607" s="8">
        <f t="shared" si="203"/>
        <v>474</v>
      </c>
      <c r="R2607" s="2" t="s">
        <v>50</v>
      </c>
      <c r="S2607" s="24">
        <f t="shared" si="204"/>
        <v>0.05</v>
      </c>
    </row>
    <row r="2608" spans="1:19" x14ac:dyDescent="0.25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>VLOOKUP(F2608,'Customer Info'!$A:$B,2,0)</f>
        <v>Laurel</v>
      </c>
      <c r="H2608" s="6" t="str">
        <f>VLOOKUP(F2608,'Customer Info'!$A$1:$C$501,3,0)</f>
        <v>Beltran</v>
      </c>
      <c r="I2608" s="6" t="str">
        <f>VLOOKUP(F2608,Customer,5,0)</f>
        <v>Melbourne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7361</v>
      </c>
      <c r="O2608" s="2">
        <v>38</v>
      </c>
      <c r="P2608" s="8">
        <f t="shared" si="202"/>
        <v>7399</v>
      </c>
      <c r="Q2608" s="8">
        <f t="shared" si="203"/>
        <v>474</v>
      </c>
      <c r="R2608" s="2" t="s">
        <v>28</v>
      </c>
      <c r="S2608" s="24">
        <f t="shared" si="204"/>
        <v>0.05</v>
      </c>
    </row>
    <row r="2609" spans="1:19" x14ac:dyDescent="0.25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>VLOOKUP(F2609,'Customer Info'!$A:$B,2,0)</f>
        <v>Adrian</v>
      </c>
      <c r="H2609" s="6" t="str">
        <f>VLOOKUP(F2609,'Customer Info'!$A$1:$C$501,3,0)</f>
        <v>Barton</v>
      </c>
      <c r="I2609" s="6" t="str">
        <f>VLOOKUP(F2609,Customer,5,0)</f>
        <v>Wetzlar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19530</v>
      </c>
      <c r="O2609" s="2">
        <v>34</v>
      </c>
      <c r="P2609" s="8">
        <f t="shared" si="202"/>
        <v>19564</v>
      </c>
      <c r="Q2609" s="8">
        <f t="shared" si="203"/>
        <v>1631</v>
      </c>
      <c r="R2609" s="2" t="s">
        <v>28</v>
      </c>
      <c r="S2609" s="24">
        <f t="shared" si="204"/>
        <v>0.05</v>
      </c>
    </row>
    <row r="2610" spans="1:19" x14ac:dyDescent="0.25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>VLOOKUP(F2610,'Customer Info'!$A:$B,2,0)</f>
        <v>Thomas</v>
      </c>
      <c r="H2610" s="6" t="str">
        <f>VLOOKUP(F2610,'Customer Info'!$A$1:$C$501,3,0)</f>
        <v>Boland</v>
      </c>
      <c r="I2610" s="6" t="str">
        <f>VLOOKUP(F2610,Customer,5,0)</f>
        <v>Newcastle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7620</v>
      </c>
      <c r="O2610" s="2">
        <v>80</v>
      </c>
      <c r="P2610" s="8">
        <f t="shared" si="202"/>
        <v>7700</v>
      </c>
      <c r="Q2610" s="8">
        <f t="shared" si="203"/>
        <v>429</v>
      </c>
      <c r="R2610" s="2" t="s">
        <v>28</v>
      </c>
      <c r="S2610" s="24">
        <f t="shared" si="204"/>
        <v>0.05</v>
      </c>
    </row>
    <row r="2611" spans="1:19" x14ac:dyDescent="0.25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>VLOOKUP(F2611,'Customer Info'!$A:$B,2,0)</f>
        <v>Emily</v>
      </c>
      <c r="H2611" s="6" t="str">
        <f>VLOOKUP(F2611,'Customer Info'!$A$1:$C$501,3,0)</f>
        <v>Grady</v>
      </c>
      <c r="I2611" s="6" t="str">
        <f>VLOOKUP(F2611,Customer,5,0)</f>
        <v>Pimpri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4836</v>
      </c>
      <c r="O2611" s="2">
        <v>45</v>
      </c>
      <c r="P2611" s="8">
        <f t="shared" si="202"/>
        <v>4881</v>
      </c>
      <c r="Q2611" s="8">
        <f t="shared" si="203"/>
        <v>272</v>
      </c>
      <c r="R2611" s="2" t="s">
        <v>28</v>
      </c>
      <c r="S2611" s="24">
        <f t="shared" si="204"/>
        <v>0.02</v>
      </c>
    </row>
    <row r="2612" spans="1:19" x14ac:dyDescent="0.25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>VLOOKUP(F2612,'Customer Info'!$A:$B,2,0)</f>
        <v>Brenda</v>
      </c>
      <c r="H2612" s="6" t="str">
        <f>VLOOKUP(F2612,'Customer Info'!$A$1:$C$501,3,0)</f>
        <v>Bowman</v>
      </c>
      <c r="I2612" s="6" t="str">
        <f>VLOOKUP(F2612,Customer,5,0)</f>
        <v>Perth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19833</v>
      </c>
      <c r="O2612" s="2">
        <v>64</v>
      </c>
      <c r="P2612" s="8">
        <f t="shared" si="202"/>
        <v>19897</v>
      </c>
      <c r="Q2612" s="8">
        <f t="shared" si="203"/>
        <v>2004</v>
      </c>
      <c r="R2612" s="2" t="s">
        <v>28</v>
      </c>
      <c r="S2612" s="24">
        <f t="shared" si="204"/>
        <v>0.05</v>
      </c>
    </row>
    <row r="2613" spans="1:19" x14ac:dyDescent="0.25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>VLOOKUP(F2613,'Customer Info'!$A:$B,2,0)</f>
        <v>Charlotte</v>
      </c>
      <c r="H2613" s="6" t="str">
        <f>VLOOKUP(F2613,'Customer Info'!$A$1:$C$501,3,0)</f>
        <v>Melton</v>
      </c>
      <c r="I2613" s="6" t="str">
        <f>VLOOKUP(F2613,Customer,5,0)</f>
        <v>Canberra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296</v>
      </c>
      <c r="O2613" s="2">
        <v>30</v>
      </c>
      <c r="P2613" s="8">
        <f t="shared" si="202"/>
        <v>326</v>
      </c>
      <c r="Q2613" s="8">
        <f t="shared" si="203"/>
        <v>24</v>
      </c>
      <c r="R2613" s="2" t="s">
        <v>28</v>
      </c>
      <c r="S2613" s="24">
        <f t="shared" si="204"/>
        <v>0.02</v>
      </c>
    </row>
    <row r="2614" spans="1:19" x14ac:dyDescent="0.25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>VLOOKUP(F2614,'Customer Info'!$A:$B,2,0)</f>
        <v>Toby</v>
      </c>
      <c r="H2614" s="6" t="str">
        <f>VLOOKUP(F2614,'Customer Info'!$A$1:$C$501,3,0)</f>
        <v>Braunhardt</v>
      </c>
      <c r="I2614" s="6" t="str">
        <f>VLOOKUP(F2614,Customer,5,0)</f>
        <v>Jiangyan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2996</v>
      </c>
      <c r="O2614" s="2">
        <v>96</v>
      </c>
      <c r="P2614" s="8">
        <f t="shared" si="202"/>
        <v>3092</v>
      </c>
      <c r="Q2614" s="8">
        <f t="shared" si="203"/>
        <v>326</v>
      </c>
      <c r="R2614" s="2" t="s">
        <v>50</v>
      </c>
      <c r="S2614" s="24">
        <f t="shared" si="204"/>
        <v>0.02</v>
      </c>
    </row>
    <row r="2615" spans="1:19" x14ac:dyDescent="0.25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>VLOOKUP(F2615,'Customer Info'!$A:$B,2,0)</f>
        <v>Kelly</v>
      </c>
      <c r="H2615" s="6" t="str">
        <f>VLOOKUP(F2615,'Customer Info'!$A$1:$C$501,3,0)</f>
        <v>Collister</v>
      </c>
      <c r="I2615" s="6" t="str">
        <f>VLOOKUP(F2615,Customer,5,0)</f>
        <v>Sydney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23805</v>
      </c>
      <c r="O2615" s="2">
        <v>79</v>
      </c>
      <c r="P2615" s="8">
        <f t="shared" si="202"/>
        <v>23884</v>
      </c>
      <c r="Q2615" s="8">
        <f t="shared" si="203"/>
        <v>1965</v>
      </c>
      <c r="R2615" s="2" t="s">
        <v>50</v>
      </c>
      <c r="S2615" s="24">
        <f t="shared" si="204"/>
        <v>0.05</v>
      </c>
    </row>
    <row r="2616" spans="1:19" x14ac:dyDescent="0.25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>VLOOKUP(F2616,'Customer Info'!$A:$B,2,0)</f>
        <v>Damala</v>
      </c>
      <c r="H2616" s="6" t="str">
        <f>VLOOKUP(F2616,'Customer Info'!$A$1:$C$501,3,0)</f>
        <v>Kotsonis</v>
      </c>
      <c r="I2616" s="6" t="str">
        <f>VLOOKUP(F2616,Customer,5,0)</f>
        <v>Berlin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6448</v>
      </c>
      <c r="O2616" s="2">
        <v>29</v>
      </c>
      <c r="P2616" s="8">
        <f t="shared" si="202"/>
        <v>6477</v>
      </c>
      <c r="Q2616" s="8">
        <f t="shared" si="203"/>
        <v>480</v>
      </c>
      <c r="R2616" s="2" t="s">
        <v>26</v>
      </c>
      <c r="S2616" s="24">
        <f t="shared" si="204"/>
        <v>0.05</v>
      </c>
    </row>
    <row r="2617" spans="1:19" x14ac:dyDescent="0.25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>VLOOKUP(F2617,'Customer Info'!$A:$B,2,0)</f>
        <v>Bill</v>
      </c>
      <c r="H2617" s="6" t="str">
        <f>VLOOKUP(F2617,'Customer Info'!$A$1:$C$501,3,0)</f>
        <v>Stewart</v>
      </c>
      <c r="I2617" s="6" t="str">
        <f>VLOOKUP(F2617,Customer,5,0)</f>
        <v>Wenling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4192</v>
      </c>
      <c r="O2617" s="2">
        <v>31</v>
      </c>
      <c r="P2617" s="8">
        <f t="shared" si="202"/>
        <v>4223</v>
      </c>
      <c r="Q2617" s="8">
        <f t="shared" si="203"/>
        <v>276</v>
      </c>
      <c r="R2617" s="2" t="s">
        <v>28</v>
      </c>
      <c r="S2617" s="24">
        <f t="shared" si="204"/>
        <v>0.02</v>
      </c>
    </row>
    <row r="2618" spans="1:19" x14ac:dyDescent="0.25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>VLOOKUP(F2618,'Customer Info'!$A:$B,2,0)</f>
        <v>Cyra</v>
      </c>
      <c r="H2618" s="6" t="str">
        <f>VLOOKUP(F2618,'Customer Info'!$A$1:$C$501,3,0)</f>
        <v>Reiten</v>
      </c>
      <c r="I2618" s="6" t="str">
        <f>VLOOKUP(F2618,Customer,5,0)</f>
        <v>Samarinda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32796</v>
      </c>
      <c r="O2618" s="2">
        <v>23</v>
      </c>
      <c r="P2618" s="8">
        <f t="shared" si="202"/>
        <v>32819</v>
      </c>
      <c r="Q2618" s="8">
        <f t="shared" si="203"/>
        <v>2704</v>
      </c>
      <c r="R2618" s="2" t="s">
        <v>28</v>
      </c>
      <c r="S2618" s="24">
        <f t="shared" si="204"/>
        <v>7.0000000000000007E-2</v>
      </c>
    </row>
    <row r="2619" spans="1:19" x14ac:dyDescent="0.25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>VLOOKUP(F2619,'Customer Info'!$A:$B,2,0)</f>
        <v>Alex</v>
      </c>
      <c r="H2619" s="6" t="str">
        <f>VLOOKUP(F2619,'Customer Info'!$A$1:$C$501,3,0)</f>
        <v>Avila</v>
      </c>
      <c r="I2619" s="6" t="str">
        <f>VLOOKUP(F2619,Customer,5,0)</f>
        <v>Agra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52888</v>
      </c>
      <c r="O2619" s="2">
        <v>61</v>
      </c>
      <c r="P2619" s="8">
        <f t="shared" si="202"/>
        <v>52949</v>
      </c>
      <c r="Q2619" s="8">
        <f t="shared" si="203"/>
        <v>3905</v>
      </c>
      <c r="R2619" s="2" t="s">
        <v>28</v>
      </c>
      <c r="S2619" s="24">
        <f t="shared" si="204"/>
        <v>0.09</v>
      </c>
    </row>
    <row r="2620" spans="1:19" x14ac:dyDescent="0.25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>VLOOKUP(F2620,'Customer Info'!$A:$B,2,0)</f>
        <v>Jas</v>
      </c>
      <c r="H2620" s="6" t="str">
        <f>VLOOKUP(F2620,'Customer Info'!$A$1:$C$501,3,0)</f>
        <v>O'Carroll</v>
      </c>
      <c r="I2620" s="6" t="str">
        <f>VLOOKUP(F2620,Customer,5,0)</f>
        <v>Essen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11764</v>
      </c>
      <c r="O2620" s="2">
        <v>93</v>
      </c>
      <c r="P2620" s="8">
        <f t="shared" si="202"/>
        <v>11857</v>
      </c>
      <c r="Q2620" s="8">
        <f t="shared" si="203"/>
        <v>338</v>
      </c>
      <c r="R2620" s="2" t="s">
        <v>28</v>
      </c>
      <c r="S2620" s="24">
        <f t="shared" si="204"/>
        <v>0.05</v>
      </c>
    </row>
    <row r="2621" spans="1:19" x14ac:dyDescent="0.25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>VLOOKUP(F2621,'Customer Info'!$A:$B,2,0)</f>
        <v>Brad</v>
      </c>
      <c r="H2621" s="6" t="str">
        <f>VLOOKUP(F2621,'Customer Info'!$A$1:$C$501,3,0)</f>
        <v>Thomas</v>
      </c>
      <c r="I2621" s="6" t="str">
        <f>VLOOKUP(F2621,Customer,5,0)</f>
        <v>Udaipur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1754</v>
      </c>
      <c r="O2621" s="2">
        <v>62</v>
      </c>
      <c r="P2621" s="8">
        <f t="shared" si="202"/>
        <v>1816</v>
      </c>
      <c r="Q2621" s="8">
        <f t="shared" si="203"/>
        <v>178</v>
      </c>
      <c r="R2621" s="2" t="s">
        <v>28</v>
      </c>
      <c r="S2621" s="24">
        <f t="shared" si="204"/>
        <v>0.02</v>
      </c>
    </row>
    <row r="2622" spans="1:19" x14ac:dyDescent="0.25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>VLOOKUP(F2622,'Customer Info'!$A:$B,2,0)</f>
        <v>Bill</v>
      </c>
      <c r="H2622" s="6" t="str">
        <f>VLOOKUP(F2622,'Customer Info'!$A$1:$C$501,3,0)</f>
        <v>Donatelli</v>
      </c>
      <c r="I2622" s="6" t="str">
        <f>VLOOKUP(F2622,Customer,5,0)</f>
        <v>Kamarhati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7315</v>
      </c>
      <c r="O2622" s="2">
        <v>39</v>
      </c>
      <c r="P2622" s="8">
        <f t="shared" si="202"/>
        <v>7354</v>
      </c>
      <c r="Q2622" s="8">
        <f t="shared" si="203"/>
        <v>348</v>
      </c>
      <c r="R2622" s="2" t="s">
        <v>56</v>
      </c>
      <c r="S2622" s="24">
        <f t="shared" si="204"/>
        <v>0.05</v>
      </c>
    </row>
    <row r="2623" spans="1:19" x14ac:dyDescent="0.25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>VLOOKUP(F2623,'Customer Info'!$A:$B,2,0)</f>
        <v>Toby</v>
      </c>
      <c r="H2623" s="6" t="str">
        <f>VLOOKUP(F2623,'Customer Info'!$A$1:$C$501,3,0)</f>
        <v>Gnade</v>
      </c>
      <c r="I2623" s="6" t="str">
        <f>VLOOKUP(F2623,Customer,5,0)</f>
        <v>Bhopal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189</v>
      </c>
      <c r="O2623" s="2">
        <v>10</v>
      </c>
      <c r="P2623" s="8">
        <f t="shared" si="202"/>
        <v>199</v>
      </c>
      <c r="Q2623" s="8">
        <f t="shared" si="203"/>
        <v>15</v>
      </c>
      <c r="R2623" s="2" t="s">
        <v>28</v>
      </c>
      <c r="S2623" s="24">
        <f t="shared" si="204"/>
        <v>0.02</v>
      </c>
    </row>
    <row r="2624" spans="1:19" x14ac:dyDescent="0.25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>VLOOKUP(F2624,'Customer Info'!$A:$B,2,0)</f>
        <v>Becky</v>
      </c>
      <c r="H2624" s="6" t="str">
        <f>VLOOKUP(F2624,'Customer Info'!$A$1:$C$501,3,0)</f>
        <v>Pak</v>
      </c>
      <c r="I2624" s="6" t="str">
        <f>VLOOKUP(F2624,Customer,5,0)</f>
        <v>Mandurah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573</v>
      </c>
      <c r="O2624" s="2">
        <v>30</v>
      </c>
      <c r="P2624" s="8">
        <f t="shared" si="202"/>
        <v>603</v>
      </c>
      <c r="Q2624" s="8">
        <f t="shared" si="203"/>
        <v>63</v>
      </c>
      <c r="R2624" s="2" t="s">
        <v>28</v>
      </c>
      <c r="S2624" s="24">
        <f t="shared" si="204"/>
        <v>0.02</v>
      </c>
    </row>
    <row r="2625" spans="1:19" x14ac:dyDescent="0.25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>VLOOKUP(F2625,'Customer Info'!$A:$B,2,0)</f>
        <v>Christy</v>
      </c>
      <c r="H2625" s="6" t="str">
        <f>VLOOKUP(F2625,'Customer Info'!$A$1:$C$501,3,0)</f>
        <v>Brittain</v>
      </c>
      <c r="I2625" s="6" t="str">
        <f>VLOOKUP(F2625,Customer,5,0)</f>
        <v>Depok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5080</v>
      </c>
      <c r="O2625" s="2">
        <v>73</v>
      </c>
      <c r="P2625" s="8">
        <f t="shared" si="202"/>
        <v>5153</v>
      </c>
      <c r="Q2625" s="8">
        <f t="shared" si="203"/>
        <v>286</v>
      </c>
      <c r="R2625" s="2" t="s">
        <v>28</v>
      </c>
      <c r="S2625" s="24">
        <f t="shared" si="204"/>
        <v>0.05</v>
      </c>
    </row>
    <row r="2626" spans="1:19" x14ac:dyDescent="0.25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>VLOOKUP(F2626,'Customer Info'!$A:$B,2,0)</f>
        <v>Thea</v>
      </c>
      <c r="H2626" s="6" t="str">
        <f>VLOOKUP(F2626,'Customer Info'!$A$1:$C$501,3,0)</f>
        <v>Hendricks</v>
      </c>
      <c r="I2626" s="6" t="str">
        <f>VLOOKUP(F2626,Customer,5,0)</f>
        <v>Moers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284</v>
      </c>
      <c r="O2626" s="2">
        <v>30</v>
      </c>
      <c r="P2626" s="8">
        <f t="shared" si="202"/>
        <v>314</v>
      </c>
      <c r="Q2626" s="8">
        <f t="shared" si="203"/>
        <v>26</v>
      </c>
      <c r="R2626" s="2" t="s">
        <v>28</v>
      </c>
      <c r="S2626" s="24">
        <f t="shared" si="204"/>
        <v>0.02</v>
      </c>
    </row>
    <row r="2627" spans="1:19" x14ac:dyDescent="0.25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>VLOOKUP(F2627,'Customer Info'!$A:$B,2,0)</f>
        <v>Eileen</v>
      </c>
      <c r="H2627" s="6" t="str">
        <f>VLOOKUP(F2627,'Customer Info'!$A$1:$C$501,3,0)</f>
        <v>Kiefer</v>
      </c>
      <c r="I2627" s="6" t="str">
        <f>VLOOKUP(F2627,Customer,5,0)</f>
        <v>Cologne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40995</v>
      </c>
      <c r="O2627" s="2">
        <v>50</v>
      </c>
      <c r="P2627" s="8">
        <f t="shared" si="202"/>
        <v>41045</v>
      </c>
      <c r="Q2627" s="8">
        <f t="shared" si="203"/>
        <v>3380</v>
      </c>
      <c r="R2627" s="2" t="s">
        <v>28</v>
      </c>
      <c r="S2627" s="24">
        <f t="shared" si="204"/>
        <v>7.0000000000000007E-2</v>
      </c>
    </row>
    <row r="2628" spans="1:19" x14ac:dyDescent="0.25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>VLOOKUP(F2628,'Customer Info'!$A:$B,2,0)</f>
        <v>Michael</v>
      </c>
      <c r="H2628" s="6" t="str">
        <f>VLOOKUP(F2628,'Customer Info'!$A$1:$C$501,3,0)</f>
        <v>Moore</v>
      </c>
      <c r="I2628" s="6" t="str">
        <f>VLOOKUP(F2628,Customer,5,0)</f>
        <v>Vadodara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106050</v>
      </c>
      <c r="O2628" s="2">
        <v>71</v>
      </c>
      <c r="P2628" s="8">
        <f t="shared" si="202"/>
        <v>106121</v>
      </c>
      <c r="Q2628" s="8">
        <f t="shared" si="203"/>
        <v>6939</v>
      </c>
      <c r="R2628" s="2" t="s">
        <v>50</v>
      </c>
      <c r="S2628" s="24">
        <f t="shared" si="204"/>
        <v>0.12</v>
      </c>
    </row>
    <row r="2629" spans="1:19" x14ac:dyDescent="0.25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>VLOOKUP(F2629,'Customer Info'!$A:$B,2,0)</f>
        <v>Anna</v>
      </c>
      <c r="H2629" s="6" t="str">
        <f>VLOOKUP(F2629,'Customer Info'!$A$1:$C$501,3,0)</f>
        <v>Gayman</v>
      </c>
      <c r="I2629" s="6" t="str">
        <f>VLOOKUP(F2629,Customer,5,0)</f>
        <v>Surat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5686</v>
      </c>
      <c r="O2629" s="2">
        <v>75</v>
      </c>
      <c r="P2629" s="8">
        <f t="shared" si="202"/>
        <v>5761</v>
      </c>
      <c r="Q2629" s="8">
        <f t="shared" si="203"/>
        <v>216</v>
      </c>
      <c r="R2629" s="2" t="s">
        <v>50</v>
      </c>
      <c r="S2629" s="24">
        <f t="shared" si="204"/>
        <v>0.05</v>
      </c>
    </row>
    <row r="2630" spans="1:19" x14ac:dyDescent="0.25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>VLOOKUP(F2630,'Customer Info'!$A:$B,2,0)</f>
        <v>Sanjit</v>
      </c>
      <c r="H2630" s="6" t="str">
        <f>VLOOKUP(F2630,'Customer Info'!$A$1:$C$501,3,0)</f>
        <v>Chand</v>
      </c>
      <c r="I2630" s="6" t="str">
        <f>VLOOKUP(F2630,Customer,5,0)</f>
        <v>Thiruvananthapuram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10864</v>
      </c>
      <c r="O2630" s="2">
        <v>35</v>
      </c>
      <c r="P2630" s="8">
        <f t="shared" si="202"/>
        <v>10899</v>
      </c>
      <c r="Q2630" s="8">
        <f t="shared" si="203"/>
        <v>704</v>
      </c>
      <c r="R2630" s="2" t="s">
        <v>28</v>
      </c>
      <c r="S2630" s="24">
        <f t="shared" si="204"/>
        <v>0.05</v>
      </c>
    </row>
    <row r="2631" spans="1:19" x14ac:dyDescent="0.25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>VLOOKUP(F2631,'Customer Info'!$A:$B,2,0)</f>
        <v>Tamara</v>
      </c>
      <c r="H2631" s="6" t="str">
        <f>VLOOKUP(F2631,'Customer Info'!$A$1:$C$501,3,0)</f>
        <v>Chand</v>
      </c>
      <c r="I2631" s="6" t="str">
        <f>VLOOKUP(F2631,Customer,5,0)</f>
        <v>Yogyakarta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202</v>
      </c>
      <c r="O2631" s="2">
        <v>10</v>
      </c>
      <c r="P2631" s="8">
        <f t="shared" si="202"/>
        <v>212</v>
      </c>
      <c r="Q2631" s="8">
        <f t="shared" si="203"/>
        <v>6</v>
      </c>
      <c r="R2631" s="2" t="s">
        <v>50</v>
      </c>
      <c r="S2631" s="24">
        <f t="shared" si="204"/>
        <v>0.02</v>
      </c>
    </row>
    <row r="2632" spans="1:19" x14ac:dyDescent="0.25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>VLOOKUP(F2632,'Customer Info'!$A:$B,2,0)</f>
        <v>Adam</v>
      </c>
      <c r="H2632" s="6" t="str">
        <f>VLOOKUP(F2632,'Customer Info'!$A$1:$C$501,3,0)</f>
        <v>Bellavance</v>
      </c>
      <c r="I2632" s="6" t="str">
        <f>VLOOKUP(F2632,Customer,5,0)</f>
        <v>Kwinana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5577</v>
      </c>
      <c r="O2632" s="2">
        <v>51</v>
      </c>
      <c r="P2632" s="8">
        <f t="shared" si="202"/>
        <v>5628</v>
      </c>
      <c r="Q2632" s="8">
        <f t="shared" si="203"/>
        <v>312</v>
      </c>
      <c r="R2632" s="2" t="s">
        <v>50</v>
      </c>
      <c r="S2632" s="24">
        <f t="shared" si="204"/>
        <v>0.05</v>
      </c>
    </row>
    <row r="2633" spans="1:19" x14ac:dyDescent="0.25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>VLOOKUP(F2633,'Customer Info'!$A:$B,2,0)</f>
        <v>Brooke</v>
      </c>
      <c r="H2633" s="6" t="str">
        <f>VLOOKUP(F2633,'Customer Info'!$A$1:$C$501,3,0)</f>
        <v>Gillingham</v>
      </c>
      <c r="I2633" s="6" t="str">
        <f>VLOOKUP(F2633,Customer,5,0)</f>
        <v>Weimar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3508</v>
      </c>
      <c r="O2633" s="2">
        <v>46</v>
      </c>
      <c r="P2633" s="8">
        <f t="shared" si="202"/>
        <v>3554</v>
      </c>
      <c r="Q2633" s="8">
        <f t="shared" si="203"/>
        <v>356</v>
      </c>
      <c r="R2633" s="2" t="s">
        <v>28</v>
      </c>
      <c r="S2633" s="24">
        <f t="shared" si="204"/>
        <v>0.02</v>
      </c>
    </row>
    <row r="2634" spans="1:19" x14ac:dyDescent="0.25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>VLOOKUP(F2634,'Customer Info'!$A:$B,2,0)</f>
        <v>Lindsay</v>
      </c>
      <c r="H2634" s="6" t="str">
        <f>VLOOKUP(F2634,'Customer Info'!$A$1:$C$501,3,0)</f>
        <v>Castell</v>
      </c>
      <c r="I2634" s="6" t="str">
        <f>VLOOKUP(F2634,Customer,5,0)</f>
        <v>Depok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328</v>
      </c>
      <c r="O2634" s="2">
        <v>10</v>
      </c>
      <c r="P2634" s="8">
        <f t="shared" si="202"/>
        <v>338</v>
      </c>
      <c r="Q2634" s="8">
        <f t="shared" si="203"/>
        <v>12</v>
      </c>
      <c r="R2634" s="2" t="s">
        <v>50</v>
      </c>
      <c r="S2634" s="24">
        <f t="shared" si="204"/>
        <v>0.02</v>
      </c>
    </row>
    <row r="2635" spans="1:19" x14ac:dyDescent="0.25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>VLOOKUP(F2635,'Customer Info'!$A:$B,2,0)</f>
        <v>Maureen</v>
      </c>
      <c r="H2635" s="6" t="str">
        <f>VLOOKUP(F2635,'Customer Info'!$A$1:$C$501,3,0)</f>
        <v>Fritzler</v>
      </c>
      <c r="I2635" s="6" t="str">
        <f>VLOOKUP(F2635,Customer,5,0)</f>
        <v>BadenBaden</v>
      </c>
      <c r="J2635" s="2">
        <v>1637</v>
      </c>
      <c r="K2635" s="2">
        <v>1591</v>
      </c>
      <c r="L2635" s="2">
        <v>1</v>
      </c>
      <c r="M2635" s="7">
        <f t="shared" ref="M2635:M2698" si="205">K2635*L2635</f>
        <v>1591</v>
      </c>
      <c r="N2635" s="7">
        <f t="shared" ref="N2635:N2698" si="206">J2635*L2635</f>
        <v>1637</v>
      </c>
      <c r="O2635" s="2">
        <v>85</v>
      </c>
      <c r="P2635" s="8">
        <f t="shared" ref="P2635:P2698" si="207">N2635+O2635</f>
        <v>1722</v>
      </c>
      <c r="Q2635" s="8">
        <f t="shared" ref="Q2635:Q2698" si="208">N2635-M2635</f>
        <v>46</v>
      </c>
      <c r="R2635" s="2" t="s">
        <v>50</v>
      </c>
      <c r="S2635" s="24">
        <f t="shared" ref="S2635:S2698" si="209">VLOOKUP(N2635,$T$1:$U$7,2,TRUE)</f>
        <v>0.02</v>
      </c>
    </row>
    <row r="2636" spans="1:19" x14ac:dyDescent="0.25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>VLOOKUP(F2636,'Customer Info'!$A:$B,2,0)</f>
        <v>Thais</v>
      </c>
      <c r="H2636" s="6" t="str">
        <f>VLOOKUP(F2636,'Customer Info'!$A$1:$C$501,3,0)</f>
        <v>Sissman</v>
      </c>
      <c r="I2636" s="6" t="str">
        <f>VLOOKUP(F2636,Customer,5,0)</f>
        <v>Essen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8">
        <f t="shared" si="207"/>
        <v>15145</v>
      </c>
      <c r="Q2636" s="8">
        <f t="shared" si="208"/>
        <v>856</v>
      </c>
      <c r="R2636" s="2" t="s">
        <v>28</v>
      </c>
      <c r="S2636" s="24">
        <f t="shared" si="209"/>
        <v>0.05</v>
      </c>
    </row>
    <row r="2637" spans="1:19" x14ac:dyDescent="0.25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>VLOOKUP(F2637,'Customer Info'!$A:$B,2,0)</f>
        <v>Julia</v>
      </c>
      <c r="H2637" s="6" t="str">
        <f>VLOOKUP(F2637,'Customer Info'!$A$1:$C$501,3,0)</f>
        <v>Barnett</v>
      </c>
      <c r="I2637" s="6" t="str">
        <f>VLOOKUP(F2637,Customer,5,0)</f>
        <v>Zhuhai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8">
        <f t="shared" si="207"/>
        <v>8552</v>
      </c>
      <c r="Q2637" s="8">
        <f t="shared" si="208"/>
        <v>324</v>
      </c>
      <c r="R2637" s="2" t="s">
        <v>28</v>
      </c>
      <c r="S2637" s="24">
        <f t="shared" si="209"/>
        <v>0.05</v>
      </c>
    </row>
    <row r="2638" spans="1:19" x14ac:dyDescent="0.25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>VLOOKUP(F2638,'Customer Info'!$A:$B,2,0)</f>
        <v>Jack</v>
      </c>
      <c r="H2638" s="6" t="str">
        <f>VLOOKUP(F2638,'Customer Info'!$A$1:$C$501,3,0)</f>
        <v>Garza</v>
      </c>
      <c r="I2638" s="6" t="str">
        <f>VLOOKUP(F2638,Customer,5,0)</f>
        <v>Taiyuan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8">
        <f t="shared" si="207"/>
        <v>854</v>
      </c>
      <c r="Q2638" s="8">
        <f t="shared" si="208"/>
        <v>68</v>
      </c>
      <c r="R2638" s="2" t="s">
        <v>28</v>
      </c>
      <c r="S2638" s="24">
        <f t="shared" si="209"/>
        <v>0.02</v>
      </c>
    </row>
    <row r="2639" spans="1:19" x14ac:dyDescent="0.25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>VLOOKUP(F2639,'Customer Info'!$A:$B,2,0)</f>
        <v>Laurel</v>
      </c>
      <c r="H2639" s="6" t="str">
        <f>VLOOKUP(F2639,'Customer Info'!$A$1:$C$501,3,0)</f>
        <v>Workman</v>
      </c>
      <c r="I2639" s="6" t="str">
        <f>VLOOKUP(F2639,Customer,5,0)</f>
        <v>Dongguan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8">
        <f t="shared" si="207"/>
        <v>6766</v>
      </c>
      <c r="Q2639" s="8">
        <f t="shared" si="208"/>
        <v>378</v>
      </c>
      <c r="R2639" s="2" t="s">
        <v>50</v>
      </c>
      <c r="S2639" s="24">
        <f t="shared" si="209"/>
        <v>0.05</v>
      </c>
    </row>
    <row r="2640" spans="1:19" x14ac:dyDescent="0.25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>VLOOKUP(F2640,'Customer Info'!$A:$B,2,0)</f>
        <v>Charlotte</v>
      </c>
      <c r="H2640" s="6" t="str">
        <f>VLOOKUP(F2640,'Customer Info'!$A$1:$C$501,3,0)</f>
        <v>Melton</v>
      </c>
      <c r="I2640" s="6" t="str">
        <f>VLOOKUP(F2640,Customer,5,0)</f>
        <v>Canberra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1908</v>
      </c>
      <c r="O2640" s="2">
        <v>26</v>
      </c>
      <c r="P2640" s="8">
        <f t="shared" si="207"/>
        <v>1934</v>
      </c>
      <c r="Q2640" s="8">
        <f t="shared" si="208"/>
        <v>106</v>
      </c>
      <c r="R2640" s="2" t="s">
        <v>50</v>
      </c>
      <c r="S2640" s="24">
        <f t="shared" si="209"/>
        <v>0.02</v>
      </c>
    </row>
    <row r="2641" spans="1:19" x14ac:dyDescent="0.25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>VLOOKUP(F2641,'Customer Info'!$A:$B,2,0)</f>
        <v>Greg</v>
      </c>
      <c r="H2641" s="6" t="str">
        <f>VLOOKUP(F2641,'Customer Info'!$A$1:$C$501,3,0)</f>
        <v>Tran</v>
      </c>
      <c r="I2641" s="6" t="str">
        <f>VLOOKUP(F2641,Customer,5,0)</f>
        <v>Recklinghausen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278</v>
      </c>
      <c r="O2641" s="2">
        <v>30</v>
      </c>
      <c r="P2641" s="8">
        <f t="shared" si="207"/>
        <v>308</v>
      </c>
      <c r="Q2641" s="8">
        <f t="shared" si="208"/>
        <v>18</v>
      </c>
      <c r="R2641" s="2" t="s">
        <v>28</v>
      </c>
      <c r="S2641" s="24">
        <f t="shared" si="209"/>
        <v>0.02</v>
      </c>
    </row>
    <row r="2642" spans="1:19" x14ac:dyDescent="0.25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>VLOOKUP(F2642,'Customer Info'!$A:$B,2,0)</f>
        <v>John</v>
      </c>
      <c r="H2642" s="6" t="str">
        <f>VLOOKUP(F2642,'Customer Info'!$A$1:$C$501,3,0)</f>
        <v>Lucas</v>
      </c>
      <c r="I2642" s="6" t="str">
        <f>VLOOKUP(F2642,Customer,5,0)</f>
        <v>Beijing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6768</v>
      </c>
      <c r="O2642" s="2">
        <v>42</v>
      </c>
      <c r="P2642" s="8">
        <f t="shared" si="207"/>
        <v>6810</v>
      </c>
      <c r="Q2642" s="8">
        <f t="shared" si="208"/>
        <v>256</v>
      </c>
      <c r="R2642" s="2" t="s">
        <v>28</v>
      </c>
      <c r="S2642" s="24">
        <f t="shared" si="209"/>
        <v>0.05</v>
      </c>
    </row>
    <row r="2643" spans="1:19" x14ac:dyDescent="0.25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>VLOOKUP(F2643,'Customer Info'!$A:$B,2,0)</f>
        <v>Julia</v>
      </c>
      <c r="H2643" s="6" t="str">
        <f>VLOOKUP(F2643,'Customer Info'!$A$1:$C$501,3,0)</f>
        <v>Dunbar</v>
      </c>
      <c r="I2643" s="6" t="str">
        <f>VLOOKUP(F2643,Customer,5,0)</f>
        <v>Cologne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45948</v>
      </c>
      <c r="O2643" s="2">
        <v>73</v>
      </c>
      <c r="P2643" s="8">
        <f t="shared" si="207"/>
        <v>46021</v>
      </c>
      <c r="Q2643" s="8">
        <f t="shared" si="208"/>
        <v>3792</v>
      </c>
      <c r="R2643" s="2" t="s">
        <v>28</v>
      </c>
      <c r="S2643" s="24">
        <f t="shared" si="209"/>
        <v>7.0000000000000007E-2</v>
      </c>
    </row>
    <row r="2644" spans="1:19" x14ac:dyDescent="0.25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>VLOOKUP(F2644,'Customer Info'!$A:$B,2,0)</f>
        <v>Rachel</v>
      </c>
      <c r="H2644" s="6" t="str">
        <f>VLOOKUP(F2644,'Customer Info'!$A$1:$C$501,3,0)</f>
        <v>Payne</v>
      </c>
      <c r="I2644" s="6" t="str">
        <f>VLOOKUP(F2644,Customer,5,0)</f>
        <v>Mianyang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250</v>
      </c>
      <c r="O2644" s="2">
        <v>30</v>
      </c>
      <c r="P2644" s="8">
        <f t="shared" si="207"/>
        <v>280</v>
      </c>
      <c r="Q2644" s="8">
        <f t="shared" si="208"/>
        <v>24</v>
      </c>
      <c r="R2644" s="2" t="s">
        <v>28</v>
      </c>
      <c r="S2644" s="24">
        <f t="shared" si="209"/>
        <v>0.02</v>
      </c>
    </row>
    <row r="2645" spans="1:19" x14ac:dyDescent="0.25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>VLOOKUP(F2645,'Customer Info'!$A:$B,2,0)</f>
        <v>Claudia</v>
      </c>
      <c r="H2645" s="6" t="str">
        <f>VLOOKUP(F2645,'Customer Info'!$A$1:$C$501,3,0)</f>
        <v>Bergmann</v>
      </c>
      <c r="I2645" s="6" t="str">
        <f>VLOOKUP(F2645,Customer,5,0)</f>
        <v>Aschaffenburg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11305</v>
      </c>
      <c r="O2645" s="2">
        <v>80</v>
      </c>
      <c r="P2645" s="8">
        <f t="shared" si="207"/>
        <v>11385</v>
      </c>
      <c r="Q2645" s="8">
        <f t="shared" si="208"/>
        <v>630</v>
      </c>
      <c r="R2645" s="2" t="s">
        <v>26</v>
      </c>
      <c r="S2645" s="24">
        <f t="shared" si="209"/>
        <v>0.05</v>
      </c>
    </row>
    <row r="2646" spans="1:19" x14ac:dyDescent="0.25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>VLOOKUP(F2646,'Customer Info'!$A:$B,2,0)</f>
        <v>Julia</v>
      </c>
      <c r="H2646" s="6" t="str">
        <f>VLOOKUP(F2646,'Customer Info'!$A$1:$C$501,3,0)</f>
        <v>Barnett</v>
      </c>
      <c r="I2646" s="6" t="str">
        <f>VLOOKUP(F2646,Customer,5,0)</f>
        <v>Zhuhai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6476</v>
      </c>
      <c r="O2646" s="2">
        <v>40</v>
      </c>
      <c r="P2646" s="8">
        <f t="shared" si="207"/>
        <v>6516</v>
      </c>
      <c r="Q2646" s="8">
        <f t="shared" si="208"/>
        <v>708</v>
      </c>
      <c r="R2646" s="2" t="s">
        <v>28</v>
      </c>
      <c r="S2646" s="24">
        <f t="shared" si="209"/>
        <v>0.05</v>
      </c>
    </row>
    <row r="2647" spans="1:19" x14ac:dyDescent="0.25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>VLOOKUP(F2647,'Customer Info'!$A:$B,2,0)</f>
        <v>Ralph</v>
      </c>
      <c r="H2647" s="6" t="str">
        <f>VLOOKUP(F2647,'Customer Info'!$A$1:$C$501,3,0)</f>
        <v>Arnett</v>
      </c>
      <c r="I2647" s="6" t="str">
        <f>VLOOKUP(F2647,Customer,5,0)</f>
        <v>Jhansi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270</v>
      </c>
      <c r="O2647" s="2">
        <v>30</v>
      </c>
      <c r="P2647" s="8">
        <f t="shared" si="207"/>
        <v>300</v>
      </c>
      <c r="Q2647" s="8">
        <f t="shared" si="208"/>
        <v>18</v>
      </c>
      <c r="R2647" s="2" t="s">
        <v>50</v>
      </c>
      <c r="S2647" s="24">
        <f t="shared" si="209"/>
        <v>0.02</v>
      </c>
    </row>
    <row r="2648" spans="1:19" x14ac:dyDescent="0.25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>VLOOKUP(F2648,'Customer Info'!$A:$B,2,0)</f>
        <v>Thomas</v>
      </c>
      <c r="H2648" s="6" t="str">
        <f>VLOOKUP(F2648,'Customer Info'!$A$1:$C$501,3,0)</f>
        <v>Brumley</v>
      </c>
      <c r="I2648" s="6" t="str">
        <f>VLOOKUP(F2648,Customer,5,0)</f>
        <v>Launceston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4176</v>
      </c>
      <c r="O2648" s="2">
        <v>72</v>
      </c>
      <c r="P2648" s="8">
        <f t="shared" si="207"/>
        <v>4248</v>
      </c>
      <c r="Q2648" s="8">
        <f t="shared" si="208"/>
        <v>236</v>
      </c>
      <c r="R2648" s="2" t="s">
        <v>28</v>
      </c>
      <c r="S2648" s="24">
        <f t="shared" si="209"/>
        <v>0.02</v>
      </c>
    </row>
    <row r="2649" spans="1:19" x14ac:dyDescent="0.25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>VLOOKUP(F2649,'Customer Info'!$A:$B,2,0)</f>
        <v>Michael</v>
      </c>
      <c r="H2649" s="6" t="str">
        <f>VLOOKUP(F2649,'Customer Info'!$A$1:$C$501,3,0)</f>
        <v>Granlund</v>
      </c>
      <c r="I2649" s="6" t="str">
        <f>VLOOKUP(F2649,Customer,5,0)</f>
        <v>Sydney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3186</v>
      </c>
      <c r="O2649" s="2">
        <v>42</v>
      </c>
      <c r="P2649" s="8">
        <f t="shared" si="207"/>
        <v>3228</v>
      </c>
      <c r="Q2649" s="8">
        <f t="shared" si="208"/>
        <v>264</v>
      </c>
      <c r="R2649" s="2" t="s">
        <v>50</v>
      </c>
      <c r="S2649" s="24">
        <f t="shared" si="209"/>
        <v>0.02</v>
      </c>
    </row>
    <row r="2650" spans="1:19" x14ac:dyDescent="0.25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>VLOOKUP(F2650,'Customer Info'!$A:$B,2,0)</f>
        <v>Jack</v>
      </c>
      <c r="H2650" s="6" t="str">
        <f>VLOOKUP(F2650,'Customer Info'!$A$1:$C$501,3,0)</f>
        <v>Lebron</v>
      </c>
      <c r="I2650" s="6" t="str">
        <f>VLOOKUP(F2650,Customer,5,0)</f>
        <v>Erftstadt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9428</v>
      </c>
      <c r="O2650" s="2">
        <v>85</v>
      </c>
      <c r="P2650" s="8">
        <f t="shared" si="207"/>
        <v>9513</v>
      </c>
      <c r="Q2650" s="8">
        <f t="shared" si="208"/>
        <v>782</v>
      </c>
      <c r="R2650" s="2" t="s">
        <v>28</v>
      </c>
      <c r="S2650" s="24">
        <f t="shared" si="209"/>
        <v>0.05</v>
      </c>
    </row>
    <row r="2651" spans="1:19" x14ac:dyDescent="0.25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>VLOOKUP(F2651,'Customer Info'!$A:$B,2,0)</f>
        <v>Sonia</v>
      </c>
      <c r="H2651" s="6" t="str">
        <f>VLOOKUP(F2651,'Customer Info'!$A$1:$C$501,3,0)</f>
        <v>Sunley</v>
      </c>
      <c r="I2651" s="6" t="str">
        <f>VLOOKUP(F2651,Customer,5,0)</f>
        <v>Canberra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13270</v>
      </c>
      <c r="O2651" s="2">
        <v>67</v>
      </c>
      <c r="P2651" s="8">
        <f t="shared" si="207"/>
        <v>13337</v>
      </c>
      <c r="Q2651" s="8">
        <f t="shared" si="208"/>
        <v>628</v>
      </c>
      <c r="R2651" s="2" t="s">
        <v>50</v>
      </c>
      <c r="S2651" s="24">
        <f t="shared" si="209"/>
        <v>0.05</v>
      </c>
    </row>
    <row r="2652" spans="1:19" x14ac:dyDescent="0.25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>VLOOKUP(F2652,'Customer Info'!$A:$B,2,0)</f>
        <v>Vivek</v>
      </c>
      <c r="H2652" s="6" t="str">
        <f>VLOOKUP(F2652,'Customer Info'!$A$1:$C$501,3,0)</f>
        <v>Gonzalez</v>
      </c>
      <c r="I2652" s="6" t="str">
        <f>VLOOKUP(F2652,Customer,5,0)</f>
        <v>Nanyang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2526</v>
      </c>
      <c r="O2652" s="2">
        <v>42</v>
      </c>
      <c r="P2652" s="8">
        <f t="shared" si="207"/>
        <v>2568</v>
      </c>
      <c r="Q2652" s="8">
        <f t="shared" si="208"/>
        <v>118</v>
      </c>
      <c r="R2652" s="2" t="s">
        <v>28</v>
      </c>
      <c r="S2652" s="24">
        <f t="shared" si="209"/>
        <v>0.02</v>
      </c>
    </row>
    <row r="2653" spans="1:19" x14ac:dyDescent="0.25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>VLOOKUP(F2653,'Customer Info'!$A:$B,2,0)</f>
        <v>Damala</v>
      </c>
      <c r="H2653" s="6" t="str">
        <f>VLOOKUP(F2653,'Customer Info'!$A$1:$C$501,3,0)</f>
        <v>Kotsonis</v>
      </c>
      <c r="I2653" s="6" t="str">
        <f>VLOOKUP(F2653,Customer,5,0)</f>
        <v>Berlin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7508</v>
      </c>
      <c r="O2653" s="2">
        <v>26</v>
      </c>
      <c r="P2653" s="8">
        <f t="shared" si="207"/>
        <v>7534</v>
      </c>
      <c r="Q2653" s="8">
        <f t="shared" si="208"/>
        <v>552</v>
      </c>
      <c r="R2653" s="2" t="s">
        <v>28</v>
      </c>
      <c r="S2653" s="24">
        <f t="shared" si="209"/>
        <v>0.05</v>
      </c>
    </row>
    <row r="2654" spans="1:19" x14ac:dyDescent="0.25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>VLOOKUP(F2654,'Customer Info'!$A:$B,2,0)</f>
        <v>Gary</v>
      </c>
      <c r="H2654" s="6" t="str">
        <f>VLOOKUP(F2654,'Customer Info'!$A$1:$C$501,3,0)</f>
        <v>Hansen</v>
      </c>
      <c r="I2654" s="6" t="str">
        <f>VLOOKUP(F2654,Customer,5,0)</f>
        <v>Dewas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8718</v>
      </c>
      <c r="O2654" s="2">
        <v>80</v>
      </c>
      <c r="P2654" s="8">
        <f t="shared" si="207"/>
        <v>8798</v>
      </c>
      <c r="Q2654" s="8">
        <f t="shared" si="208"/>
        <v>252</v>
      </c>
      <c r="R2654" s="2" t="s">
        <v>50</v>
      </c>
      <c r="S2654" s="24">
        <f t="shared" si="209"/>
        <v>0.05</v>
      </c>
    </row>
    <row r="2655" spans="1:19" x14ac:dyDescent="0.25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>VLOOKUP(F2655,'Customer Info'!$A:$B,2,0)</f>
        <v>Elpida</v>
      </c>
      <c r="H2655" s="6" t="str">
        <f>VLOOKUP(F2655,'Customer Info'!$A$1:$C$501,3,0)</f>
        <v>Rittenbach</v>
      </c>
      <c r="I2655" s="6" t="str">
        <f>VLOOKUP(F2655,Customer,5,0)</f>
        <v>Melbourne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23520</v>
      </c>
      <c r="O2655" s="2">
        <v>28</v>
      </c>
      <c r="P2655" s="8">
        <f t="shared" si="207"/>
        <v>23548</v>
      </c>
      <c r="Q2655" s="8">
        <f t="shared" si="208"/>
        <v>1715</v>
      </c>
      <c r="R2655" s="2" t="s">
        <v>28</v>
      </c>
      <c r="S2655" s="24">
        <f t="shared" si="209"/>
        <v>0.05</v>
      </c>
    </row>
    <row r="2656" spans="1:19" x14ac:dyDescent="0.25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>VLOOKUP(F2656,'Customer Info'!$A:$B,2,0)</f>
        <v>Cassandra</v>
      </c>
      <c r="H2656" s="6" t="str">
        <f>VLOOKUP(F2656,'Customer Info'!$A$1:$C$501,3,0)</f>
        <v>Brandow</v>
      </c>
      <c r="I2656" s="6" t="str">
        <f>VLOOKUP(F2656,Customer,5,0)</f>
        <v>Hamburg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3255</v>
      </c>
      <c r="O2656" s="2">
        <v>47</v>
      </c>
      <c r="P2656" s="8">
        <f t="shared" si="207"/>
        <v>3302</v>
      </c>
      <c r="Q2656" s="8">
        <f t="shared" si="208"/>
        <v>182</v>
      </c>
      <c r="R2656" s="2" t="s">
        <v>28</v>
      </c>
      <c r="S2656" s="24">
        <f t="shared" si="209"/>
        <v>0.02</v>
      </c>
    </row>
    <row r="2657" spans="1:19" x14ac:dyDescent="0.25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>VLOOKUP(F2657,'Customer Info'!$A:$B,2,0)</f>
        <v>Vivek</v>
      </c>
      <c r="H2657" s="6" t="str">
        <f>VLOOKUP(F2657,'Customer Info'!$A$1:$C$501,3,0)</f>
        <v>Sundaresam</v>
      </c>
      <c r="I2657" s="6" t="str">
        <f>VLOOKUP(F2657,Customer,5,0)</f>
        <v>Hamburg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46095</v>
      </c>
      <c r="O2657" s="2">
        <v>42</v>
      </c>
      <c r="P2657" s="8">
        <f t="shared" si="207"/>
        <v>46137</v>
      </c>
      <c r="Q2657" s="8">
        <f t="shared" si="208"/>
        <v>3360</v>
      </c>
      <c r="R2657" s="2" t="s">
        <v>28</v>
      </c>
      <c r="S2657" s="24">
        <f t="shared" si="209"/>
        <v>7.0000000000000007E-2</v>
      </c>
    </row>
    <row r="2658" spans="1:19" x14ac:dyDescent="0.25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>VLOOKUP(F2658,'Customer Info'!$A:$B,2,0)</f>
        <v>Victoria</v>
      </c>
      <c r="H2658" s="6" t="str">
        <f>VLOOKUP(F2658,'Customer Info'!$A$1:$C$501,3,0)</f>
        <v>Brennan</v>
      </c>
      <c r="I2658" s="6" t="str">
        <f>VLOOKUP(F2658,Customer,5,0)</f>
        <v>Canberra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8665</v>
      </c>
      <c r="O2658" s="2">
        <v>49</v>
      </c>
      <c r="P2658" s="8">
        <f t="shared" si="207"/>
        <v>8714</v>
      </c>
      <c r="Q2658" s="8">
        <f t="shared" si="208"/>
        <v>942</v>
      </c>
      <c r="R2658" s="2" t="s">
        <v>28</v>
      </c>
      <c r="S2658" s="24">
        <f t="shared" si="209"/>
        <v>0.05</v>
      </c>
    </row>
    <row r="2659" spans="1:19" x14ac:dyDescent="0.25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>VLOOKUP(F2659,'Customer Info'!$A:$B,2,0)</f>
        <v>Annie</v>
      </c>
      <c r="H2659" s="6" t="str">
        <f>VLOOKUP(F2659,'Customer Info'!$A$1:$C$501,3,0)</f>
        <v>Zypern</v>
      </c>
      <c r="I2659" s="6" t="str">
        <f>VLOOKUP(F2659,Customer,5,0)</f>
        <v>Brisbane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55454</v>
      </c>
      <c r="O2659" s="2">
        <v>76</v>
      </c>
      <c r="P2659" s="8">
        <f t="shared" si="207"/>
        <v>55530</v>
      </c>
      <c r="Q2659" s="8">
        <f t="shared" si="208"/>
        <v>4158</v>
      </c>
      <c r="R2659" s="2" t="s">
        <v>28</v>
      </c>
      <c r="S2659" s="24">
        <f t="shared" si="209"/>
        <v>0.09</v>
      </c>
    </row>
    <row r="2660" spans="1:19" x14ac:dyDescent="0.25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>VLOOKUP(F2660,'Customer Info'!$A:$B,2,0)</f>
        <v>Joy</v>
      </c>
      <c r="H2660" s="6" t="str">
        <f>VLOOKUP(F2660,'Customer Info'!$A$1:$C$501,3,0)</f>
        <v>Bell</v>
      </c>
      <c r="I2660" s="6" t="str">
        <f>VLOOKUP(F2660,Customer,5,0)</f>
        <v>Tongchuan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130</v>
      </c>
      <c r="O2660" s="2">
        <v>30</v>
      </c>
      <c r="P2660" s="8">
        <f t="shared" si="207"/>
        <v>160</v>
      </c>
      <c r="Q2660" s="8">
        <f t="shared" si="208"/>
        <v>8</v>
      </c>
      <c r="R2660" s="2" t="s">
        <v>50</v>
      </c>
      <c r="S2660" s="24">
        <f t="shared" si="209"/>
        <v>0.02</v>
      </c>
    </row>
    <row r="2661" spans="1:19" x14ac:dyDescent="0.25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>VLOOKUP(F2661,'Customer Info'!$A:$B,2,0)</f>
        <v>Ritsa</v>
      </c>
      <c r="H2661" s="6" t="str">
        <f>VLOOKUP(F2661,'Customer Info'!$A$1:$C$501,3,0)</f>
        <v>Hightower</v>
      </c>
      <c r="I2661" s="6" t="str">
        <f>VLOOKUP(F2661,Customer,5,0)</f>
        <v>Datong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10212</v>
      </c>
      <c r="O2661" s="2">
        <v>86</v>
      </c>
      <c r="P2661" s="8">
        <f t="shared" si="207"/>
        <v>10298</v>
      </c>
      <c r="Q2661" s="8">
        <f t="shared" si="208"/>
        <v>936</v>
      </c>
      <c r="R2661" s="2" t="s">
        <v>28</v>
      </c>
      <c r="S2661" s="24">
        <f t="shared" si="209"/>
        <v>0.05</v>
      </c>
    </row>
    <row r="2662" spans="1:19" x14ac:dyDescent="0.25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>VLOOKUP(F2662,'Customer Info'!$A:$B,2,0)</f>
        <v>Mark</v>
      </c>
      <c r="H2662" s="6" t="str">
        <f>VLOOKUP(F2662,'Customer Info'!$A$1:$C$501,3,0)</f>
        <v>Packer</v>
      </c>
      <c r="I2662" s="6" t="str">
        <f>VLOOKUP(F2662,Customer,5,0)</f>
        <v>Perth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3892</v>
      </c>
      <c r="O2662" s="2">
        <v>74</v>
      </c>
      <c r="P2662" s="8">
        <f t="shared" si="207"/>
        <v>3966</v>
      </c>
      <c r="Q2662" s="8">
        <f t="shared" si="208"/>
        <v>252</v>
      </c>
      <c r="R2662" s="2" t="s">
        <v>28</v>
      </c>
      <c r="S2662" s="24">
        <f t="shared" si="209"/>
        <v>0.02</v>
      </c>
    </row>
    <row r="2663" spans="1:19" x14ac:dyDescent="0.25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>VLOOKUP(F2663,'Customer Info'!$A:$B,2,0)</f>
        <v>Corinna</v>
      </c>
      <c r="H2663" s="6" t="str">
        <f>VLOOKUP(F2663,'Customer Info'!$A$1:$C$501,3,0)</f>
        <v>Mitchell</v>
      </c>
      <c r="I2663" s="6" t="str">
        <f>VLOOKUP(F2663,Customer,5,0)</f>
        <v>Augsburg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43962</v>
      </c>
      <c r="O2663" s="2">
        <v>51</v>
      </c>
      <c r="P2663" s="8">
        <f t="shared" si="207"/>
        <v>44013</v>
      </c>
      <c r="Q2663" s="8">
        <f t="shared" si="208"/>
        <v>4014</v>
      </c>
      <c r="R2663" s="2" t="s">
        <v>50</v>
      </c>
      <c r="S2663" s="24">
        <f t="shared" si="209"/>
        <v>7.0000000000000007E-2</v>
      </c>
    </row>
    <row r="2664" spans="1:19" x14ac:dyDescent="0.25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>VLOOKUP(F2664,'Customer Info'!$A:$B,2,0)</f>
        <v>Randy</v>
      </c>
      <c r="H2664" s="6" t="str">
        <f>VLOOKUP(F2664,'Customer Info'!$A$1:$C$501,3,0)</f>
        <v>Ferguson</v>
      </c>
      <c r="I2664" s="6" t="str">
        <f>VLOOKUP(F2664,Customer,5,0)</f>
        <v>Adelaide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278</v>
      </c>
      <c r="O2664" s="2">
        <v>30</v>
      </c>
      <c r="P2664" s="8">
        <f t="shared" si="207"/>
        <v>308</v>
      </c>
      <c r="Q2664" s="8">
        <f t="shared" si="208"/>
        <v>18</v>
      </c>
      <c r="R2664" s="2" t="s">
        <v>28</v>
      </c>
      <c r="S2664" s="24">
        <f t="shared" si="209"/>
        <v>0.02</v>
      </c>
    </row>
    <row r="2665" spans="1:19" x14ac:dyDescent="0.25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>VLOOKUP(F2665,'Customer Info'!$A:$B,2,0)</f>
        <v>Susan</v>
      </c>
      <c r="H2665" s="6" t="str">
        <f>VLOOKUP(F2665,'Customer Info'!$A$1:$C$501,3,0)</f>
        <v>MacKendrick</v>
      </c>
      <c r="I2665" s="6" t="str">
        <f>VLOOKUP(F2665,Customer,5,0)</f>
        <v>Brisbane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123</v>
      </c>
      <c r="O2665" s="2">
        <v>30</v>
      </c>
      <c r="P2665" s="8">
        <f t="shared" si="207"/>
        <v>153</v>
      </c>
      <c r="Q2665" s="8">
        <f t="shared" si="208"/>
        <v>8</v>
      </c>
      <c r="R2665" s="2" t="s">
        <v>28</v>
      </c>
      <c r="S2665" s="24">
        <f t="shared" si="209"/>
        <v>0.02</v>
      </c>
    </row>
    <row r="2666" spans="1:19" x14ac:dyDescent="0.25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>VLOOKUP(F2666,'Customer Info'!$A:$B,2,0)</f>
        <v>Darren</v>
      </c>
      <c r="H2666" s="6" t="str">
        <f>VLOOKUP(F2666,'Customer Info'!$A$1:$C$501,3,0)</f>
        <v>Budd</v>
      </c>
      <c r="I2666" s="6" t="str">
        <f>VLOOKUP(F2666,Customer,5,0)</f>
        <v>Regensburg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4435</v>
      </c>
      <c r="O2666" s="2">
        <v>57</v>
      </c>
      <c r="P2666" s="8">
        <f t="shared" si="207"/>
        <v>4492</v>
      </c>
      <c r="Q2666" s="8">
        <f t="shared" si="208"/>
        <v>365</v>
      </c>
      <c r="R2666" s="2" t="s">
        <v>28</v>
      </c>
      <c r="S2666" s="24">
        <f t="shared" si="209"/>
        <v>0.02</v>
      </c>
    </row>
    <row r="2667" spans="1:19" x14ac:dyDescent="0.25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>VLOOKUP(F2667,'Customer Info'!$A:$B,2,0)</f>
        <v>James</v>
      </c>
      <c r="H2667" s="6" t="str">
        <f>VLOOKUP(F2667,'Customer Info'!$A$1:$C$501,3,0)</f>
        <v>Lanier</v>
      </c>
      <c r="I2667" s="6" t="str">
        <f>VLOOKUP(F2667,Customer,5,0)</f>
        <v>Dortmund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574</v>
      </c>
      <c r="O2667" s="2">
        <v>10</v>
      </c>
      <c r="P2667" s="8">
        <f t="shared" si="207"/>
        <v>584</v>
      </c>
      <c r="Q2667" s="8">
        <f t="shared" si="208"/>
        <v>21</v>
      </c>
      <c r="R2667" s="2" t="s">
        <v>28</v>
      </c>
      <c r="S2667" s="24">
        <f t="shared" si="209"/>
        <v>0.02</v>
      </c>
    </row>
    <row r="2668" spans="1:19" x14ac:dyDescent="0.25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>VLOOKUP(F2668,'Customer Info'!$A:$B,2,0)</f>
        <v>Joel</v>
      </c>
      <c r="H2668" s="6" t="str">
        <f>VLOOKUP(F2668,'Customer Info'!$A$1:$C$501,3,0)</f>
        <v>Eaton</v>
      </c>
      <c r="I2668" s="6" t="str">
        <f>VLOOKUP(F2668,Customer,5,0)</f>
        <v>Nuremberg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2632</v>
      </c>
      <c r="O2668" s="2">
        <v>97</v>
      </c>
      <c r="P2668" s="8">
        <f t="shared" si="207"/>
        <v>2729</v>
      </c>
      <c r="Q2668" s="8">
        <f t="shared" si="208"/>
        <v>172</v>
      </c>
      <c r="R2668" s="2" t="s">
        <v>28</v>
      </c>
      <c r="S2668" s="24">
        <f t="shared" si="209"/>
        <v>0.02</v>
      </c>
    </row>
    <row r="2669" spans="1:19" x14ac:dyDescent="0.25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>VLOOKUP(F2669,'Customer Info'!$A:$B,2,0)</f>
        <v>Tamara</v>
      </c>
      <c r="H2669" s="6" t="str">
        <f>VLOOKUP(F2669,'Customer Info'!$A$1:$C$501,3,0)</f>
        <v>Willingham</v>
      </c>
      <c r="I2669" s="6" t="str">
        <f>VLOOKUP(F2669,Customer,5,0)</f>
        <v>Sindelfingen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420</v>
      </c>
      <c r="O2669" s="2">
        <v>10</v>
      </c>
      <c r="P2669" s="8">
        <f t="shared" si="207"/>
        <v>430</v>
      </c>
      <c r="Q2669" s="8">
        <f t="shared" si="208"/>
        <v>21</v>
      </c>
      <c r="R2669" s="2" t="s">
        <v>26</v>
      </c>
      <c r="S2669" s="24">
        <f t="shared" si="209"/>
        <v>0.02</v>
      </c>
    </row>
    <row r="2670" spans="1:19" x14ac:dyDescent="0.25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>VLOOKUP(F2670,'Customer Info'!$A:$B,2,0)</f>
        <v>Logan</v>
      </c>
      <c r="H2670" s="6" t="str">
        <f>VLOOKUP(F2670,'Customer Info'!$A$1:$C$501,3,0)</f>
        <v>Haushalter</v>
      </c>
      <c r="I2670" s="6" t="str">
        <f>VLOOKUP(F2670,Customer,5,0)</f>
        <v>Canberra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8187</v>
      </c>
      <c r="O2670" s="2">
        <v>21</v>
      </c>
      <c r="P2670" s="8">
        <f t="shared" si="207"/>
        <v>8208</v>
      </c>
      <c r="Q2670" s="8">
        <f t="shared" si="208"/>
        <v>388</v>
      </c>
      <c r="R2670" s="2" t="s">
        <v>28</v>
      </c>
      <c r="S2670" s="24">
        <f t="shared" si="209"/>
        <v>0.05</v>
      </c>
    </row>
    <row r="2671" spans="1:19" x14ac:dyDescent="0.25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>VLOOKUP(F2671,'Customer Info'!$A:$B,2,0)</f>
        <v>Lisa</v>
      </c>
      <c r="H2671" s="6" t="str">
        <f>VLOOKUP(F2671,'Customer Info'!$A$1:$C$501,3,0)</f>
        <v>DeCherney</v>
      </c>
      <c r="I2671" s="6" t="str">
        <f>VLOOKUP(F2671,Customer,5,0)</f>
        <v>Ningbo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5560</v>
      </c>
      <c r="O2671" s="2">
        <v>86</v>
      </c>
      <c r="P2671" s="8">
        <f t="shared" si="207"/>
        <v>5646</v>
      </c>
      <c r="Q2671" s="8">
        <f t="shared" si="208"/>
        <v>272</v>
      </c>
      <c r="R2671" s="2" t="s">
        <v>28</v>
      </c>
      <c r="S2671" s="24">
        <f t="shared" si="209"/>
        <v>0.05</v>
      </c>
    </row>
    <row r="2672" spans="1:19" x14ac:dyDescent="0.25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>VLOOKUP(F2672,'Customer Info'!$A:$B,2,0)</f>
        <v>David</v>
      </c>
      <c r="H2672" s="6" t="str">
        <f>VLOOKUP(F2672,'Customer Info'!$A$1:$C$501,3,0)</f>
        <v>Smith</v>
      </c>
      <c r="I2672" s="6" t="str">
        <f>VLOOKUP(F2672,Customer,5,0)</f>
        <v>Surat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4092</v>
      </c>
      <c r="O2672" s="2">
        <v>45</v>
      </c>
      <c r="P2672" s="8">
        <f t="shared" si="207"/>
        <v>4137</v>
      </c>
      <c r="Q2672" s="8">
        <f t="shared" si="208"/>
        <v>270</v>
      </c>
      <c r="R2672" s="2" t="s">
        <v>56</v>
      </c>
      <c r="S2672" s="24">
        <f t="shared" si="209"/>
        <v>0.02</v>
      </c>
    </row>
    <row r="2673" spans="1:19" x14ac:dyDescent="0.25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>VLOOKUP(F2673,'Customer Info'!$A:$B,2,0)</f>
        <v>Dana</v>
      </c>
      <c r="H2673" s="6" t="str">
        <f>VLOOKUP(F2673,'Customer Info'!$A$1:$C$501,3,0)</f>
        <v>Kaydos</v>
      </c>
      <c r="I2673" s="6" t="str">
        <f>VLOOKUP(F2673,Customer,5,0)</f>
        <v>Nagercoil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11672</v>
      </c>
      <c r="O2673" s="2">
        <v>94</v>
      </c>
      <c r="P2673" s="8">
        <f t="shared" si="207"/>
        <v>11766</v>
      </c>
      <c r="Q2673" s="8">
        <f t="shared" si="208"/>
        <v>758</v>
      </c>
      <c r="R2673" s="2" t="s">
        <v>50</v>
      </c>
      <c r="S2673" s="24">
        <f t="shared" si="209"/>
        <v>0.05</v>
      </c>
    </row>
    <row r="2674" spans="1:19" x14ac:dyDescent="0.25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>VLOOKUP(F2674,'Customer Info'!$A:$B,2,0)</f>
        <v>Stefania</v>
      </c>
      <c r="H2674" s="6" t="str">
        <f>VLOOKUP(F2674,'Customer Info'!$A$1:$C$501,3,0)</f>
        <v>Perrino</v>
      </c>
      <c r="I2674" s="6" t="str">
        <f>VLOOKUP(F2674,Customer,5,0)</f>
        <v>Albury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10087</v>
      </c>
      <c r="O2674" s="2">
        <v>93</v>
      </c>
      <c r="P2674" s="8">
        <f t="shared" si="207"/>
        <v>10180</v>
      </c>
      <c r="Q2674" s="8">
        <f t="shared" si="208"/>
        <v>567</v>
      </c>
      <c r="R2674" s="2" t="s">
        <v>28</v>
      </c>
      <c r="S2674" s="24">
        <f t="shared" si="209"/>
        <v>0.05</v>
      </c>
    </row>
    <row r="2675" spans="1:19" x14ac:dyDescent="0.25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>VLOOKUP(F2675,'Customer Info'!$A:$B,2,0)</f>
        <v>Harold</v>
      </c>
      <c r="H2675" s="6" t="str">
        <f>VLOOKUP(F2675,'Customer Info'!$A$1:$C$501,3,0)</f>
        <v>Dahlen</v>
      </c>
      <c r="I2675" s="6" t="str">
        <f>VLOOKUP(F2675,Customer,5,0)</f>
        <v>Jakarta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51316</v>
      </c>
      <c r="O2675" s="2">
        <v>33</v>
      </c>
      <c r="P2675" s="8">
        <f t="shared" si="207"/>
        <v>51349</v>
      </c>
      <c r="Q2675" s="8">
        <f t="shared" si="208"/>
        <v>2384</v>
      </c>
      <c r="R2675" s="2" t="s">
        <v>50</v>
      </c>
      <c r="S2675" s="24">
        <f t="shared" si="209"/>
        <v>0.09</v>
      </c>
    </row>
    <row r="2676" spans="1:19" x14ac:dyDescent="0.25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>VLOOKUP(F2676,'Customer Info'!$A:$B,2,0)</f>
        <v>Becky</v>
      </c>
      <c r="H2676" s="6" t="str">
        <f>VLOOKUP(F2676,'Customer Info'!$A$1:$C$501,3,0)</f>
        <v>Pak</v>
      </c>
      <c r="I2676" s="6" t="str">
        <f>VLOOKUP(F2676,Customer,5,0)</f>
        <v>Geelong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1022</v>
      </c>
      <c r="O2676" s="2">
        <v>79</v>
      </c>
      <c r="P2676" s="8">
        <f t="shared" si="207"/>
        <v>1101</v>
      </c>
      <c r="Q2676" s="8">
        <f t="shared" si="208"/>
        <v>86</v>
      </c>
      <c r="R2676" s="2" t="s">
        <v>28</v>
      </c>
      <c r="S2676" s="24">
        <f t="shared" si="209"/>
        <v>0.02</v>
      </c>
    </row>
    <row r="2677" spans="1:19" x14ac:dyDescent="0.25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>VLOOKUP(F2677,'Customer Info'!$A:$B,2,0)</f>
        <v>Mike</v>
      </c>
      <c r="H2677" s="6" t="str">
        <f>VLOOKUP(F2677,'Customer Info'!$A$1:$C$501,3,0)</f>
        <v>Vittorini</v>
      </c>
      <c r="I2677" s="6" t="str">
        <f>VLOOKUP(F2677,Customer,5,0)</f>
        <v>Naihati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5882</v>
      </c>
      <c r="O2677" s="2">
        <v>51</v>
      </c>
      <c r="P2677" s="8">
        <f t="shared" si="207"/>
        <v>5933</v>
      </c>
      <c r="Q2677" s="8">
        <f t="shared" si="208"/>
        <v>169</v>
      </c>
      <c r="R2677" s="2" t="s">
        <v>26</v>
      </c>
      <c r="S2677" s="24">
        <f t="shared" si="209"/>
        <v>0.05</v>
      </c>
    </row>
    <row r="2678" spans="1:19" x14ac:dyDescent="0.25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>VLOOKUP(F2678,'Customer Info'!$A:$B,2,0)</f>
        <v>Bradley</v>
      </c>
      <c r="H2678" s="6" t="str">
        <f>VLOOKUP(F2678,'Customer Info'!$A$1:$C$501,3,0)</f>
        <v>Nguyen</v>
      </c>
      <c r="I2678" s="6" t="str">
        <f>VLOOKUP(F2678,Customer,5,0)</f>
        <v>Shenzhen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3832</v>
      </c>
      <c r="O2678" s="2">
        <v>100</v>
      </c>
      <c r="P2678" s="8">
        <f t="shared" si="207"/>
        <v>3932</v>
      </c>
      <c r="Q2678" s="8">
        <f t="shared" si="208"/>
        <v>144</v>
      </c>
      <c r="R2678" s="2" t="s">
        <v>50</v>
      </c>
      <c r="S2678" s="24">
        <f t="shared" si="209"/>
        <v>0.02</v>
      </c>
    </row>
    <row r="2679" spans="1:19" x14ac:dyDescent="0.25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>VLOOKUP(F2679,'Customer Info'!$A:$B,2,0)</f>
        <v>Joy</v>
      </c>
      <c r="H2679" s="6" t="str">
        <f>VLOOKUP(F2679,'Customer Info'!$A$1:$C$501,3,0)</f>
        <v>Bell</v>
      </c>
      <c r="I2679" s="6" t="str">
        <f>VLOOKUP(F2679,Customer,5,0)</f>
        <v>Tongchuan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5842</v>
      </c>
      <c r="O2679" s="2">
        <v>60</v>
      </c>
      <c r="P2679" s="8">
        <f t="shared" si="207"/>
        <v>5902</v>
      </c>
      <c r="Q2679" s="8">
        <f t="shared" si="208"/>
        <v>224</v>
      </c>
      <c r="R2679" s="2" t="s">
        <v>50</v>
      </c>
      <c r="S2679" s="24">
        <f t="shared" si="209"/>
        <v>0.05</v>
      </c>
    </row>
    <row r="2680" spans="1:19" x14ac:dyDescent="0.25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>VLOOKUP(F2680,'Customer Info'!$A:$B,2,0)</f>
        <v>Ed</v>
      </c>
      <c r="H2680" s="6" t="str">
        <f>VLOOKUP(F2680,'Customer Info'!$A$1:$C$501,3,0)</f>
        <v>Braxton</v>
      </c>
      <c r="I2680" s="6" t="str">
        <f>VLOOKUP(F2680,Customer,5,0)</f>
        <v>Bhatpara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875</v>
      </c>
      <c r="O2680" s="2">
        <v>30</v>
      </c>
      <c r="P2680" s="8">
        <f t="shared" si="207"/>
        <v>905</v>
      </c>
      <c r="Q2680" s="8">
        <f t="shared" si="208"/>
        <v>84</v>
      </c>
      <c r="R2680" s="2" t="s">
        <v>28</v>
      </c>
      <c r="S2680" s="24">
        <f t="shared" si="209"/>
        <v>0.02</v>
      </c>
    </row>
    <row r="2681" spans="1:19" x14ac:dyDescent="0.25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>VLOOKUP(F2681,'Customer Info'!$A:$B,2,0)</f>
        <v>Max</v>
      </c>
      <c r="H2681" s="6" t="str">
        <f>VLOOKUP(F2681,'Customer Info'!$A$1:$C$501,3,0)</f>
        <v>Jones</v>
      </c>
      <c r="I2681" s="6" t="str">
        <f>VLOOKUP(F2681,Customer,5,0)</f>
        <v>Yuncheng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8005</v>
      </c>
      <c r="O2681" s="2">
        <v>78</v>
      </c>
      <c r="P2681" s="8">
        <f t="shared" si="207"/>
        <v>8083</v>
      </c>
      <c r="Q2681" s="8">
        <f t="shared" si="208"/>
        <v>455</v>
      </c>
      <c r="R2681" s="2" t="s">
        <v>28</v>
      </c>
      <c r="S2681" s="24">
        <f t="shared" si="209"/>
        <v>0.05</v>
      </c>
    </row>
    <row r="2682" spans="1:19" x14ac:dyDescent="0.25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>VLOOKUP(F2682,'Customer Info'!$A:$B,2,0)</f>
        <v>Joel</v>
      </c>
      <c r="H2682" s="6" t="str">
        <f>VLOOKUP(F2682,'Customer Info'!$A$1:$C$501,3,0)</f>
        <v>Eaton</v>
      </c>
      <c r="I2682" s="6" t="str">
        <f>VLOOKUP(F2682,Customer,5,0)</f>
        <v>Nuremberg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32104</v>
      </c>
      <c r="O2682" s="2">
        <v>58</v>
      </c>
      <c r="P2682" s="8">
        <f t="shared" si="207"/>
        <v>32162</v>
      </c>
      <c r="Q2682" s="8">
        <f t="shared" si="208"/>
        <v>1816</v>
      </c>
      <c r="R2682" s="2" t="s">
        <v>28</v>
      </c>
      <c r="S2682" s="24">
        <f t="shared" si="209"/>
        <v>7.0000000000000007E-2</v>
      </c>
    </row>
    <row r="2683" spans="1:19" x14ac:dyDescent="0.25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>VLOOKUP(F2683,'Customer Info'!$A:$B,2,0)</f>
        <v>Ralph</v>
      </c>
      <c r="H2683" s="6" t="str">
        <f>VLOOKUP(F2683,'Customer Info'!$A$1:$C$501,3,0)</f>
        <v>Kennedy</v>
      </c>
      <c r="I2683" s="6" t="str">
        <f>VLOOKUP(F2683,Customer,5,0)</f>
        <v>Bundaberg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17476</v>
      </c>
      <c r="O2683" s="2">
        <v>43</v>
      </c>
      <c r="P2683" s="8">
        <f t="shared" si="207"/>
        <v>17519</v>
      </c>
      <c r="Q2683" s="8">
        <f t="shared" si="208"/>
        <v>1152</v>
      </c>
      <c r="R2683" s="2" t="s">
        <v>28</v>
      </c>
      <c r="S2683" s="24">
        <f t="shared" si="209"/>
        <v>0.05</v>
      </c>
    </row>
    <row r="2684" spans="1:19" x14ac:dyDescent="0.25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>VLOOKUP(F2684,'Customer Info'!$A:$B,2,0)</f>
        <v>Troy</v>
      </c>
      <c r="H2684" s="6" t="str">
        <f>VLOOKUP(F2684,'Customer Info'!$A$1:$C$501,3,0)</f>
        <v>Staebel</v>
      </c>
      <c r="I2684" s="6" t="str">
        <f>VLOOKUP(F2684,Customer,5,0)</f>
        <v>Canberra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417</v>
      </c>
      <c r="O2684" s="2">
        <v>30</v>
      </c>
      <c r="P2684" s="8">
        <f t="shared" si="207"/>
        <v>447</v>
      </c>
      <c r="Q2684" s="8">
        <f t="shared" si="208"/>
        <v>18</v>
      </c>
      <c r="R2684" s="2" t="s">
        <v>28</v>
      </c>
      <c r="S2684" s="24">
        <f t="shared" si="209"/>
        <v>0.02</v>
      </c>
    </row>
    <row r="2685" spans="1:19" x14ac:dyDescent="0.25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>VLOOKUP(F2685,'Customer Info'!$A:$B,2,0)</f>
        <v>Jessica</v>
      </c>
      <c r="H2685" s="6" t="str">
        <f>VLOOKUP(F2685,'Customer Info'!$A$1:$C$501,3,0)</f>
        <v>Myrick</v>
      </c>
      <c r="I2685" s="6" t="str">
        <f>VLOOKUP(F2685,Customer,5,0)</f>
        <v>Jakarta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18072</v>
      </c>
      <c r="O2685" s="2">
        <v>100</v>
      </c>
      <c r="P2685" s="8">
        <f t="shared" si="207"/>
        <v>18172</v>
      </c>
      <c r="Q2685" s="8">
        <f t="shared" si="208"/>
        <v>1800</v>
      </c>
      <c r="R2685" s="2" t="s">
        <v>28</v>
      </c>
      <c r="S2685" s="24">
        <f t="shared" si="209"/>
        <v>0.05</v>
      </c>
    </row>
    <row r="2686" spans="1:19" x14ac:dyDescent="0.25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>VLOOKUP(F2686,'Customer Info'!$A:$B,2,0)</f>
        <v>Liz</v>
      </c>
      <c r="H2686" s="6" t="str">
        <f>VLOOKUP(F2686,'Customer Info'!$A$1:$C$501,3,0)</f>
        <v>Pelletier</v>
      </c>
      <c r="I2686" s="6" t="str">
        <f>VLOOKUP(F2686,Customer,5,0)</f>
        <v>Zigong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19011</v>
      </c>
      <c r="O2686" s="2">
        <v>64</v>
      </c>
      <c r="P2686" s="8">
        <f t="shared" si="207"/>
        <v>19075</v>
      </c>
      <c r="Q2686" s="8">
        <f t="shared" si="208"/>
        <v>366</v>
      </c>
      <c r="R2686" s="2" t="s">
        <v>56</v>
      </c>
      <c r="S2686" s="24">
        <f t="shared" si="209"/>
        <v>0.05</v>
      </c>
    </row>
    <row r="2687" spans="1:19" x14ac:dyDescent="0.25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>VLOOKUP(F2687,'Customer Info'!$A:$B,2,0)</f>
        <v>Craig</v>
      </c>
      <c r="H2687" s="6" t="str">
        <f>VLOOKUP(F2687,'Customer Info'!$A$1:$C$501,3,0)</f>
        <v>Yedwab</v>
      </c>
      <c r="I2687" s="6" t="str">
        <f>VLOOKUP(F2687,Customer,5,0)</f>
        <v>Aligarh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16374</v>
      </c>
      <c r="O2687" s="2">
        <v>95</v>
      </c>
      <c r="P2687" s="8">
        <f t="shared" si="207"/>
        <v>16469</v>
      </c>
      <c r="Q2687" s="8">
        <f t="shared" si="208"/>
        <v>776</v>
      </c>
      <c r="R2687" s="2" t="s">
        <v>50</v>
      </c>
      <c r="S2687" s="24">
        <f t="shared" si="209"/>
        <v>0.05</v>
      </c>
    </row>
    <row r="2688" spans="1:19" x14ac:dyDescent="0.25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>VLOOKUP(F2688,'Customer Info'!$A:$B,2,0)</f>
        <v>Vivek</v>
      </c>
      <c r="H2688" s="6" t="str">
        <f>VLOOKUP(F2688,'Customer Info'!$A$1:$C$501,3,0)</f>
        <v>Gonzalez</v>
      </c>
      <c r="I2688" s="6" t="str">
        <f>VLOOKUP(F2688,Customer,5,0)</f>
        <v>Nanyang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1772</v>
      </c>
      <c r="O2688" s="2">
        <v>52</v>
      </c>
      <c r="P2688" s="8">
        <f t="shared" si="207"/>
        <v>1824</v>
      </c>
      <c r="Q2688" s="8">
        <f t="shared" si="208"/>
        <v>180</v>
      </c>
      <c r="R2688" s="2" t="s">
        <v>56</v>
      </c>
      <c r="S2688" s="24">
        <f t="shared" si="209"/>
        <v>0.02</v>
      </c>
    </row>
    <row r="2689" spans="1:19" x14ac:dyDescent="0.25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>VLOOKUP(F2689,'Customer Info'!$A:$B,2,0)</f>
        <v>Cynthia</v>
      </c>
      <c r="H2689" s="6" t="str">
        <f>VLOOKUP(F2689,'Customer Info'!$A$1:$C$501,3,0)</f>
        <v>Delaney</v>
      </c>
      <c r="I2689" s="6" t="str">
        <f>VLOOKUP(F2689,Customer,5,0)</f>
        <v>Wodonga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6819</v>
      </c>
      <c r="O2689" s="2">
        <v>41</v>
      </c>
      <c r="P2689" s="8">
        <f t="shared" si="207"/>
        <v>6860</v>
      </c>
      <c r="Q2689" s="8">
        <f t="shared" si="208"/>
        <v>132</v>
      </c>
      <c r="R2689" s="2" t="s">
        <v>50</v>
      </c>
      <c r="S2689" s="24">
        <f t="shared" si="209"/>
        <v>0.05</v>
      </c>
    </row>
    <row r="2690" spans="1:19" x14ac:dyDescent="0.25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>VLOOKUP(F2690,'Customer Info'!$A:$B,2,0)</f>
        <v>Robert</v>
      </c>
      <c r="H2690" s="6" t="str">
        <f>VLOOKUP(F2690,'Customer Info'!$A$1:$C$501,3,0)</f>
        <v>Dilbeck</v>
      </c>
      <c r="I2690" s="6" t="str">
        <f>VLOOKUP(F2690,Customer,5,0)</f>
        <v>Melton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2410</v>
      </c>
      <c r="O2690" s="2">
        <v>71</v>
      </c>
      <c r="P2690" s="8">
        <f t="shared" si="207"/>
        <v>2481</v>
      </c>
      <c r="Q2690" s="8">
        <f t="shared" si="208"/>
        <v>92</v>
      </c>
      <c r="R2690" s="2" t="s">
        <v>26</v>
      </c>
      <c r="S2690" s="24">
        <f t="shared" si="209"/>
        <v>0.02</v>
      </c>
    </row>
    <row r="2691" spans="1:19" x14ac:dyDescent="0.25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>VLOOKUP(F2691,'Customer Info'!$A:$B,2,0)</f>
        <v>Barry</v>
      </c>
      <c r="H2691" s="6" t="str">
        <f>VLOOKUP(F2691,'Customer Info'!$A$1:$C$501,3,0)</f>
        <v>Blumstein</v>
      </c>
      <c r="I2691" s="6" t="str">
        <f>VLOOKUP(F2691,Customer,5,0)</f>
        <v>Gold Coast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417</v>
      </c>
      <c r="O2691" s="2">
        <v>30</v>
      </c>
      <c r="P2691" s="8">
        <f t="shared" si="207"/>
        <v>447</v>
      </c>
      <c r="Q2691" s="8">
        <f t="shared" si="208"/>
        <v>18</v>
      </c>
      <c r="R2691" s="2" t="s">
        <v>28</v>
      </c>
      <c r="S2691" s="24">
        <f t="shared" si="209"/>
        <v>0.02</v>
      </c>
    </row>
    <row r="2692" spans="1:19" x14ac:dyDescent="0.25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>VLOOKUP(F2692,'Customer Info'!$A:$B,2,0)</f>
        <v>Lindsay</v>
      </c>
      <c r="H2692" s="6" t="str">
        <f>VLOOKUP(F2692,'Customer Info'!$A$1:$C$501,3,0)</f>
        <v>Shagiari</v>
      </c>
      <c r="I2692" s="6" t="str">
        <f>VLOOKUP(F2692,Customer,5,0)</f>
        <v>Canberra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20124</v>
      </c>
      <c r="O2692" s="2">
        <v>41</v>
      </c>
      <c r="P2692" s="8">
        <f t="shared" si="207"/>
        <v>20165</v>
      </c>
      <c r="Q2692" s="8">
        <f t="shared" si="208"/>
        <v>1512</v>
      </c>
      <c r="R2692" s="2" t="s">
        <v>28</v>
      </c>
      <c r="S2692" s="24">
        <f t="shared" si="209"/>
        <v>0.05</v>
      </c>
    </row>
    <row r="2693" spans="1:19" x14ac:dyDescent="0.25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>VLOOKUP(F2693,'Customer Info'!$A:$B,2,0)</f>
        <v>Patricia</v>
      </c>
      <c r="H2693" s="6" t="str">
        <f>VLOOKUP(F2693,'Customer Info'!$A$1:$C$501,3,0)</f>
        <v>Hirasaki</v>
      </c>
      <c r="I2693" s="6" t="str">
        <f>VLOOKUP(F2693,Customer,5,0)</f>
        <v>Pimpri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12768</v>
      </c>
      <c r="O2693" s="2">
        <v>48</v>
      </c>
      <c r="P2693" s="8">
        <f t="shared" si="207"/>
        <v>12816</v>
      </c>
      <c r="Q2693" s="8">
        <f t="shared" si="208"/>
        <v>724</v>
      </c>
      <c r="R2693" s="2" t="s">
        <v>50</v>
      </c>
      <c r="S2693" s="24">
        <f t="shared" si="209"/>
        <v>0.05</v>
      </c>
    </row>
    <row r="2694" spans="1:19" x14ac:dyDescent="0.25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>VLOOKUP(F2694,'Customer Info'!$A:$B,2,0)</f>
        <v>Jack</v>
      </c>
      <c r="H2694" s="6" t="str">
        <f>VLOOKUP(F2694,'Customer Info'!$A$1:$C$501,3,0)</f>
        <v>O'Briant</v>
      </c>
      <c r="I2694" s="6" t="str">
        <f>VLOOKUP(F2694,Customer,5,0)</f>
        <v>Jammu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1845</v>
      </c>
      <c r="O2694" s="2">
        <v>82</v>
      </c>
      <c r="P2694" s="8">
        <f t="shared" si="207"/>
        <v>1927</v>
      </c>
      <c r="Q2694" s="8">
        <f t="shared" si="208"/>
        <v>103</v>
      </c>
      <c r="R2694" s="2" t="s">
        <v>50</v>
      </c>
      <c r="S2694" s="24">
        <f t="shared" si="209"/>
        <v>0.02</v>
      </c>
    </row>
    <row r="2695" spans="1:19" x14ac:dyDescent="0.25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>VLOOKUP(F2695,'Customer Info'!$A:$B,2,0)</f>
        <v>Christy</v>
      </c>
      <c r="H2695" s="6" t="str">
        <f>VLOOKUP(F2695,'Customer Info'!$A$1:$C$501,3,0)</f>
        <v>Brittain</v>
      </c>
      <c r="I2695" s="6" t="str">
        <f>VLOOKUP(F2695,Customer,5,0)</f>
        <v>Depok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555</v>
      </c>
      <c r="O2695" s="2">
        <v>30</v>
      </c>
      <c r="P2695" s="8">
        <f t="shared" si="207"/>
        <v>585</v>
      </c>
      <c r="Q2695" s="8">
        <f t="shared" si="208"/>
        <v>42</v>
      </c>
      <c r="R2695" s="2" t="s">
        <v>50</v>
      </c>
      <c r="S2695" s="24">
        <f t="shared" si="209"/>
        <v>0.02</v>
      </c>
    </row>
    <row r="2696" spans="1:19" x14ac:dyDescent="0.25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>VLOOKUP(F2696,'Customer Info'!$A:$B,2,0)</f>
        <v>Larry</v>
      </c>
      <c r="H2696" s="6" t="str">
        <f>VLOOKUP(F2696,'Customer Info'!$A$1:$C$501,3,0)</f>
        <v>Blacks</v>
      </c>
      <c r="I2696" s="6" t="str">
        <f>VLOOKUP(F2696,Customer,5,0)</f>
        <v>Shangyu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932</v>
      </c>
      <c r="O2696" s="2">
        <v>65</v>
      </c>
      <c r="P2696" s="8">
        <f t="shared" si="207"/>
        <v>997</v>
      </c>
      <c r="Q2696" s="8">
        <f t="shared" si="208"/>
        <v>94</v>
      </c>
      <c r="R2696" s="2" t="s">
        <v>28</v>
      </c>
      <c r="S2696" s="24">
        <f t="shared" si="209"/>
        <v>0.02</v>
      </c>
    </row>
    <row r="2697" spans="1:19" x14ac:dyDescent="0.25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>VLOOKUP(F2697,'Customer Info'!$A:$B,2,0)</f>
        <v>Thomas</v>
      </c>
      <c r="H2697" s="6" t="str">
        <f>VLOOKUP(F2697,'Customer Info'!$A$1:$C$501,3,0)</f>
        <v>Brumley</v>
      </c>
      <c r="I2697" s="6" t="str">
        <f>VLOOKUP(F2697,Customer,5,0)</f>
        <v>Jinan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966</v>
      </c>
      <c r="O2697" s="2">
        <v>30</v>
      </c>
      <c r="P2697" s="8">
        <f t="shared" si="207"/>
        <v>996</v>
      </c>
      <c r="Q2697" s="8">
        <f t="shared" si="208"/>
        <v>70</v>
      </c>
      <c r="R2697" s="2" t="s">
        <v>28</v>
      </c>
      <c r="S2697" s="24">
        <f t="shared" si="209"/>
        <v>0.02</v>
      </c>
    </row>
    <row r="2698" spans="1:19" x14ac:dyDescent="0.25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>VLOOKUP(F2698,'Customer Info'!$A:$B,2,0)</f>
        <v>Erica</v>
      </c>
      <c r="H2698" s="6" t="str">
        <f>VLOOKUP(F2698,'Customer Info'!$A$1:$C$501,3,0)</f>
        <v>Hackney</v>
      </c>
      <c r="I2698" s="6" t="str">
        <f>VLOOKUP(F2698,Customer,5,0)</f>
        <v>Perth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417</v>
      </c>
      <c r="O2698" s="2">
        <v>30</v>
      </c>
      <c r="P2698" s="8">
        <f t="shared" si="207"/>
        <v>447</v>
      </c>
      <c r="Q2698" s="8">
        <f t="shared" si="208"/>
        <v>18</v>
      </c>
      <c r="R2698" s="2" t="s">
        <v>28</v>
      </c>
      <c r="S2698" s="24">
        <f t="shared" si="209"/>
        <v>0.02</v>
      </c>
    </row>
    <row r="2699" spans="1:19" x14ac:dyDescent="0.25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>VLOOKUP(F2699,'Customer Info'!$A:$B,2,0)</f>
        <v>Hallie</v>
      </c>
      <c r="H2699" s="6" t="str">
        <f>VLOOKUP(F2699,'Customer Info'!$A$1:$C$501,3,0)</f>
        <v>Redmond</v>
      </c>
      <c r="I2699" s="6" t="str">
        <f>VLOOKUP(F2699,Customer,5,0)</f>
        <v>Caloundra</v>
      </c>
      <c r="J2699" s="2">
        <v>208</v>
      </c>
      <c r="K2699" s="2">
        <v>187</v>
      </c>
      <c r="L2699" s="2">
        <v>3</v>
      </c>
      <c r="M2699" s="7">
        <f t="shared" ref="M2699:M2762" si="210">K2699*L2699</f>
        <v>561</v>
      </c>
      <c r="N2699" s="7">
        <f t="shared" ref="N2699:N2762" si="211">J2699*L2699</f>
        <v>624</v>
      </c>
      <c r="O2699" s="2">
        <v>80</v>
      </c>
      <c r="P2699" s="8">
        <f t="shared" ref="P2699:P2762" si="212">N2699+O2699</f>
        <v>704</v>
      </c>
      <c r="Q2699" s="8">
        <f t="shared" ref="Q2699:Q2762" si="213">N2699-M2699</f>
        <v>63</v>
      </c>
      <c r="R2699" s="2" t="s">
        <v>50</v>
      </c>
      <c r="S2699" s="24">
        <f t="shared" ref="S2699:S2762" si="214">VLOOKUP(N2699,$T$1:$U$7,2,TRUE)</f>
        <v>0.02</v>
      </c>
    </row>
    <row r="2700" spans="1:19" x14ac:dyDescent="0.25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>VLOOKUP(F2700,'Customer Info'!$A:$B,2,0)</f>
        <v>Aaron</v>
      </c>
      <c r="H2700" s="6" t="str">
        <f>VLOOKUP(F2700,'Customer Info'!$A$1:$C$501,3,0)</f>
        <v>Bergman</v>
      </c>
      <c r="I2700" s="6" t="str">
        <f>VLOOKUP(F2700,Customer,5,0)</f>
        <v>Halle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8">
        <f t="shared" si="212"/>
        <v>1266</v>
      </c>
      <c r="Q2700" s="8">
        <f t="shared" si="213"/>
        <v>102</v>
      </c>
      <c r="R2700" s="2" t="s">
        <v>28</v>
      </c>
      <c r="S2700" s="24">
        <f t="shared" si="214"/>
        <v>0.02</v>
      </c>
    </row>
    <row r="2701" spans="1:19" x14ac:dyDescent="0.25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>VLOOKUP(F2701,'Customer Info'!$A:$B,2,0)</f>
        <v>Jennifer</v>
      </c>
      <c r="H2701" s="6" t="str">
        <f>VLOOKUP(F2701,'Customer Info'!$A$1:$C$501,3,0)</f>
        <v>Jackson</v>
      </c>
      <c r="I2701" s="6" t="str">
        <f>VLOOKUP(F2701,Customer,5,0)</f>
        <v>Queanbeyan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8">
        <f t="shared" si="212"/>
        <v>24634</v>
      </c>
      <c r="Q2701" s="8">
        <f t="shared" si="213"/>
        <v>2028</v>
      </c>
      <c r="R2701" s="2" t="s">
        <v>28</v>
      </c>
      <c r="S2701" s="24">
        <f t="shared" si="214"/>
        <v>0.05</v>
      </c>
    </row>
    <row r="2702" spans="1:19" x14ac:dyDescent="0.25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>VLOOKUP(F2702,'Customer Info'!$A:$B,2,0)</f>
        <v>Heather</v>
      </c>
      <c r="H2702" s="6" t="str">
        <f>VLOOKUP(F2702,'Customer Info'!$A$1:$C$501,3,0)</f>
        <v>Kirkland</v>
      </c>
      <c r="I2702" s="6" t="str">
        <f>VLOOKUP(F2702,Customer,5,0)</f>
        <v>Luoyang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8">
        <f t="shared" si="212"/>
        <v>1419</v>
      </c>
      <c r="Q2702" s="8">
        <f t="shared" si="213"/>
        <v>78</v>
      </c>
      <c r="R2702" s="2" t="s">
        <v>50</v>
      </c>
      <c r="S2702" s="24">
        <f t="shared" si="214"/>
        <v>0.02</v>
      </c>
    </row>
    <row r="2703" spans="1:19" x14ac:dyDescent="0.25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>VLOOKUP(F2703,'Customer Info'!$A:$B,2,0)</f>
        <v>Shirley</v>
      </c>
      <c r="H2703" s="6" t="str">
        <f>VLOOKUP(F2703,'Customer Info'!$A$1:$C$501,3,0)</f>
        <v>Schmidt</v>
      </c>
      <c r="I2703" s="6" t="str">
        <f>VLOOKUP(F2703,Customer,5,0)</f>
        <v>Bijapur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8">
        <f t="shared" si="212"/>
        <v>24548</v>
      </c>
      <c r="Q2703" s="8">
        <f t="shared" si="213"/>
        <v>2025</v>
      </c>
      <c r="R2703" s="2" t="s">
        <v>28</v>
      </c>
      <c r="S2703" s="24">
        <f t="shared" si="214"/>
        <v>0.05</v>
      </c>
    </row>
    <row r="2704" spans="1:19" x14ac:dyDescent="0.25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>VLOOKUP(F2704,'Customer Info'!$A:$B,2,0)</f>
        <v>Patrick</v>
      </c>
      <c r="H2704" s="6" t="str">
        <f>VLOOKUP(F2704,'Customer Info'!$A$1:$C$501,3,0)</f>
        <v>O'Donnell</v>
      </c>
      <c r="I2704" s="6" t="str">
        <f>VLOOKUP(F2704,Customer,5,0)</f>
        <v>Sydney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58329</v>
      </c>
      <c r="O2704" s="2">
        <v>98</v>
      </c>
      <c r="P2704" s="8">
        <f t="shared" si="212"/>
        <v>58427</v>
      </c>
      <c r="Q2704" s="8">
        <f t="shared" si="213"/>
        <v>5373</v>
      </c>
      <c r="R2704" s="2" t="s">
        <v>50</v>
      </c>
      <c r="S2704" s="24">
        <f t="shared" si="214"/>
        <v>0.09</v>
      </c>
    </row>
    <row r="2705" spans="1:19" x14ac:dyDescent="0.25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>VLOOKUP(F2705,'Customer Info'!$A:$B,2,0)</f>
        <v>Thomas</v>
      </c>
      <c r="H2705" s="6" t="str">
        <f>VLOOKUP(F2705,'Customer Info'!$A$1:$C$501,3,0)</f>
        <v>Seio</v>
      </c>
      <c r="I2705" s="6" t="str">
        <f>VLOOKUP(F2705,Customer,5,0)</f>
        <v>Melbourne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1956</v>
      </c>
      <c r="O2705" s="2">
        <v>94</v>
      </c>
      <c r="P2705" s="8">
        <f t="shared" si="212"/>
        <v>2050</v>
      </c>
      <c r="Q2705" s="8">
        <f t="shared" si="213"/>
        <v>112</v>
      </c>
      <c r="R2705" s="2" t="s">
        <v>28</v>
      </c>
      <c r="S2705" s="24">
        <f t="shared" si="214"/>
        <v>0.02</v>
      </c>
    </row>
    <row r="2706" spans="1:19" x14ac:dyDescent="0.25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>VLOOKUP(F2706,'Customer Info'!$A:$B,2,0)</f>
        <v>Anthony</v>
      </c>
      <c r="H2706" s="6" t="str">
        <f>VLOOKUP(F2706,'Customer Info'!$A$1:$C$501,3,0)</f>
        <v>Garverick</v>
      </c>
      <c r="I2706" s="6" t="str">
        <f>VLOOKUP(F2706,Customer,5,0)</f>
        <v>Delhi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11109</v>
      </c>
      <c r="O2706" s="2">
        <v>27</v>
      </c>
      <c r="P2706" s="8">
        <f t="shared" si="212"/>
        <v>11136</v>
      </c>
      <c r="Q2706" s="8">
        <f t="shared" si="213"/>
        <v>1113</v>
      </c>
      <c r="R2706" s="2" t="s">
        <v>28</v>
      </c>
      <c r="S2706" s="24">
        <f t="shared" si="214"/>
        <v>0.05</v>
      </c>
    </row>
    <row r="2707" spans="1:19" x14ac:dyDescent="0.25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>VLOOKUP(F2707,'Customer Info'!$A:$B,2,0)</f>
        <v>Brad</v>
      </c>
      <c r="H2707" s="6" t="str">
        <f>VLOOKUP(F2707,'Customer Info'!$A$1:$C$501,3,0)</f>
        <v>Eason</v>
      </c>
      <c r="I2707" s="6" t="str">
        <f>VLOOKUP(F2707,Customer,5,0)</f>
        <v>Bogor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825</v>
      </c>
      <c r="O2707" s="2">
        <v>30</v>
      </c>
      <c r="P2707" s="8">
        <f t="shared" si="212"/>
        <v>855</v>
      </c>
      <c r="Q2707" s="8">
        <f t="shared" si="213"/>
        <v>80</v>
      </c>
      <c r="R2707" s="2" t="s">
        <v>28</v>
      </c>
      <c r="S2707" s="24">
        <f t="shared" si="214"/>
        <v>0.02</v>
      </c>
    </row>
    <row r="2708" spans="1:19" x14ac:dyDescent="0.25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>VLOOKUP(F2708,'Customer Info'!$A:$B,2,0)</f>
        <v>Rick</v>
      </c>
      <c r="H2708" s="6" t="str">
        <f>VLOOKUP(F2708,'Customer Info'!$A$1:$C$501,3,0)</f>
        <v>Duston</v>
      </c>
      <c r="I2708" s="6" t="str">
        <f>VLOOKUP(F2708,Customer,5,0)</f>
        <v>Bhiwandi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92</v>
      </c>
      <c r="O2708" s="2">
        <v>10</v>
      </c>
      <c r="P2708" s="8">
        <f t="shared" si="212"/>
        <v>102</v>
      </c>
      <c r="Q2708" s="8">
        <f t="shared" si="213"/>
        <v>7</v>
      </c>
      <c r="R2708" s="2" t="s">
        <v>28</v>
      </c>
      <c r="S2708" s="24">
        <f t="shared" si="214"/>
        <v>0.02</v>
      </c>
    </row>
    <row r="2709" spans="1:19" x14ac:dyDescent="0.25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>VLOOKUP(F2709,'Customer Info'!$A:$B,2,0)</f>
        <v>Michelle</v>
      </c>
      <c r="H2709" s="6" t="str">
        <f>VLOOKUP(F2709,'Customer Info'!$A$1:$C$501,3,0)</f>
        <v>Arnett</v>
      </c>
      <c r="I2709" s="6" t="str">
        <f>VLOOKUP(F2709,Customer,5,0)</f>
        <v>Yancheng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1169</v>
      </c>
      <c r="O2709" s="2">
        <v>34</v>
      </c>
      <c r="P2709" s="8">
        <f t="shared" si="212"/>
        <v>1203</v>
      </c>
      <c r="Q2709" s="8">
        <f t="shared" si="213"/>
        <v>66</v>
      </c>
      <c r="R2709" s="2" t="s">
        <v>28</v>
      </c>
      <c r="S2709" s="24">
        <f t="shared" si="214"/>
        <v>0.02</v>
      </c>
    </row>
    <row r="2710" spans="1:19" x14ac:dyDescent="0.25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>VLOOKUP(F2710,'Customer Info'!$A:$B,2,0)</f>
        <v>Tracy</v>
      </c>
      <c r="H2710" s="6" t="str">
        <f>VLOOKUP(F2710,'Customer Info'!$A$1:$C$501,3,0)</f>
        <v>Blumstein</v>
      </c>
      <c r="I2710" s="6" t="str">
        <f>VLOOKUP(F2710,Customer,5,0)</f>
        <v>Guangzhou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6729</v>
      </c>
      <c r="O2710" s="2">
        <v>85</v>
      </c>
      <c r="P2710" s="8">
        <f t="shared" si="212"/>
        <v>6814</v>
      </c>
      <c r="Q2710" s="8">
        <f t="shared" si="213"/>
        <v>729</v>
      </c>
      <c r="R2710" s="2" t="s">
        <v>28</v>
      </c>
      <c r="S2710" s="24">
        <f t="shared" si="214"/>
        <v>0.05</v>
      </c>
    </row>
    <row r="2711" spans="1:19" x14ac:dyDescent="0.25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>VLOOKUP(F2711,'Customer Info'!$A:$B,2,0)</f>
        <v>Toby</v>
      </c>
      <c r="H2711" s="6" t="str">
        <f>VLOOKUP(F2711,'Customer Info'!$A$1:$C$501,3,0)</f>
        <v>Carlisle</v>
      </c>
      <c r="I2711" s="6" t="str">
        <f>VLOOKUP(F2711,Customer,5,0)</f>
        <v>Depok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417</v>
      </c>
      <c r="O2711" s="2">
        <v>30</v>
      </c>
      <c r="P2711" s="8">
        <f t="shared" si="212"/>
        <v>447</v>
      </c>
      <c r="Q2711" s="8">
        <f t="shared" si="213"/>
        <v>18</v>
      </c>
      <c r="R2711" s="2" t="s">
        <v>28</v>
      </c>
      <c r="S2711" s="24">
        <f t="shared" si="214"/>
        <v>0.02</v>
      </c>
    </row>
    <row r="2712" spans="1:19" x14ac:dyDescent="0.25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>VLOOKUP(F2712,'Customer Info'!$A:$B,2,0)</f>
        <v>Eugene</v>
      </c>
      <c r="H2712" s="6" t="str">
        <f>VLOOKUP(F2712,'Customer Info'!$A$1:$C$501,3,0)</f>
        <v>Hildebrand</v>
      </c>
      <c r="I2712" s="6" t="str">
        <f>VLOOKUP(F2712,Customer,5,0)</f>
        <v>Liaocheng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15844</v>
      </c>
      <c r="O2712" s="2">
        <v>83</v>
      </c>
      <c r="P2712" s="8">
        <f t="shared" si="212"/>
        <v>15927</v>
      </c>
      <c r="Q2712" s="8">
        <f t="shared" si="213"/>
        <v>1188</v>
      </c>
      <c r="R2712" s="2" t="s">
        <v>28</v>
      </c>
      <c r="S2712" s="24">
        <f t="shared" si="214"/>
        <v>0.05</v>
      </c>
    </row>
    <row r="2713" spans="1:19" x14ac:dyDescent="0.25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>VLOOKUP(F2713,'Customer Info'!$A:$B,2,0)</f>
        <v>Sara</v>
      </c>
      <c r="H2713" s="6" t="str">
        <f>VLOOKUP(F2713,'Customer Info'!$A$1:$C$501,3,0)</f>
        <v>Luxemburg</v>
      </c>
      <c r="I2713" s="6" t="str">
        <f>VLOOKUP(F2713,Customer,5,0)</f>
        <v>Luoyang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4704</v>
      </c>
      <c r="O2713" s="2">
        <v>91</v>
      </c>
      <c r="P2713" s="8">
        <f t="shared" si="212"/>
        <v>4795</v>
      </c>
      <c r="Q2713" s="8">
        <f t="shared" si="213"/>
        <v>343</v>
      </c>
      <c r="R2713" s="2" t="s">
        <v>28</v>
      </c>
      <c r="S2713" s="24">
        <f t="shared" si="214"/>
        <v>0.02</v>
      </c>
    </row>
    <row r="2714" spans="1:19" x14ac:dyDescent="0.25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>VLOOKUP(F2714,'Customer Info'!$A:$B,2,0)</f>
        <v>Roger</v>
      </c>
      <c r="H2714" s="6" t="str">
        <f>VLOOKUP(F2714,'Customer Info'!$A$1:$C$501,3,0)</f>
        <v>Barcio</v>
      </c>
      <c r="I2714" s="6" t="str">
        <f>VLOOKUP(F2714,Customer,5,0)</f>
        <v>Bremen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238</v>
      </c>
      <c r="O2714" s="2">
        <v>30</v>
      </c>
      <c r="P2714" s="8">
        <f t="shared" si="212"/>
        <v>268</v>
      </c>
      <c r="Q2714" s="8">
        <f t="shared" si="213"/>
        <v>14</v>
      </c>
      <c r="R2714" s="2" t="s">
        <v>28</v>
      </c>
      <c r="S2714" s="24">
        <f t="shared" si="214"/>
        <v>0.02</v>
      </c>
    </row>
    <row r="2715" spans="1:19" x14ac:dyDescent="0.25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>VLOOKUP(F2715,'Customer Info'!$A:$B,2,0)</f>
        <v>Kelly</v>
      </c>
      <c r="H2715" s="6" t="str">
        <f>VLOOKUP(F2715,'Customer Info'!$A$1:$C$501,3,0)</f>
        <v>Collister</v>
      </c>
      <c r="I2715" s="6" t="str">
        <f>VLOOKUP(F2715,Customer,5,0)</f>
        <v>Sydney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40302</v>
      </c>
      <c r="O2715" s="2">
        <v>20</v>
      </c>
      <c r="P2715" s="8">
        <f t="shared" si="212"/>
        <v>40322</v>
      </c>
      <c r="Q2715" s="8">
        <f t="shared" si="213"/>
        <v>2574</v>
      </c>
      <c r="R2715" s="2" t="s">
        <v>28</v>
      </c>
      <c r="S2715" s="24">
        <f t="shared" si="214"/>
        <v>7.0000000000000007E-2</v>
      </c>
    </row>
    <row r="2716" spans="1:19" x14ac:dyDescent="0.25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>VLOOKUP(F2716,'Customer Info'!$A:$B,2,0)</f>
        <v>Dianna</v>
      </c>
      <c r="H2716" s="6" t="str">
        <f>VLOOKUP(F2716,'Customer Info'!$A$1:$C$501,3,0)</f>
        <v>Wilson</v>
      </c>
      <c r="I2716" s="6" t="str">
        <f>VLOOKUP(F2716,Customer,5,0)</f>
        <v>Pematangsiantar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2042</v>
      </c>
      <c r="O2716" s="2">
        <v>49</v>
      </c>
      <c r="P2716" s="8">
        <f t="shared" si="212"/>
        <v>2091</v>
      </c>
      <c r="Q2716" s="8">
        <f t="shared" si="213"/>
        <v>77</v>
      </c>
      <c r="R2716" s="2" t="s">
        <v>28</v>
      </c>
      <c r="S2716" s="24">
        <f t="shared" si="214"/>
        <v>0.02</v>
      </c>
    </row>
    <row r="2717" spans="1:19" x14ac:dyDescent="0.25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>VLOOKUP(F2717,'Customer Info'!$A:$B,2,0)</f>
        <v>Vivek</v>
      </c>
      <c r="H2717" s="6" t="str">
        <f>VLOOKUP(F2717,'Customer Info'!$A$1:$C$501,3,0)</f>
        <v>Gonzalez</v>
      </c>
      <c r="I2717" s="6" t="str">
        <f>VLOOKUP(F2717,Customer,5,0)</f>
        <v>Nanyang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1983</v>
      </c>
      <c r="O2717" s="2">
        <v>29</v>
      </c>
      <c r="P2717" s="8">
        <f t="shared" si="212"/>
        <v>2012</v>
      </c>
      <c r="Q2717" s="8">
        <f t="shared" si="213"/>
        <v>75</v>
      </c>
      <c r="R2717" s="2" t="s">
        <v>50</v>
      </c>
      <c r="S2717" s="24">
        <f t="shared" si="214"/>
        <v>0.02</v>
      </c>
    </row>
    <row r="2718" spans="1:19" x14ac:dyDescent="0.25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>VLOOKUP(F2718,'Customer Info'!$A:$B,2,0)</f>
        <v>Randy</v>
      </c>
      <c r="H2718" s="6" t="str">
        <f>VLOOKUP(F2718,'Customer Info'!$A$1:$C$501,3,0)</f>
        <v>Bradley</v>
      </c>
      <c r="I2718" s="6" t="str">
        <f>VLOOKUP(F2718,Customer,5,0)</f>
        <v>Wollongong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26080</v>
      </c>
      <c r="O2718" s="2">
        <v>43</v>
      </c>
      <c r="P2718" s="8">
        <f t="shared" si="212"/>
        <v>26123</v>
      </c>
      <c r="Q2718" s="8">
        <f t="shared" si="213"/>
        <v>2140</v>
      </c>
      <c r="R2718" s="2" t="s">
        <v>28</v>
      </c>
      <c r="S2718" s="24">
        <f t="shared" si="214"/>
        <v>7.0000000000000007E-2</v>
      </c>
    </row>
    <row r="2719" spans="1:19" x14ac:dyDescent="0.25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>VLOOKUP(F2719,'Customer Info'!$A:$B,2,0)</f>
        <v>Vivek</v>
      </c>
      <c r="H2719" s="6" t="str">
        <f>VLOOKUP(F2719,'Customer Info'!$A$1:$C$501,3,0)</f>
        <v>Gonzalez</v>
      </c>
      <c r="I2719" s="6" t="str">
        <f>VLOOKUP(F2719,Customer,5,0)</f>
        <v>Nanyang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2162</v>
      </c>
      <c r="O2719" s="2">
        <v>71</v>
      </c>
      <c r="P2719" s="8">
        <f t="shared" si="212"/>
        <v>2233</v>
      </c>
      <c r="Q2719" s="8">
        <f t="shared" si="213"/>
        <v>196</v>
      </c>
      <c r="R2719" s="2" t="s">
        <v>50</v>
      </c>
      <c r="S2719" s="24">
        <f t="shared" si="214"/>
        <v>0.02</v>
      </c>
    </row>
    <row r="2720" spans="1:19" x14ac:dyDescent="0.25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>VLOOKUP(F2720,'Customer Info'!$A:$B,2,0)</f>
        <v>Christine</v>
      </c>
      <c r="H2720" s="6" t="str">
        <f>VLOOKUP(F2720,'Customer Info'!$A$1:$C$501,3,0)</f>
        <v>Abelman</v>
      </c>
      <c r="I2720" s="6" t="str">
        <f>VLOOKUP(F2720,Customer,5,0)</f>
        <v>Nasik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3596</v>
      </c>
      <c r="O2720" s="2">
        <v>36</v>
      </c>
      <c r="P2720" s="8">
        <f t="shared" si="212"/>
        <v>3632</v>
      </c>
      <c r="Q2720" s="8">
        <f t="shared" si="213"/>
        <v>264</v>
      </c>
      <c r="R2720" s="2" t="s">
        <v>50</v>
      </c>
      <c r="S2720" s="24">
        <f t="shared" si="214"/>
        <v>0.02</v>
      </c>
    </row>
    <row r="2721" spans="1:19" x14ac:dyDescent="0.25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>VLOOKUP(F2721,'Customer Info'!$A:$B,2,0)</f>
        <v>Julie</v>
      </c>
      <c r="H2721" s="6" t="str">
        <f>VLOOKUP(F2721,'Customer Info'!$A$1:$C$501,3,0)</f>
        <v>Prescott</v>
      </c>
      <c r="I2721" s="6" t="str">
        <f>VLOOKUP(F2721,Customer,5,0)</f>
        <v>Norderstedt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2631</v>
      </c>
      <c r="O2721" s="2">
        <v>47</v>
      </c>
      <c r="P2721" s="8">
        <f t="shared" si="212"/>
        <v>2678</v>
      </c>
      <c r="Q2721" s="8">
        <f t="shared" si="213"/>
        <v>267</v>
      </c>
      <c r="R2721" s="2" t="s">
        <v>28</v>
      </c>
      <c r="S2721" s="24">
        <f t="shared" si="214"/>
        <v>0.02</v>
      </c>
    </row>
    <row r="2722" spans="1:19" x14ac:dyDescent="0.25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>VLOOKUP(F2722,'Customer Info'!$A:$B,2,0)</f>
        <v>Trudy</v>
      </c>
      <c r="H2722" s="6" t="str">
        <f>VLOOKUP(F2722,'Customer Info'!$A$1:$C$501,3,0)</f>
        <v>Glocke</v>
      </c>
      <c r="I2722" s="6" t="str">
        <f>VLOOKUP(F2722,Customer,5,0)</f>
        <v>Huaiyin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1052</v>
      </c>
      <c r="O2722" s="2">
        <v>49</v>
      </c>
      <c r="P2722" s="8">
        <f t="shared" si="212"/>
        <v>1101</v>
      </c>
      <c r="Q2722" s="8">
        <f t="shared" si="213"/>
        <v>78</v>
      </c>
      <c r="R2722" s="2" t="s">
        <v>26</v>
      </c>
      <c r="S2722" s="24">
        <f t="shared" si="214"/>
        <v>0.02</v>
      </c>
    </row>
    <row r="2723" spans="1:19" x14ac:dyDescent="0.25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>VLOOKUP(F2723,'Customer Info'!$A:$B,2,0)</f>
        <v>Rob</v>
      </c>
      <c r="H2723" s="6" t="str">
        <f>VLOOKUP(F2723,'Customer Info'!$A$1:$C$501,3,0)</f>
        <v>Williams</v>
      </c>
      <c r="I2723" s="6" t="str">
        <f>VLOOKUP(F2723,Customer,5,0)</f>
        <v>Wodonga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210</v>
      </c>
      <c r="O2723" s="2">
        <v>76</v>
      </c>
      <c r="P2723" s="8">
        <f t="shared" si="212"/>
        <v>286</v>
      </c>
      <c r="Q2723" s="8">
        <f t="shared" si="213"/>
        <v>19</v>
      </c>
      <c r="R2723" s="2" t="s">
        <v>28</v>
      </c>
      <c r="S2723" s="24">
        <f t="shared" si="214"/>
        <v>0.02</v>
      </c>
    </row>
    <row r="2724" spans="1:19" x14ac:dyDescent="0.25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>VLOOKUP(F2724,'Customer Info'!$A:$B,2,0)</f>
        <v>Shirley</v>
      </c>
      <c r="H2724" s="6" t="str">
        <f>VLOOKUP(F2724,'Customer Info'!$A$1:$C$501,3,0)</f>
        <v>Jackson</v>
      </c>
      <c r="I2724" s="6" t="str">
        <f>VLOOKUP(F2724,Customer,5,0)</f>
        <v>Gold Coast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2116</v>
      </c>
      <c r="O2724" s="2">
        <v>26</v>
      </c>
      <c r="P2724" s="8">
        <f t="shared" si="212"/>
        <v>2142</v>
      </c>
      <c r="Q2724" s="8">
        <f t="shared" si="213"/>
        <v>138</v>
      </c>
      <c r="R2724" s="2" t="s">
        <v>50</v>
      </c>
      <c r="S2724" s="24">
        <f t="shared" si="214"/>
        <v>0.02</v>
      </c>
    </row>
    <row r="2725" spans="1:19" x14ac:dyDescent="0.25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>VLOOKUP(F2725,'Customer Info'!$A:$B,2,0)</f>
        <v>Andrew</v>
      </c>
      <c r="H2725" s="6" t="str">
        <f>VLOOKUP(F2725,'Customer Info'!$A$1:$C$501,3,0)</f>
        <v>Gjertsen</v>
      </c>
      <c r="I2725" s="6" t="str">
        <f>VLOOKUP(F2725,Customer,5,0)</f>
        <v>Hamburg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2342</v>
      </c>
      <c r="O2725" s="2">
        <v>83</v>
      </c>
      <c r="P2725" s="8">
        <f t="shared" si="212"/>
        <v>2425</v>
      </c>
      <c r="Q2725" s="8">
        <f t="shared" si="213"/>
        <v>132</v>
      </c>
      <c r="R2725" s="2" t="s">
        <v>28</v>
      </c>
      <c r="S2725" s="24">
        <f t="shared" si="214"/>
        <v>0.02</v>
      </c>
    </row>
    <row r="2726" spans="1:19" x14ac:dyDescent="0.25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>VLOOKUP(F2726,'Customer Info'!$A:$B,2,0)</f>
        <v>Dionis</v>
      </c>
      <c r="H2726" s="6" t="str">
        <f>VLOOKUP(F2726,'Customer Info'!$A$1:$C$501,3,0)</f>
        <v>Lloyd</v>
      </c>
      <c r="I2726" s="6" t="str">
        <f>VLOOKUP(F2726,Customer,5,0)</f>
        <v>Kamarhati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417</v>
      </c>
      <c r="O2726" s="2">
        <v>30</v>
      </c>
      <c r="P2726" s="8">
        <f t="shared" si="212"/>
        <v>447</v>
      </c>
      <c r="Q2726" s="8">
        <f t="shared" si="213"/>
        <v>18</v>
      </c>
      <c r="R2726" s="2" t="s">
        <v>28</v>
      </c>
      <c r="S2726" s="24">
        <f t="shared" si="214"/>
        <v>0.02</v>
      </c>
    </row>
    <row r="2727" spans="1:19" x14ac:dyDescent="0.25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>VLOOKUP(F2727,'Customer Info'!$A:$B,2,0)</f>
        <v>Kean</v>
      </c>
      <c r="H2727" s="6" t="str">
        <f>VLOOKUP(F2727,'Customer Info'!$A$1:$C$501,3,0)</f>
        <v>Thornton</v>
      </c>
      <c r="I2727" s="6" t="str">
        <f>VLOOKUP(F2727,Customer,5,0)</f>
        <v>Brisbane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300</v>
      </c>
      <c r="O2727" s="2">
        <v>10</v>
      </c>
      <c r="P2727" s="8">
        <f t="shared" si="212"/>
        <v>310</v>
      </c>
      <c r="Q2727" s="8">
        <f t="shared" si="213"/>
        <v>15</v>
      </c>
      <c r="R2727" s="2" t="s">
        <v>28</v>
      </c>
      <c r="S2727" s="24">
        <f t="shared" si="214"/>
        <v>0.02</v>
      </c>
    </row>
    <row r="2728" spans="1:19" x14ac:dyDescent="0.25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>VLOOKUP(F2728,'Customer Info'!$A:$B,2,0)</f>
        <v>Andrew</v>
      </c>
      <c r="H2728" s="6" t="str">
        <f>VLOOKUP(F2728,'Customer Info'!$A$1:$C$501,3,0)</f>
        <v>Gjertsen</v>
      </c>
      <c r="I2728" s="6" t="str">
        <f>VLOOKUP(F2728,Customer,5,0)</f>
        <v>Hamburg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5163</v>
      </c>
      <c r="O2728" s="2">
        <v>32</v>
      </c>
      <c r="P2728" s="8">
        <f t="shared" si="212"/>
        <v>5195</v>
      </c>
      <c r="Q2728" s="8">
        <f t="shared" si="213"/>
        <v>243</v>
      </c>
      <c r="R2728" s="2" t="s">
        <v>50</v>
      </c>
      <c r="S2728" s="24">
        <f t="shared" si="214"/>
        <v>0.05</v>
      </c>
    </row>
    <row r="2729" spans="1:19" x14ac:dyDescent="0.25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>VLOOKUP(F2729,'Customer Info'!$A:$B,2,0)</f>
        <v>Christina</v>
      </c>
      <c r="H2729" s="6" t="str">
        <f>VLOOKUP(F2729,'Customer Info'!$A$1:$C$501,3,0)</f>
        <v>VanderZanden</v>
      </c>
      <c r="I2729" s="6" t="str">
        <f>VLOOKUP(F2729,Customer,5,0)</f>
        <v>Gold Coast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2085</v>
      </c>
      <c r="O2729" s="2">
        <v>58</v>
      </c>
      <c r="P2729" s="8">
        <f t="shared" si="212"/>
        <v>2143</v>
      </c>
      <c r="Q2729" s="8">
        <f t="shared" si="213"/>
        <v>102</v>
      </c>
      <c r="R2729" s="2" t="s">
        <v>28</v>
      </c>
      <c r="S2729" s="24">
        <f t="shared" si="214"/>
        <v>0.02</v>
      </c>
    </row>
    <row r="2730" spans="1:19" x14ac:dyDescent="0.25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>VLOOKUP(F2730,'Customer Info'!$A:$B,2,0)</f>
        <v>Bill</v>
      </c>
      <c r="H2730" s="6" t="str">
        <f>VLOOKUP(F2730,'Customer Info'!$A$1:$C$501,3,0)</f>
        <v>Eplett</v>
      </c>
      <c r="I2730" s="6" t="str">
        <f>VLOOKUP(F2730,Customer,5,0)</f>
        <v>Newcastle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173</v>
      </c>
      <c r="O2730" s="2">
        <v>30</v>
      </c>
      <c r="P2730" s="8">
        <f t="shared" si="212"/>
        <v>203</v>
      </c>
      <c r="Q2730" s="8">
        <f t="shared" si="213"/>
        <v>18</v>
      </c>
      <c r="R2730" s="2" t="s">
        <v>28</v>
      </c>
      <c r="S2730" s="24">
        <f t="shared" si="214"/>
        <v>0.02</v>
      </c>
    </row>
    <row r="2731" spans="1:19" x14ac:dyDescent="0.25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>VLOOKUP(F2731,'Customer Info'!$A:$B,2,0)</f>
        <v>John</v>
      </c>
      <c r="H2731" s="6" t="str">
        <f>VLOOKUP(F2731,'Customer Info'!$A$1:$C$501,3,0)</f>
        <v>Grady</v>
      </c>
      <c r="I2731" s="6" t="str">
        <f>VLOOKUP(F2731,Customer,5,0)</f>
        <v>Mianyang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5151</v>
      </c>
      <c r="O2731" s="2">
        <v>87</v>
      </c>
      <c r="P2731" s="8">
        <f t="shared" si="212"/>
        <v>5238</v>
      </c>
      <c r="Q2731" s="8">
        <f t="shared" si="213"/>
        <v>195</v>
      </c>
      <c r="R2731" s="2" t="s">
        <v>28</v>
      </c>
      <c r="S2731" s="24">
        <f t="shared" si="214"/>
        <v>0.05</v>
      </c>
    </row>
    <row r="2732" spans="1:19" x14ac:dyDescent="0.25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>VLOOKUP(F2732,'Customer Info'!$A:$B,2,0)</f>
        <v>Troy</v>
      </c>
      <c r="H2732" s="6" t="str">
        <f>VLOOKUP(F2732,'Customer Info'!$A$1:$C$501,3,0)</f>
        <v>Blackwell</v>
      </c>
      <c r="I2732" s="6" t="str">
        <f>VLOOKUP(F2732,Customer,5,0)</f>
        <v>Akola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3130</v>
      </c>
      <c r="O2732" s="2">
        <v>21</v>
      </c>
      <c r="P2732" s="8">
        <f t="shared" si="212"/>
        <v>3151</v>
      </c>
      <c r="Q2732" s="8">
        <f t="shared" si="213"/>
        <v>335</v>
      </c>
      <c r="R2732" s="2" t="s">
        <v>50</v>
      </c>
      <c r="S2732" s="24">
        <f t="shared" si="214"/>
        <v>0.02</v>
      </c>
    </row>
    <row r="2733" spans="1:19" x14ac:dyDescent="0.25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>VLOOKUP(F2733,'Customer Info'!$A:$B,2,0)</f>
        <v>Erica</v>
      </c>
      <c r="H2733" s="6" t="str">
        <f>VLOOKUP(F2733,'Customer Info'!$A$1:$C$501,3,0)</f>
        <v>Smith</v>
      </c>
      <c r="I2733" s="6" t="str">
        <f>VLOOKUP(F2733,Customer,5,0)</f>
        <v>Halle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417</v>
      </c>
      <c r="O2733" s="2">
        <v>30</v>
      </c>
      <c r="P2733" s="8">
        <f t="shared" si="212"/>
        <v>447</v>
      </c>
      <c r="Q2733" s="8">
        <f t="shared" si="213"/>
        <v>18</v>
      </c>
      <c r="R2733" s="2" t="s">
        <v>28</v>
      </c>
      <c r="S2733" s="24">
        <f t="shared" si="214"/>
        <v>0.02</v>
      </c>
    </row>
    <row r="2734" spans="1:19" x14ac:dyDescent="0.25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>VLOOKUP(F2734,'Customer Info'!$A:$B,2,0)</f>
        <v>Duane</v>
      </c>
      <c r="H2734" s="6" t="str">
        <f>VLOOKUP(F2734,'Customer Info'!$A$1:$C$501,3,0)</f>
        <v>Noonan</v>
      </c>
      <c r="I2734" s="6" t="str">
        <f>VLOOKUP(F2734,Customer,5,0)</f>
        <v>Durg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3872</v>
      </c>
      <c r="O2734" s="2">
        <v>48</v>
      </c>
      <c r="P2734" s="8">
        <f t="shared" si="212"/>
        <v>3920</v>
      </c>
      <c r="Q2734" s="8">
        <f t="shared" si="213"/>
        <v>220</v>
      </c>
      <c r="R2734" s="2" t="s">
        <v>28</v>
      </c>
      <c r="S2734" s="24">
        <f t="shared" si="214"/>
        <v>0.02</v>
      </c>
    </row>
    <row r="2735" spans="1:19" x14ac:dyDescent="0.25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>VLOOKUP(F2735,'Customer Info'!$A:$B,2,0)</f>
        <v>Dean</v>
      </c>
      <c r="H2735" s="6" t="str">
        <f>VLOOKUP(F2735,'Customer Info'!$A$1:$C$501,3,0)</f>
        <v>Katz</v>
      </c>
      <c r="I2735" s="6" t="str">
        <f>VLOOKUP(F2735,Customer,5,0)</f>
        <v>Changzhou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1622</v>
      </c>
      <c r="O2735" s="2">
        <v>54</v>
      </c>
      <c r="P2735" s="8">
        <f t="shared" si="212"/>
        <v>1676</v>
      </c>
      <c r="Q2735" s="8">
        <f t="shared" si="213"/>
        <v>62</v>
      </c>
      <c r="R2735" s="2" t="s">
        <v>50</v>
      </c>
      <c r="S2735" s="24">
        <f t="shared" si="214"/>
        <v>0.02</v>
      </c>
    </row>
    <row r="2736" spans="1:19" x14ac:dyDescent="0.25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>VLOOKUP(F2736,'Customer Info'!$A:$B,2,0)</f>
        <v>Max</v>
      </c>
      <c r="H2736" s="6" t="str">
        <f>VLOOKUP(F2736,'Customer Info'!$A$1:$C$501,3,0)</f>
        <v>Ludwig</v>
      </c>
      <c r="I2736" s="6" t="str">
        <f>VLOOKUP(F2736,Customer,5,0)</f>
        <v>Newcastle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408</v>
      </c>
      <c r="O2736" s="2">
        <v>10</v>
      </c>
      <c r="P2736" s="8">
        <f t="shared" si="212"/>
        <v>418</v>
      </c>
      <c r="Q2736" s="8">
        <f t="shared" si="213"/>
        <v>30</v>
      </c>
      <c r="R2736" s="2" t="s">
        <v>28</v>
      </c>
      <c r="S2736" s="24">
        <f t="shared" si="214"/>
        <v>0.02</v>
      </c>
    </row>
    <row r="2737" spans="1:19" x14ac:dyDescent="0.25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>VLOOKUP(F2737,'Customer Info'!$A:$B,2,0)</f>
        <v>Craig</v>
      </c>
      <c r="H2737" s="6" t="str">
        <f>VLOOKUP(F2737,'Customer Info'!$A$1:$C$501,3,0)</f>
        <v>Carreira</v>
      </c>
      <c r="I2737" s="6" t="str">
        <f>VLOOKUP(F2737,Customer,5,0)</f>
        <v>Worms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1521</v>
      </c>
      <c r="O2737" s="2">
        <v>30</v>
      </c>
      <c r="P2737" s="8">
        <f t="shared" si="212"/>
        <v>1551</v>
      </c>
      <c r="Q2737" s="8">
        <f t="shared" si="213"/>
        <v>135</v>
      </c>
      <c r="R2737" s="2" t="s">
        <v>28</v>
      </c>
      <c r="S2737" s="24">
        <f t="shared" si="214"/>
        <v>0.02</v>
      </c>
    </row>
    <row r="2738" spans="1:19" x14ac:dyDescent="0.25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>VLOOKUP(F2738,'Customer Info'!$A:$B,2,0)</f>
        <v>Jim</v>
      </c>
      <c r="H2738" s="6" t="str">
        <f>VLOOKUP(F2738,'Customer Info'!$A$1:$C$501,3,0)</f>
        <v>Karlsson</v>
      </c>
      <c r="I2738" s="6" t="str">
        <f>VLOOKUP(F2738,Customer,5,0)</f>
        <v>Geelong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15920</v>
      </c>
      <c r="O2738" s="2">
        <v>26</v>
      </c>
      <c r="P2738" s="8">
        <f t="shared" si="212"/>
        <v>15946</v>
      </c>
      <c r="Q2738" s="8">
        <f t="shared" si="213"/>
        <v>1185</v>
      </c>
      <c r="R2738" s="2" t="s">
        <v>50</v>
      </c>
      <c r="S2738" s="24">
        <f t="shared" si="214"/>
        <v>0.05</v>
      </c>
    </row>
    <row r="2739" spans="1:19" x14ac:dyDescent="0.25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>VLOOKUP(F2739,'Customer Info'!$A:$B,2,0)</f>
        <v>Paul</v>
      </c>
      <c r="H2739" s="6" t="str">
        <f>VLOOKUP(F2739,'Customer Info'!$A$1:$C$501,3,0)</f>
        <v>Stevenson</v>
      </c>
      <c r="I2739" s="6" t="str">
        <f>VLOOKUP(F2739,Customer,5,0)</f>
        <v>Kwinana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5904</v>
      </c>
      <c r="O2739" s="2">
        <v>39</v>
      </c>
      <c r="P2739" s="8">
        <f t="shared" si="212"/>
        <v>5943</v>
      </c>
      <c r="Q2739" s="8">
        <f t="shared" si="213"/>
        <v>441</v>
      </c>
      <c r="R2739" s="2" t="s">
        <v>26</v>
      </c>
      <c r="S2739" s="24">
        <f t="shared" si="214"/>
        <v>0.05</v>
      </c>
    </row>
    <row r="2740" spans="1:19" x14ac:dyDescent="0.25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>VLOOKUP(F2740,'Customer Info'!$A:$B,2,0)</f>
        <v>Dennis</v>
      </c>
      <c r="H2740" s="6" t="str">
        <f>VLOOKUP(F2740,'Customer Info'!$A$1:$C$501,3,0)</f>
        <v>Pardue</v>
      </c>
      <c r="I2740" s="6" t="str">
        <f>VLOOKUP(F2740,Customer,5,0)</f>
        <v>Pekalongan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5058</v>
      </c>
      <c r="O2740" s="2">
        <v>75</v>
      </c>
      <c r="P2740" s="8">
        <f t="shared" si="212"/>
        <v>5133</v>
      </c>
      <c r="Q2740" s="8">
        <f t="shared" si="213"/>
        <v>285</v>
      </c>
      <c r="R2740" s="2" t="s">
        <v>50</v>
      </c>
      <c r="S2740" s="24">
        <f t="shared" si="214"/>
        <v>0.05</v>
      </c>
    </row>
    <row r="2741" spans="1:19" x14ac:dyDescent="0.25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>VLOOKUP(F2741,'Customer Info'!$A:$B,2,0)</f>
        <v>Tamara</v>
      </c>
      <c r="H2741" s="6" t="str">
        <f>VLOOKUP(F2741,'Customer Info'!$A$1:$C$501,3,0)</f>
        <v>Willingham</v>
      </c>
      <c r="I2741" s="6" t="str">
        <f>VLOOKUP(F2741,Customer,5,0)</f>
        <v>Perth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1556</v>
      </c>
      <c r="O2741" s="2">
        <v>32</v>
      </c>
      <c r="P2741" s="8">
        <f t="shared" si="212"/>
        <v>1588</v>
      </c>
      <c r="Q2741" s="8">
        <f t="shared" si="213"/>
        <v>142</v>
      </c>
      <c r="R2741" s="2" t="s">
        <v>50</v>
      </c>
      <c r="S2741" s="24">
        <f t="shared" si="214"/>
        <v>0.02</v>
      </c>
    </row>
    <row r="2742" spans="1:19" x14ac:dyDescent="0.25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>VLOOKUP(F2742,'Customer Info'!$A:$B,2,0)</f>
        <v>Victor</v>
      </c>
      <c r="H2742" s="6" t="str">
        <f>VLOOKUP(F2742,'Customer Info'!$A$1:$C$501,3,0)</f>
        <v>Preis</v>
      </c>
      <c r="I2742" s="6" t="str">
        <f>VLOOKUP(F2742,Customer,5,0)</f>
        <v>Melbourne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354</v>
      </c>
      <c r="O2742" s="2">
        <v>30</v>
      </c>
      <c r="P2742" s="8">
        <f t="shared" si="212"/>
        <v>384</v>
      </c>
      <c r="Q2742" s="8">
        <f t="shared" si="213"/>
        <v>16</v>
      </c>
      <c r="R2742" s="2" t="s">
        <v>56</v>
      </c>
      <c r="S2742" s="24">
        <f t="shared" si="214"/>
        <v>0.02</v>
      </c>
    </row>
    <row r="2743" spans="1:19" x14ac:dyDescent="0.25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>VLOOKUP(F2743,'Customer Info'!$A:$B,2,0)</f>
        <v>Randy</v>
      </c>
      <c r="H2743" s="6" t="str">
        <f>VLOOKUP(F2743,'Customer Info'!$A$1:$C$501,3,0)</f>
        <v>Ferguson</v>
      </c>
      <c r="I2743" s="6" t="str">
        <f>VLOOKUP(F2743,Customer,5,0)</f>
        <v>Adelaide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29896</v>
      </c>
      <c r="O2743" s="2">
        <v>65</v>
      </c>
      <c r="P2743" s="8">
        <f t="shared" si="212"/>
        <v>29961</v>
      </c>
      <c r="Q2743" s="8">
        <f t="shared" si="213"/>
        <v>2464</v>
      </c>
      <c r="R2743" s="2" t="s">
        <v>28</v>
      </c>
      <c r="S2743" s="24">
        <f t="shared" si="214"/>
        <v>7.0000000000000007E-2</v>
      </c>
    </row>
    <row r="2744" spans="1:19" x14ac:dyDescent="0.25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>VLOOKUP(F2744,'Customer Info'!$A:$B,2,0)</f>
        <v>Erin</v>
      </c>
      <c r="H2744" s="6" t="str">
        <f>VLOOKUP(F2744,'Customer Info'!$A$1:$C$501,3,0)</f>
        <v>Smith</v>
      </c>
      <c r="I2744" s="6" t="str">
        <f>VLOOKUP(F2744,Customer,5,0)</f>
        <v>Yuci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1246</v>
      </c>
      <c r="O2744" s="2">
        <v>79</v>
      </c>
      <c r="P2744" s="8">
        <f t="shared" si="212"/>
        <v>1325</v>
      </c>
      <c r="Q2744" s="8">
        <f t="shared" si="213"/>
        <v>82</v>
      </c>
      <c r="R2744" s="2" t="s">
        <v>28</v>
      </c>
      <c r="S2744" s="24">
        <f t="shared" si="214"/>
        <v>0.02</v>
      </c>
    </row>
    <row r="2745" spans="1:19" x14ac:dyDescent="0.25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>VLOOKUP(F2745,'Customer Info'!$A:$B,2,0)</f>
        <v>Liz</v>
      </c>
      <c r="H2745" s="6" t="str">
        <f>VLOOKUP(F2745,'Customer Info'!$A$1:$C$501,3,0)</f>
        <v>Pelletier</v>
      </c>
      <c r="I2745" s="6" t="str">
        <f>VLOOKUP(F2745,Customer,5,0)</f>
        <v>Zigong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4755</v>
      </c>
      <c r="O2745" s="2">
        <v>23</v>
      </c>
      <c r="P2745" s="8">
        <f t="shared" si="212"/>
        <v>4778</v>
      </c>
      <c r="Q2745" s="8">
        <f t="shared" si="213"/>
        <v>270</v>
      </c>
      <c r="R2745" s="2" t="s">
        <v>50</v>
      </c>
      <c r="S2745" s="24">
        <f t="shared" si="214"/>
        <v>0.02</v>
      </c>
    </row>
    <row r="2746" spans="1:19" x14ac:dyDescent="0.25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>VLOOKUP(F2746,'Customer Info'!$A:$B,2,0)</f>
        <v>Shahid</v>
      </c>
      <c r="H2746" s="6" t="str">
        <f>VLOOKUP(F2746,'Customer Info'!$A$1:$C$501,3,0)</f>
        <v>Collister</v>
      </c>
      <c r="I2746" s="6" t="str">
        <f>VLOOKUP(F2746,Customer,5,0)</f>
        <v>Leipzig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4884</v>
      </c>
      <c r="O2746" s="2">
        <v>34</v>
      </c>
      <c r="P2746" s="8">
        <f t="shared" si="212"/>
        <v>4918</v>
      </c>
      <c r="Q2746" s="8">
        <f t="shared" si="213"/>
        <v>276</v>
      </c>
      <c r="R2746" s="2" t="s">
        <v>28</v>
      </c>
      <c r="S2746" s="24">
        <f t="shared" si="214"/>
        <v>0.02</v>
      </c>
    </row>
    <row r="2747" spans="1:19" x14ac:dyDescent="0.25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>VLOOKUP(F2747,'Customer Info'!$A:$B,2,0)</f>
        <v>Toby</v>
      </c>
      <c r="H2747" s="6" t="str">
        <f>VLOOKUP(F2747,'Customer Info'!$A$1:$C$501,3,0)</f>
        <v>Carlisle</v>
      </c>
      <c r="I2747" s="6" t="str">
        <f>VLOOKUP(F2747,Customer,5,0)</f>
        <v>Depok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25857</v>
      </c>
      <c r="O2747" s="2">
        <v>86</v>
      </c>
      <c r="P2747" s="8">
        <f t="shared" si="212"/>
        <v>25943</v>
      </c>
      <c r="Q2747" s="8">
        <f t="shared" si="213"/>
        <v>2580</v>
      </c>
      <c r="R2747" s="2" t="s">
        <v>26</v>
      </c>
      <c r="S2747" s="24">
        <f t="shared" si="214"/>
        <v>7.0000000000000007E-2</v>
      </c>
    </row>
    <row r="2748" spans="1:19" x14ac:dyDescent="0.25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>VLOOKUP(F2748,'Customer Info'!$A:$B,2,0)</f>
        <v>Mike</v>
      </c>
      <c r="H2748" s="6" t="str">
        <f>VLOOKUP(F2748,'Customer Info'!$A$1:$C$501,3,0)</f>
        <v>Pelletier</v>
      </c>
      <c r="I2748" s="6" t="str">
        <f>VLOOKUP(F2748,Customer,5,0)</f>
        <v>Jakarta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19616</v>
      </c>
      <c r="O2748" s="2">
        <v>98</v>
      </c>
      <c r="P2748" s="8">
        <f t="shared" si="212"/>
        <v>19714</v>
      </c>
      <c r="Q2748" s="8">
        <f t="shared" si="213"/>
        <v>1620</v>
      </c>
      <c r="R2748" s="2" t="s">
        <v>28</v>
      </c>
      <c r="S2748" s="24">
        <f t="shared" si="214"/>
        <v>0.05</v>
      </c>
    </row>
    <row r="2749" spans="1:19" x14ac:dyDescent="0.25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>VLOOKUP(F2749,'Customer Info'!$A:$B,2,0)</f>
        <v>Rachel</v>
      </c>
      <c r="H2749" s="6" t="str">
        <f>VLOOKUP(F2749,'Customer Info'!$A$1:$C$501,3,0)</f>
        <v>Payne</v>
      </c>
      <c r="I2749" s="6" t="str">
        <f>VLOOKUP(F2749,Customer,5,0)</f>
        <v>Fuzhou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58756</v>
      </c>
      <c r="O2749" s="2">
        <v>66</v>
      </c>
      <c r="P2749" s="8">
        <f t="shared" si="212"/>
        <v>58822</v>
      </c>
      <c r="Q2749" s="8">
        <f t="shared" si="213"/>
        <v>4932</v>
      </c>
      <c r="R2749" s="2" t="s">
        <v>28</v>
      </c>
      <c r="S2749" s="24">
        <f t="shared" si="214"/>
        <v>0.09</v>
      </c>
    </row>
    <row r="2750" spans="1:19" x14ac:dyDescent="0.25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>VLOOKUP(F2750,'Customer Info'!$A:$B,2,0)</f>
        <v>Pamela</v>
      </c>
      <c r="H2750" s="6" t="str">
        <f>VLOOKUP(F2750,'Customer Info'!$A$1:$C$501,3,0)</f>
        <v>Coakley</v>
      </c>
      <c r="I2750" s="6" t="str">
        <f>VLOOKUP(F2750,Customer,5,0)</f>
        <v>Jakarta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50696</v>
      </c>
      <c r="O2750" s="2">
        <v>99</v>
      </c>
      <c r="P2750" s="8">
        <f t="shared" si="212"/>
        <v>50795</v>
      </c>
      <c r="Q2750" s="8">
        <f t="shared" si="213"/>
        <v>976</v>
      </c>
      <c r="R2750" s="2" t="s">
        <v>28</v>
      </c>
      <c r="S2750" s="24">
        <f t="shared" si="214"/>
        <v>0.09</v>
      </c>
    </row>
    <row r="2751" spans="1:19" x14ac:dyDescent="0.25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>VLOOKUP(F2751,'Customer Info'!$A:$B,2,0)</f>
        <v>Craig</v>
      </c>
      <c r="H2751" s="6" t="str">
        <f>VLOOKUP(F2751,'Customer Info'!$A$1:$C$501,3,0)</f>
        <v>Carroll</v>
      </c>
      <c r="I2751" s="6" t="str">
        <f>VLOOKUP(F2751,Customer,5,0)</f>
        <v>Suzhou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6461</v>
      </c>
      <c r="O2751" s="2">
        <v>65</v>
      </c>
      <c r="P2751" s="8">
        <f t="shared" si="212"/>
        <v>6526</v>
      </c>
      <c r="Q2751" s="8">
        <f t="shared" si="213"/>
        <v>308</v>
      </c>
      <c r="R2751" s="2" t="s">
        <v>28</v>
      </c>
      <c r="S2751" s="24">
        <f t="shared" si="214"/>
        <v>0.05</v>
      </c>
    </row>
    <row r="2752" spans="1:19" x14ac:dyDescent="0.25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>VLOOKUP(F2752,'Customer Info'!$A:$B,2,0)</f>
        <v>Claudia</v>
      </c>
      <c r="H2752" s="6" t="str">
        <f>VLOOKUP(F2752,'Customer Info'!$A$1:$C$501,3,0)</f>
        <v>Bergmann</v>
      </c>
      <c r="I2752" s="6" t="str">
        <f>VLOOKUP(F2752,Customer,5,0)</f>
        <v>Aschaffenburg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2083</v>
      </c>
      <c r="O2752" s="2">
        <v>74</v>
      </c>
      <c r="P2752" s="8">
        <f t="shared" si="212"/>
        <v>2157</v>
      </c>
      <c r="Q2752" s="8">
        <f t="shared" si="213"/>
        <v>79</v>
      </c>
      <c r="R2752" s="2" t="s">
        <v>50</v>
      </c>
      <c r="S2752" s="24">
        <f t="shared" si="214"/>
        <v>0.02</v>
      </c>
    </row>
    <row r="2753" spans="1:19" x14ac:dyDescent="0.25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>VLOOKUP(F2753,'Customer Info'!$A:$B,2,0)</f>
        <v>Julie</v>
      </c>
      <c r="H2753" s="6" t="str">
        <f>VLOOKUP(F2753,'Customer Info'!$A$1:$C$501,3,0)</f>
        <v>Creighton</v>
      </c>
      <c r="I2753" s="6" t="str">
        <f>VLOOKUP(F2753,Customer,5,0)</f>
        <v>Ballarat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120</v>
      </c>
      <c r="O2753" s="2">
        <v>10</v>
      </c>
      <c r="P2753" s="8">
        <f t="shared" si="212"/>
        <v>130</v>
      </c>
      <c r="Q2753" s="8">
        <f t="shared" si="213"/>
        <v>10</v>
      </c>
      <c r="R2753" s="2" t="s">
        <v>28</v>
      </c>
      <c r="S2753" s="24">
        <f t="shared" si="214"/>
        <v>0.02</v>
      </c>
    </row>
    <row r="2754" spans="1:19" x14ac:dyDescent="0.25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>VLOOKUP(F2754,'Customer Info'!$A:$B,2,0)</f>
        <v>Philisse</v>
      </c>
      <c r="H2754" s="6" t="str">
        <f>VLOOKUP(F2754,'Customer Info'!$A$1:$C$501,3,0)</f>
        <v>Overcash</v>
      </c>
      <c r="I2754" s="6" t="str">
        <f>VLOOKUP(F2754,Customer,5,0)</f>
        <v>Potsdam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23805</v>
      </c>
      <c r="O2754" s="2">
        <v>63</v>
      </c>
      <c r="P2754" s="8">
        <f t="shared" si="212"/>
        <v>23868</v>
      </c>
      <c r="Q2754" s="8">
        <f t="shared" si="213"/>
        <v>1965</v>
      </c>
      <c r="R2754" s="2" t="s">
        <v>28</v>
      </c>
      <c r="S2754" s="24">
        <f t="shared" si="214"/>
        <v>0.05</v>
      </c>
    </row>
    <row r="2755" spans="1:19" x14ac:dyDescent="0.25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>VLOOKUP(F2755,'Customer Info'!$A:$B,2,0)</f>
        <v>Cynthia</v>
      </c>
      <c r="H2755" s="6" t="str">
        <f>VLOOKUP(F2755,'Customer Info'!$A$1:$C$501,3,0)</f>
        <v>Delaney</v>
      </c>
      <c r="I2755" s="6" t="str">
        <f>VLOOKUP(F2755,Customer,5,0)</f>
        <v>Gold Coast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1368</v>
      </c>
      <c r="O2755" s="2">
        <v>59</v>
      </c>
      <c r="P2755" s="8">
        <f t="shared" si="212"/>
        <v>1427</v>
      </c>
      <c r="Q2755" s="8">
        <f t="shared" si="213"/>
        <v>78</v>
      </c>
      <c r="R2755" s="2" t="s">
        <v>26</v>
      </c>
      <c r="S2755" s="24">
        <f t="shared" si="214"/>
        <v>0.02</v>
      </c>
    </row>
    <row r="2756" spans="1:19" x14ac:dyDescent="0.25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>VLOOKUP(F2756,'Customer Info'!$A:$B,2,0)</f>
        <v>Carl</v>
      </c>
      <c r="H2756" s="6" t="str">
        <f>VLOOKUP(F2756,'Customer Info'!$A$1:$C$501,3,0)</f>
        <v>Weiss</v>
      </c>
      <c r="I2756" s="6" t="str">
        <f>VLOOKUP(F2756,Customer,5,0)</f>
        <v>Tianjin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1718</v>
      </c>
      <c r="O2756" s="2">
        <v>89</v>
      </c>
      <c r="P2756" s="8">
        <f t="shared" si="212"/>
        <v>1807</v>
      </c>
      <c r="Q2756" s="8">
        <f t="shared" si="213"/>
        <v>173</v>
      </c>
      <c r="R2756" s="2" t="s">
        <v>50</v>
      </c>
      <c r="S2756" s="24">
        <f t="shared" si="214"/>
        <v>0.02</v>
      </c>
    </row>
    <row r="2757" spans="1:19" x14ac:dyDescent="0.25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>VLOOKUP(F2757,'Customer Info'!$A:$B,2,0)</f>
        <v>Sally</v>
      </c>
      <c r="H2757" s="6" t="str">
        <f>VLOOKUP(F2757,'Customer Info'!$A$1:$C$501,3,0)</f>
        <v>Hughsby</v>
      </c>
      <c r="I2757" s="6" t="str">
        <f>VLOOKUP(F2757,Customer,5,0)</f>
        <v>Depok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891</v>
      </c>
      <c r="O2757" s="2">
        <v>10</v>
      </c>
      <c r="P2757" s="8">
        <f t="shared" si="212"/>
        <v>901</v>
      </c>
      <c r="Q2757" s="8">
        <f t="shared" si="213"/>
        <v>44</v>
      </c>
      <c r="R2757" s="2" t="s">
        <v>28</v>
      </c>
      <c r="S2757" s="24">
        <f t="shared" si="214"/>
        <v>0.02</v>
      </c>
    </row>
    <row r="2758" spans="1:19" x14ac:dyDescent="0.25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>VLOOKUP(F2758,'Customer Info'!$A:$B,2,0)</f>
        <v>Duane</v>
      </c>
      <c r="H2758" s="6" t="str">
        <f>VLOOKUP(F2758,'Customer Info'!$A$1:$C$501,3,0)</f>
        <v>Huffman</v>
      </c>
      <c r="I2758" s="6" t="str">
        <f>VLOOKUP(F2758,Customer,5,0)</f>
        <v>Perth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7872</v>
      </c>
      <c r="O2758" s="2">
        <v>73</v>
      </c>
      <c r="P2758" s="8">
        <f t="shared" si="212"/>
        <v>7945</v>
      </c>
      <c r="Q2758" s="8">
        <f t="shared" si="213"/>
        <v>588</v>
      </c>
      <c r="R2758" s="2" t="s">
        <v>28</v>
      </c>
      <c r="S2758" s="24">
        <f t="shared" si="214"/>
        <v>0.05</v>
      </c>
    </row>
    <row r="2759" spans="1:19" x14ac:dyDescent="0.25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>VLOOKUP(F2759,'Customer Info'!$A:$B,2,0)</f>
        <v>Aaron</v>
      </c>
      <c r="H2759" s="6" t="str">
        <f>VLOOKUP(F2759,'Customer Info'!$A$1:$C$501,3,0)</f>
        <v>Smayling</v>
      </c>
      <c r="I2759" s="6" t="str">
        <f>VLOOKUP(F2759,Customer,5,0)</f>
        <v>Port Macquarie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25600</v>
      </c>
      <c r="O2759" s="2">
        <v>79</v>
      </c>
      <c r="P2759" s="8">
        <f t="shared" si="212"/>
        <v>25679</v>
      </c>
      <c r="Q2759" s="8">
        <f t="shared" si="213"/>
        <v>-4</v>
      </c>
      <c r="R2759" s="2" t="s">
        <v>50</v>
      </c>
      <c r="S2759" s="24">
        <f t="shared" si="214"/>
        <v>7.0000000000000007E-2</v>
      </c>
    </row>
    <row r="2760" spans="1:19" x14ac:dyDescent="0.25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>VLOOKUP(F2760,'Customer Info'!$A:$B,2,0)</f>
        <v>Christy</v>
      </c>
      <c r="H2760" s="6" t="str">
        <f>VLOOKUP(F2760,'Customer Info'!$A$1:$C$501,3,0)</f>
        <v>Brittain</v>
      </c>
      <c r="I2760" s="6" t="str">
        <f>VLOOKUP(F2760,Customer,5,0)</f>
        <v>Ajmer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350</v>
      </c>
      <c r="O2760" s="2">
        <v>30</v>
      </c>
      <c r="P2760" s="8">
        <f t="shared" si="212"/>
        <v>380</v>
      </c>
      <c r="Q2760" s="8">
        <f t="shared" si="213"/>
        <v>34</v>
      </c>
      <c r="R2760" s="2" t="s">
        <v>50</v>
      </c>
      <c r="S2760" s="24">
        <f t="shared" si="214"/>
        <v>0.02</v>
      </c>
    </row>
    <row r="2761" spans="1:19" x14ac:dyDescent="0.25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>VLOOKUP(F2761,'Customer Info'!$A:$B,2,0)</f>
        <v>Nathan</v>
      </c>
      <c r="H2761" s="6" t="str">
        <f>VLOOKUP(F2761,'Customer Info'!$A$1:$C$501,3,0)</f>
        <v>Gelder</v>
      </c>
      <c r="I2761" s="6" t="str">
        <f>VLOOKUP(F2761,Customer,5,0)</f>
        <v>Depok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1036</v>
      </c>
      <c r="O2761" s="2">
        <v>30</v>
      </c>
      <c r="P2761" s="8">
        <f t="shared" si="212"/>
        <v>1066</v>
      </c>
      <c r="Q2761" s="8">
        <f t="shared" si="213"/>
        <v>84</v>
      </c>
      <c r="R2761" s="2" t="s">
        <v>28</v>
      </c>
      <c r="S2761" s="24">
        <f t="shared" si="214"/>
        <v>0.02</v>
      </c>
    </row>
    <row r="2762" spans="1:19" x14ac:dyDescent="0.25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>VLOOKUP(F2762,'Customer Info'!$A:$B,2,0)</f>
        <v>Michael</v>
      </c>
      <c r="H2762" s="6" t="str">
        <f>VLOOKUP(F2762,'Customer Info'!$A$1:$C$501,3,0)</f>
        <v>Nguyen</v>
      </c>
      <c r="I2762" s="6" t="str">
        <f>VLOOKUP(F2762,Customer,5,0)</f>
        <v>Berlin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202</v>
      </c>
      <c r="O2762" s="2">
        <v>30</v>
      </c>
      <c r="P2762" s="8">
        <f t="shared" si="212"/>
        <v>232</v>
      </c>
      <c r="Q2762" s="8">
        <f t="shared" si="213"/>
        <v>15</v>
      </c>
      <c r="R2762" s="2" t="s">
        <v>28</v>
      </c>
      <c r="S2762" s="24">
        <f t="shared" si="214"/>
        <v>0.02</v>
      </c>
    </row>
    <row r="2763" spans="1:19" x14ac:dyDescent="0.25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>VLOOKUP(F2763,'Customer Info'!$A:$B,2,0)</f>
        <v>Carol</v>
      </c>
      <c r="H2763" s="6" t="str">
        <f>VLOOKUP(F2763,'Customer Info'!$A$1:$C$501,3,0)</f>
        <v>Adams</v>
      </c>
      <c r="I2763" s="6" t="str">
        <f>VLOOKUP(F2763,Customer,5,0)</f>
        <v>Cairns</v>
      </c>
      <c r="J2763" s="2">
        <v>171</v>
      </c>
      <c r="K2763" s="2">
        <v>153</v>
      </c>
      <c r="L2763" s="2">
        <v>9</v>
      </c>
      <c r="M2763" s="7">
        <f t="shared" ref="M2763:M2826" si="215">K2763*L2763</f>
        <v>1377</v>
      </c>
      <c r="N2763" s="7">
        <f t="shared" ref="N2763:N2826" si="216">J2763*L2763</f>
        <v>1539</v>
      </c>
      <c r="O2763" s="2">
        <v>30</v>
      </c>
      <c r="P2763" s="8">
        <f t="shared" ref="P2763:P2826" si="217">N2763+O2763</f>
        <v>1569</v>
      </c>
      <c r="Q2763" s="8">
        <f t="shared" ref="Q2763:Q2826" si="218">N2763-M2763</f>
        <v>162</v>
      </c>
      <c r="R2763" s="2" t="s">
        <v>28</v>
      </c>
      <c r="S2763" s="24">
        <f t="shared" ref="S2763:S2826" si="219">VLOOKUP(N2763,$T$1:$U$7,2,TRUE)</f>
        <v>0.02</v>
      </c>
    </row>
    <row r="2764" spans="1:19" x14ac:dyDescent="0.25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>VLOOKUP(F2764,'Customer Info'!$A:$B,2,0)</f>
        <v>Heather</v>
      </c>
      <c r="H2764" s="6" t="str">
        <f>VLOOKUP(F2764,'Customer Info'!$A$1:$C$501,3,0)</f>
        <v>Kirkland</v>
      </c>
      <c r="I2764" s="6" t="str">
        <f>VLOOKUP(F2764,Customer,5,0)</f>
        <v>Townsville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8">
        <f t="shared" si="217"/>
        <v>21657</v>
      </c>
      <c r="Q2764" s="8">
        <f t="shared" si="218"/>
        <v>1425</v>
      </c>
      <c r="R2764" s="2" t="s">
        <v>28</v>
      </c>
      <c r="S2764" s="24">
        <f t="shared" si="219"/>
        <v>0.05</v>
      </c>
    </row>
    <row r="2765" spans="1:19" x14ac:dyDescent="0.25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>VLOOKUP(F2765,'Customer Info'!$A:$B,2,0)</f>
        <v>Julia</v>
      </c>
      <c r="H2765" s="6" t="str">
        <f>VLOOKUP(F2765,'Customer Info'!$A$1:$C$501,3,0)</f>
        <v>Dunbar</v>
      </c>
      <c r="I2765" s="6" t="str">
        <f>VLOOKUP(F2765,Customer,5,0)</f>
        <v>Melbourne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8">
        <f t="shared" si="217"/>
        <v>1721</v>
      </c>
      <c r="Q2765" s="8">
        <f t="shared" si="218"/>
        <v>62</v>
      </c>
      <c r="R2765" s="2" t="s">
        <v>28</v>
      </c>
      <c r="S2765" s="24">
        <f t="shared" si="219"/>
        <v>0.02</v>
      </c>
    </row>
    <row r="2766" spans="1:19" x14ac:dyDescent="0.25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>VLOOKUP(F2766,'Customer Info'!$A:$B,2,0)</f>
        <v>Lisa</v>
      </c>
      <c r="H2766" s="6" t="str">
        <f>VLOOKUP(F2766,'Customer Info'!$A$1:$C$501,3,0)</f>
        <v>DeCherney</v>
      </c>
      <c r="I2766" s="6" t="str">
        <f>VLOOKUP(F2766,Customer,5,0)</f>
        <v>Ningbo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8">
        <f t="shared" si="217"/>
        <v>478180</v>
      </c>
      <c r="Q2766" s="8">
        <f t="shared" si="218"/>
        <v>26897</v>
      </c>
      <c r="R2766" s="2" t="s">
        <v>50</v>
      </c>
      <c r="S2766" s="24">
        <f t="shared" si="219"/>
        <v>0.15</v>
      </c>
    </row>
    <row r="2767" spans="1:19" x14ac:dyDescent="0.25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>VLOOKUP(F2767,'Customer Info'!$A:$B,2,0)</f>
        <v>Steve</v>
      </c>
      <c r="H2767" s="6" t="str">
        <f>VLOOKUP(F2767,'Customer Info'!$A$1:$C$501,3,0)</f>
        <v>Carroll</v>
      </c>
      <c r="I2767" s="6" t="str">
        <f>VLOOKUP(F2767,Customer,5,0)</f>
        <v>Qingdao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8">
        <f t="shared" si="217"/>
        <v>15883</v>
      </c>
      <c r="Q2767" s="8">
        <f t="shared" si="218"/>
        <v>1188</v>
      </c>
      <c r="R2767" s="2" t="s">
        <v>28</v>
      </c>
      <c r="S2767" s="24">
        <f t="shared" si="219"/>
        <v>0.05</v>
      </c>
    </row>
    <row r="2768" spans="1:19" x14ac:dyDescent="0.25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>VLOOKUP(F2768,'Customer Info'!$A:$B,2,0)</f>
        <v>Rachel</v>
      </c>
      <c r="H2768" s="6" t="str">
        <f>VLOOKUP(F2768,'Customer Info'!$A$1:$C$501,3,0)</f>
        <v>Payne</v>
      </c>
      <c r="I2768" s="6" t="str">
        <f>VLOOKUP(F2768,Customer,5,0)</f>
        <v>Fuzhou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28084</v>
      </c>
      <c r="O2768" s="2">
        <v>27</v>
      </c>
      <c r="P2768" s="8">
        <f t="shared" si="217"/>
        <v>28111</v>
      </c>
      <c r="Q2768" s="8">
        <f t="shared" si="218"/>
        <v>1340</v>
      </c>
      <c r="R2768" s="2" t="s">
        <v>28</v>
      </c>
      <c r="S2768" s="24">
        <f t="shared" si="219"/>
        <v>7.0000000000000007E-2</v>
      </c>
    </row>
    <row r="2769" spans="1:19" x14ac:dyDescent="0.25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>VLOOKUP(F2769,'Customer Info'!$A:$B,2,0)</f>
        <v>Brian</v>
      </c>
      <c r="H2769" s="6" t="str">
        <f>VLOOKUP(F2769,'Customer Info'!$A$1:$C$501,3,0)</f>
        <v>Dahlen</v>
      </c>
      <c r="I2769" s="6" t="str">
        <f>VLOOKUP(F2769,Customer,5,0)</f>
        <v>Shantou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16722</v>
      </c>
      <c r="O2769" s="2">
        <v>60</v>
      </c>
      <c r="P2769" s="8">
        <f t="shared" si="217"/>
        <v>16782</v>
      </c>
      <c r="Q2769" s="8">
        <f t="shared" si="218"/>
        <v>636</v>
      </c>
      <c r="R2769" s="2" t="s">
        <v>56</v>
      </c>
      <c r="S2769" s="24">
        <f t="shared" si="219"/>
        <v>0.05</v>
      </c>
    </row>
    <row r="2770" spans="1:19" x14ac:dyDescent="0.25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>VLOOKUP(F2770,'Customer Info'!$A:$B,2,0)</f>
        <v>Stefanie</v>
      </c>
      <c r="H2770" s="6" t="str">
        <f>VLOOKUP(F2770,'Customer Info'!$A$1:$C$501,3,0)</f>
        <v>Holloman</v>
      </c>
      <c r="I2770" s="6" t="str">
        <f>VLOOKUP(F2770,Customer,5,0)</f>
        <v>Durgapur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136</v>
      </c>
      <c r="O2770" s="2">
        <v>30</v>
      </c>
      <c r="P2770" s="8">
        <f t="shared" si="217"/>
        <v>166</v>
      </c>
      <c r="Q2770" s="8">
        <f t="shared" si="218"/>
        <v>6</v>
      </c>
      <c r="R2770" s="2" t="s">
        <v>28</v>
      </c>
      <c r="S2770" s="24">
        <f t="shared" si="219"/>
        <v>0.02</v>
      </c>
    </row>
    <row r="2771" spans="1:19" x14ac:dyDescent="0.25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>VLOOKUP(F2771,'Customer Info'!$A:$B,2,0)</f>
        <v>Laurel</v>
      </c>
      <c r="H2771" s="6" t="str">
        <f>VLOOKUP(F2771,'Customer Info'!$A$1:$C$501,3,0)</f>
        <v>Workman</v>
      </c>
      <c r="I2771" s="6" t="str">
        <f>VLOOKUP(F2771,Customer,5,0)</f>
        <v>Dongguan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20151</v>
      </c>
      <c r="O2771" s="2">
        <v>29</v>
      </c>
      <c r="P2771" s="8">
        <f t="shared" si="217"/>
        <v>20180</v>
      </c>
      <c r="Q2771" s="8">
        <f t="shared" si="218"/>
        <v>1287</v>
      </c>
      <c r="R2771" s="2" t="s">
        <v>28</v>
      </c>
      <c r="S2771" s="24">
        <f t="shared" si="219"/>
        <v>0.05</v>
      </c>
    </row>
    <row r="2772" spans="1:19" x14ac:dyDescent="0.25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>VLOOKUP(F2772,'Customer Info'!$A:$B,2,0)</f>
        <v>Barry</v>
      </c>
      <c r="H2772" s="6" t="str">
        <f>VLOOKUP(F2772,'Customer Info'!$A$1:$C$501,3,0)</f>
        <v>Blumstein</v>
      </c>
      <c r="I2772" s="6" t="str">
        <f>VLOOKUP(F2772,Customer,5,0)</f>
        <v>Toowoomba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6404</v>
      </c>
      <c r="O2772" s="2">
        <v>67</v>
      </c>
      <c r="P2772" s="8">
        <f t="shared" si="217"/>
        <v>6471</v>
      </c>
      <c r="Q2772" s="8">
        <f t="shared" si="218"/>
        <v>364</v>
      </c>
      <c r="R2772" s="2" t="s">
        <v>28</v>
      </c>
      <c r="S2772" s="24">
        <f t="shared" si="219"/>
        <v>0.05</v>
      </c>
    </row>
    <row r="2773" spans="1:19" x14ac:dyDescent="0.25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>VLOOKUP(F2773,'Customer Info'!$A:$B,2,0)</f>
        <v>Lisa</v>
      </c>
      <c r="H2773" s="6" t="str">
        <f>VLOOKUP(F2773,'Customer Info'!$A$1:$C$501,3,0)</f>
        <v>Ryan</v>
      </c>
      <c r="I2773" s="6" t="str">
        <f>VLOOKUP(F2773,Customer,5,0)</f>
        <v>Berlin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606</v>
      </c>
      <c r="O2773" s="2">
        <v>10</v>
      </c>
      <c r="P2773" s="8">
        <f t="shared" si="217"/>
        <v>616</v>
      </c>
      <c r="Q2773" s="8">
        <f t="shared" si="218"/>
        <v>18</v>
      </c>
      <c r="R2773" s="2" t="s">
        <v>28</v>
      </c>
      <c r="S2773" s="24">
        <f t="shared" si="219"/>
        <v>0.02</v>
      </c>
    </row>
    <row r="2774" spans="1:19" x14ac:dyDescent="0.25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>VLOOKUP(F2774,'Customer Info'!$A:$B,2,0)</f>
        <v>Jack</v>
      </c>
      <c r="H2774" s="6" t="str">
        <f>VLOOKUP(F2774,'Customer Info'!$A$1:$C$501,3,0)</f>
        <v>Lebron</v>
      </c>
      <c r="I2774" s="6" t="str">
        <f>VLOOKUP(F2774,Customer,5,0)</f>
        <v>Erftstadt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1360</v>
      </c>
      <c r="O2774" s="2">
        <v>30</v>
      </c>
      <c r="P2774" s="8">
        <f t="shared" si="217"/>
        <v>1390</v>
      </c>
      <c r="Q2774" s="8">
        <f t="shared" si="218"/>
        <v>80</v>
      </c>
      <c r="R2774" s="2" t="s">
        <v>28</v>
      </c>
      <c r="S2774" s="24">
        <f t="shared" si="219"/>
        <v>0.02</v>
      </c>
    </row>
    <row r="2775" spans="1:19" x14ac:dyDescent="0.25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>VLOOKUP(F2775,'Customer Info'!$A:$B,2,0)</f>
        <v>Jennifer</v>
      </c>
      <c r="H2775" s="6" t="str">
        <f>VLOOKUP(F2775,'Customer Info'!$A$1:$C$501,3,0)</f>
        <v>Jackson</v>
      </c>
      <c r="I2775" s="6" t="str">
        <f>VLOOKUP(F2775,Customer,5,0)</f>
        <v>Queanbeyan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17476</v>
      </c>
      <c r="O2775" s="2">
        <v>64</v>
      </c>
      <c r="P2775" s="8">
        <f t="shared" si="217"/>
        <v>17540</v>
      </c>
      <c r="Q2775" s="8">
        <f t="shared" si="218"/>
        <v>1152</v>
      </c>
      <c r="R2775" s="2" t="s">
        <v>28</v>
      </c>
      <c r="S2775" s="24">
        <f t="shared" si="219"/>
        <v>0.05</v>
      </c>
    </row>
    <row r="2776" spans="1:19" x14ac:dyDescent="0.25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>VLOOKUP(F2776,'Customer Info'!$A:$B,2,0)</f>
        <v>Ryan</v>
      </c>
      <c r="H2776" s="6" t="str">
        <f>VLOOKUP(F2776,'Customer Info'!$A$1:$C$501,3,0)</f>
        <v>Akin</v>
      </c>
      <c r="I2776" s="6" t="str">
        <f>VLOOKUP(F2776,Customer,5,0)</f>
        <v>Bayreuth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60802</v>
      </c>
      <c r="O2776" s="2">
        <v>31</v>
      </c>
      <c r="P2776" s="8">
        <f t="shared" si="217"/>
        <v>60833</v>
      </c>
      <c r="Q2776" s="8">
        <f t="shared" si="218"/>
        <v>4557</v>
      </c>
      <c r="R2776" s="2" t="s">
        <v>50</v>
      </c>
      <c r="S2776" s="24">
        <f t="shared" si="219"/>
        <v>0.09</v>
      </c>
    </row>
    <row r="2777" spans="1:19" x14ac:dyDescent="0.25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>VLOOKUP(F2777,'Customer Info'!$A:$B,2,0)</f>
        <v>Roy</v>
      </c>
      <c r="H2777" s="6" t="str">
        <f>VLOOKUP(F2777,'Customer Info'!$A$1:$C$501,3,0)</f>
        <v>Phan</v>
      </c>
      <c r="I2777" s="6" t="str">
        <f>VLOOKUP(F2777,Customer,5,0)</f>
        <v>Melbourne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24597</v>
      </c>
      <c r="O2777" s="2">
        <v>21</v>
      </c>
      <c r="P2777" s="8">
        <f t="shared" si="217"/>
        <v>24618</v>
      </c>
      <c r="Q2777" s="8">
        <f t="shared" si="218"/>
        <v>2028</v>
      </c>
      <c r="R2777" s="2" t="s">
        <v>28</v>
      </c>
      <c r="S2777" s="24">
        <f t="shared" si="219"/>
        <v>0.05</v>
      </c>
    </row>
    <row r="2778" spans="1:19" x14ac:dyDescent="0.25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>VLOOKUP(F2778,'Customer Info'!$A:$B,2,0)</f>
        <v>Sally</v>
      </c>
      <c r="H2778" s="6" t="str">
        <f>VLOOKUP(F2778,'Customer Info'!$A$1:$C$501,3,0)</f>
        <v>Hughsby</v>
      </c>
      <c r="I2778" s="6" t="str">
        <f>VLOOKUP(F2778,Customer,5,0)</f>
        <v>Depok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681</v>
      </c>
      <c r="O2778" s="2">
        <v>38</v>
      </c>
      <c r="P2778" s="8">
        <f t="shared" si="217"/>
        <v>719</v>
      </c>
      <c r="Q2778" s="8">
        <f t="shared" si="218"/>
        <v>39</v>
      </c>
      <c r="R2778" s="2" t="s">
        <v>28</v>
      </c>
      <c r="S2778" s="24">
        <f t="shared" si="219"/>
        <v>0.02</v>
      </c>
    </row>
    <row r="2779" spans="1:19" x14ac:dyDescent="0.25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>VLOOKUP(F2779,'Customer Info'!$A:$B,2,0)</f>
        <v>Carlos</v>
      </c>
      <c r="H2779" s="6" t="str">
        <f>VLOOKUP(F2779,'Customer Info'!$A$1:$C$501,3,0)</f>
        <v>Soltero</v>
      </c>
      <c r="I2779" s="6" t="str">
        <f>VLOOKUP(F2779,Customer,5,0)</f>
        <v>Wodonga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3996</v>
      </c>
      <c r="O2779" s="2">
        <v>84</v>
      </c>
      <c r="P2779" s="8">
        <f t="shared" si="217"/>
        <v>4080</v>
      </c>
      <c r="Q2779" s="8">
        <f t="shared" si="218"/>
        <v>369</v>
      </c>
      <c r="R2779" s="2" t="s">
        <v>50</v>
      </c>
      <c r="S2779" s="24">
        <f t="shared" si="219"/>
        <v>0.02</v>
      </c>
    </row>
    <row r="2780" spans="1:19" x14ac:dyDescent="0.25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>VLOOKUP(F2780,'Customer Info'!$A:$B,2,0)</f>
        <v>Gary</v>
      </c>
      <c r="H2780" s="6" t="str">
        <f>VLOOKUP(F2780,'Customer Info'!$A$1:$C$501,3,0)</f>
        <v>Hansen</v>
      </c>
      <c r="I2780" s="6" t="str">
        <f>VLOOKUP(F2780,Customer,5,0)</f>
        <v>Dewas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2965</v>
      </c>
      <c r="O2780" s="2">
        <v>46</v>
      </c>
      <c r="P2780" s="8">
        <f t="shared" si="217"/>
        <v>3011</v>
      </c>
      <c r="Q2780" s="8">
        <f t="shared" si="218"/>
        <v>271</v>
      </c>
      <c r="R2780" s="2" t="s">
        <v>28</v>
      </c>
      <c r="S2780" s="24">
        <f t="shared" si="219"/>
        <v>0.02</v>
      </c>
    </row>
    <row r="2781" spans="1:19" x14ac:dyDescent="0.25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>VLOOKUP(F2781,'Customer Info'!$A:$B,2,0)</f>
        <v>Andrew</v>
      </c>
      <c r="H2781" s="6" t="str">
        <f>VLOOKUP(F2781,'Customer Info'!$A$1:$C$501,3,0)</f>
        <v>Gjertsen</v>
      </c>
      <c r="I2781" s="6" t="str">
        <f>VLOOKUP(F2781,Customer,5,0)</f>
        <v>Hamburg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16404</v>
      </c>
      <c r="O2781" s="2">
        <v>56</v>
      </c>
      <c r="P2781" s="8">
        <f t="shared" si="217"/>
        <v>16460</v>
      </c>
      <c r="Q2781" s="8">
        <f t="shared" si="218"/>
        <v>1216</v>
      </c>
      <c r="R2781" s="2" t="s">
        <v>28</v>
      </c>
      <c r="S2781" s="24">
        <f t="shared" si="219"/>
        <v>0.05</v>
      </c>
    </row>
    <row r="2782" spans="1:19" x14ac:dyDescent="0.25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>VLOOKUP(F2782,'Customer Info'!$A:$B,2,0)</f>
        <v>Nat</v>
      </c>
      <c r="H2782" s="6" t="str">
        <f>VLOOKUP(F2782,'Customer Info'!$A$1:$C$501,3,0)</f>
        <v>Carroll</v>
      </c>
      <c r="I2782" s="6" t="str">
        <f>VLOOKUP(F2782,Customer,5,0)</f>
        <v>Shanghai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1400</v>
      </c>
      <c r="O2782" s="2">
        <v>30</v>
      </c>
      <c r="P2782" s="8">
        <f t="shared" si="217"/>
        <v>1430</v>
      </c>
      <c r="Q2782" s="8">
        <f t="shared" si="218"/>
        <v>136</v>
      </c>
      <c r="R2782" s="2" t="s">
        <v>56</v>
      </c>
      <c r="S2782" s="24">
        <f t="shared" si="219"/>
        <v>0.02</v>
      </c>
    </row>
    <row r="2783" spans="1:19" x14ac:dyDescent="0.25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>VLOOKUP(F2783,'Customer Info'!$A:$B,2,0)</f>
        <v>Alex</v>
      </c>
      <c r="H2783" s="6" t="str">
        <f>VLOOKUP(F2783,'Customer Info'!$A$1:$C$501,3,0)</f>
        <v>Avila</v>
      </c>
      <c r="I2783" s="6" t="str">
        <f>VLOOKUP(F2783,Customer,5,0)</f>
        <v>Agra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8199</v>
      </c>
      <c r="O2783" s="2">
        <v>60</v>
      </c>
      <c r="P2783" s="8">
        <f t="shared" si="217"/>
        <v>8259</v>
      </c>
      <c r="Q2783" s="8">
        <f t="shared" si="218"/>
        <v>676</v>
      </c>
      <c r="R2783" s="2" t="s">
        <v>50</v>
      </c>
      <c r="S2783" s="24">
        <f t="shared" si="219"/>
        <v>0.05</v>
      </c>
    </row>
    <row r="2784" spans="1:19" x14ac:dyDescent="0.25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>VLOOKUP(F2784,'Customer Info'!$A:$B,2,0)</f>
        <v>Dianna</v>
      </c>
      <c r="H2784" s="6" t="str">
        <f>VLOOKUP(F2784,'Customer Info'!$A$1:$C$501,3,0)</f>
        <v>Wilson</v>
      </c>
      <c r="I2784" s="6" t="str">
        <f>VLOOKUP(F2784,Customer,5,0)</f>
        <v>Pematangsiantar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5322</v>
      </c>
      <c r="O2784" s="2">
        <v>64</v>
      </c>
      <c r="P2784" s="8">
        <f t="shared" si="217"/>
        <v>5386</v>
      </c>
      <c r="Q2784" s="8">
        <f t="shared" si="218"/>
        <v>438</v>
      </c>
      <c r="R2784" s="2" t="s">
        <v>50</v>
      </c>
      <c r="S2784" s="24">
        <f t="shared" si="219"/>
        <v>0.05</v>
      </c>
    </row>
    <row r="2785" spans="1:19" x14ac:dyDescent="0.25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>VLOOKUP(F2785,'Customer Info'!$A:$B,2,0)</f>
        <v>Randy</v>
      </c>
      <c r="H2785" s="6" t="str">
        <f>VLOOKUP(F2785,'Customer Info'!$A$1:$C$501,3,0)</f>
        <v>Bradley</v>
      </c>
      <c r="I2785" s="6" t="str">
        <f>VLOOKUP(F2785,Customer,5,0)</f>
        <v>Wollongong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7359</v>
      </c>
      <c r="O2785" s="2">
        <v>52</v>
      </c>
      <c r="P2785" s="8">
        <f t="shared" si="217"/>
        <v>7411</v>
      </c>
      <c r="Q2785" s="8">
        <f t="shared" si="218"/>
        <v>351</v>
      </c>
      <c r="R2785" s="2" t="s">
        <v>28</v>
      </c>
      <c r="S2785" s="24">
        <f t="shared" si="219"/>
        <v>0.05</v>
      </c>
    </row>
    <row r="2786" spans="1:19" x14ac:dyDescent="0.25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>VLOOKUP(F2786,'Customer Info'!$A:$B,2,0)</f>
        <v>Scott</v>
      </c>
      <c r="H2786" s="6" t="str">
        <f>VLOOKUP(F2786,'Customer Info'!$A$1:$C$501,3,0)</f>
        <v>Williamson</v>
      </c>
      <c r="I2786" s="6" t="str">
        <f>VLOOKUP(F2786,Customer,5,0)</f>
        <v>Launceston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214</v>
      </c>
      <c r="O2786" s="2">
        <v>30</v>
      </c>
      <c r="P2786" s="8">
        <f t="shared" si="217"/>
        <v>244</v>
      </c>
      <c r="Q2786" s="8">
        <f t="shared" si="218"/>
        <v>14</v>
      </c>
      <c r="R2786" s="2" t="s">
        <v>50</v>
      </c>
      <c r="S2786" s="24">
        <f t="shared" si="219"/>
        <v>0.02</v>
      </c>
    </row>
    <row r="2787" spans="1:19" x14ac:dyDescent="0.25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>VLOOKUP(F2787,'Customer Info'!$A:$B,2,0)</f>
        <v>Philisse</v>
      </c>
      <c r="H2787" s="6" t="str">
        <f>VLOOKUP(F2787,'Customer Info'!$A$1:$C$501,3,0)</f>
        <v>Overcash</v>
      </c>
      <c r="I2787" s="6" t="str">
        <f>VLOOKUP(F2787,Customer,5,0)</f>
        <v>Potsdam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8281</v>
      </c>
      <c r="O2787" s="2">
        <v>75</v>
      </c>
      <c r="P2787" s="8">
        <f t="shared" si="217"/>
        <v>8356</v>
      </c>
      <c r="Q2787" s="8">
        <f t="shared" si="218"/>
        <v>608</v>
      </c>
      <c r="R2787" s="2" t="s">
        <v>50</v>
      </c>
      <c r="S2787" s="24">
        <f t="shared" si="219"/>
        <v>0.05</v>
      </c>
    </row>
    <row r="2788" spans="1:19" x14ac:dyDescent="0.25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>VLOOKUP(F2788,'Customer Info'!$A:$B,2,0)</f>
        <v>Dana</v>
      </c>
      <c r="H2788" s="6" t="str">
        <f>VLOOKUP(F2788,'Customer Info'!$A$1:$C$501,3,0)</f>
        <v>Kaydos</v>
      </c>
      <c r="I2788" s="6" t="str">
        <f>VLOOKUP(F2788,Customer,5,0)</f>
        <v>Nagercoil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4092</v>
      </c>
      <c r="O2788" s="2">
        <v>94</v>
      </c>
      <c r="P2788" s="8">
        <f t="shared" si="217"/>
        <v>4186</v>
      </c>
      <c r="Q2788" s="8">
        <f t="shared" si="218"/>
        <v>270</v>
      </c>
      <c r="R2788" s="2" t="s">
        <v>50</v>
      </c>
      <c r="S2788" s="24">
        <f t="shared" si="219"/>
        <v>0.02</v>
      </c>
    </row>
    <row r="2789" spans="1:19" x14ac:dyDescent="0.25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>VLOOKUP(F2789,'Customer Info'!$A:$B,2,0)</f>
        <v>John</v>
      </c>
      <c r="H2789" s="6" t="str">
        <f>VLOOKUP(F2789,'Customer Info'!$A$1:$C$501,3,0)</f>
        <v>Castell</v>
      </c>
      <c r="I2789" s="6" t="str">
        <f>VLOOKUP(F2789,Customer,5,0)</f>
        <v>Jakarta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3172</v>
      </c>
      <c r="O2789" s="2">
        <v>86</v>
      </c>
      <c r="P2789" s="8">
        <f t="shared" si="217"/>
        <v>3258</v>
      </c>
      <c r="Q2789" s="8">
        <f t="shared" si="218"/>
        <v>152</v>
      </c>
      <c r="R2789" s="2" t="s">
        <v>28</v>
      </c>
      <c r="S2789" s="24">
        <f t="shared" si="219"/>
        <v>0.02</v>
      </c>
    </row>
    <row r="2790" spans="1:19" x14ac:dyDescent="0.25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>VLOOKUP(F2790,'Customer Info'!$A:$B,2,0)</f>
        <v>Corey</v>
      </c>
      <c r="H2790" s="6" t="str">
        <f>VLOOKUP(F2790,'Customer Info'!$A$1:$C$501,3,0)</f>
        <v>Lock</v>
      </c>
      <c r="I2790" s="6" t="str">
        <f>VLOOKUP(F2790,Customer,5,0)</f>
        <v>Geelong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17778</v>
      </c>
      <c r="O2790" s="2">
        <v>52</v>
      </c>
      <c r="P2790" s="8">
        <f t="shared" si="217"/>
        <v>17830</v>
      </c>
      <c r="Q2790" s="8">
        <f t="shared" si="218"/>
        <v>840</v>
      </c>
      <c r="R2790" s="2" t="s">
        <v>28</v>
      </c>
      <c r="S2790" s="24">
        <f t="shared" si="219"/>
        <v>0.05</v>
      </c>
    </row>
    <row r="2791" spans="1:19" x14ac:dyDescent="0.25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>VLOOKUP(F2791,'Customer Info'!$A:$B,2,0)</f>
        <v>Evan</v>
      </c>
      <c r="H2791" s="6" t="str">
        <f>VLOOKUP(F2791,'Customer Info'!$A$1:$C$501,3,0)</f>
        <v>Bailliet</v>
      </c>
      <c r="I2791" s="6" t="str">
        <f>VLOOKUP(F2791,Customer,5,0)</f>
        <v>Sydney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3455</v>
      </c>
      <c r="O2791" s="2">
        <v>31</v>
      </c>
      <c r="P2791" s="8">
        <f t="shared" si="217"/>
        <v>3486</v>
      </c>
      <c r="Q2791" s="8">
        <f t="shared" si="218"/>
        <v>320</v>
      </c>
      <c r="R2791" s="2" t="s">
        <v>28</v>
      </c>
      <c r="S2791" s="24">
        <f t="shared" si="219"/>
        <v>0.02</v>
      </c>
    </row>
    <row r="2792" spans="1:19" x14ac:dyDescent="0.25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>VLOOKUP(F2792,'Customer Info'!$A:$B,2,0)</f>
        <v>Maribeth</v>
      </c>
      <c r="H2792" s="6" t="str">
        <f>VLOOKUP(F2792,'Customer Info'!$A$1:$C$501,3,0)</f>
        <v>Dona</v>
      </c>
      <c r="I2792" s="6" t="str">
        <f>VLOOKUP(F2792,Customer,5,0)</f>
        <v>Adelaide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122</v>
      </c>
      <c r="O2792" s="2">
        <v>10</v>
      </c>
      <c r="P2792" s="8">
        <f t="shared" si="217"/>
        <v>132</v>
      </c>
      <c r="Q2792" s="8">
        <f t="shared" si="218"/>
        <v>8</v>
      </c>
      <c r="R2792" s="2" t="s">
        <v>28</v>
      </c>
      <c r="S2792" s="24">
        <f t="shared" si="219"/>
        <v>0.02</v>
      </c>
    </row>
    <row r="2793" spans="1:19" x14ac:dyDescent="0.25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>VLOOKUP(F2793,'Customer Info'!$A:$B,2,0)</f>
        <v>Arthur</v>
      </c>
      <c r="H2793" s="6" t="str">
        <f>VLOOKUP(F2793,'Customer Info'!$A$1:$C$501,3,0)</f>
        <v>Prichep</v>
      </c>
      <c r="I2793" s="6" t="str">
        <f>VLOOKUP(F2793,Customer,5,0)</f>
        <v>Minden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9522</v>
      </c>
      <c r="O2793" s="2">
        <v>39</v>
      </c>
      <c r="P2793" s="8">
        <f t="shared" si="217"/>
        <v>9561</v>
      </c>
      <c r="Q2793" s="8">
        <f t="shared" si="218"/>
        <v>786</v>
      </c>
      <c r="R2793" s="2" t="s">
        <v>26</v>
      </c>
      <c r="S2793" s="24">
        <f t="shared" si="219"/>
        <v>0.05</v>
      </c>
    </row>
    <row r="2794" spans="1:19" x14ac:dyDescent="0.25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>VLOOKUP(F2794,'Customer Info'!$A:$B,2,0)</f>
        <v>Lindsay</v>
      </c>
      <c r="H2794" s="6" t="str">
        <f>VLOOKUP(F2794,'Customer Info'!$A$1:$C$501,3,0)</f>
        <v>Williams</v>
      </c>
      <c r="I2794" s="6" t="str">
        <f>VLOOKUP(F2794,Customer,5,0)</f>
        <v>Akola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6800</v>
      </c>
      <c r="O2794" s="2">
        <v>95</v>
      </c>
      <c r="P2794" s="8">
        <f t="shared" si="217"/>
        <v>6895</v>
      </c>
      <c r="Q2794" s="8">
        <f t="shared" si="218"/>
        <v>320</v>
      </c>
      <c r="R2794" s="2" t="s">
        <v>26</v>
      </c>
      <c r="S2794" s="24">
        <f t="shared" si="219"/>
        <v>0.05</v>
      </c>
    </row>
    <row r="2795" spans="1:19" x14ac:dyDescent="0.25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>VLOOKUP(F2795,'Customer Info'!$A:$B,2,0)</f>
        <v>Lindsay</v>
      </c>
      <c r="H2795" s="6" t="str">
        <f>VLOOKUP(F2795,'Customer Info'!$A$1:$C$501,3,0)</f>
        <v>Williams</v>
      </c>
      <c r="I2795" s="6" t="str">
        <f>VLOOKUP(F2795,Customer,5,0)</f>
        <v>Akola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2857</v>
      </c>
      <c r="O2795" s="2">
        <v>68</v>
      </c>
      <c r="P2795" s="8">
        <f t="shared" si="217"/>
        <v>2925</v>
      </c>
      <c r="Q2795" s="8">
        <f t="shared" si="218"/>
        <v>235</v>
      </c>
      <c r="R2795" s="2" t="s">
        <v>28</v>
      </c>
      <c r="S2795" s="24">
        <f t="shared" si="219"/>
        <v>0.02</v>
      </c>
    </row>
    <row r="2796" spans="1:19" x14ac:dyDescent="0.25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>VLOOKUP(F2796,'Customer Info'!$A:$B,2,0)</f>
        <v>Sheri</v>
      </c>
      <c r="H2796" s="6" t="str">
        <f>VLOOKUP(F2796,'Customer Info'!$A$1:$C$501,3,0)</f>
        <v>Gordon</v>
      </c>
      <c r="I2796" s="6" t="str">
        <f>VLOOKUP(F2796,Customer,5,0)</f>
        <v>Bogor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26901</v>
      </c>
      <c r="O2796" s="2">
        <v>27</v>
      </c>
      <c r="P2796" s="8">
        <f t="shared" si="217"/>
        <v>26928</v>
      </c>
      <c r="Q2796" s="8">
        <f t="shared" si="218"/>
        <v>2448</v>
      </c>
      <c r="R2796" s="2" t="s">
        <v>28</v>
      </c>
      <c r="S2796" s="24">
        <f t="shared" si="219"/>
        <v>7.0000000000000007E-2</v>
      </c>
    </row>
    <row r="2797" spans="1:19" x14ac:dyDescent="0.25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>VLOOKUP(F2797,'Customer Info'!$A:$B,2,0)</f>
        <v>Duane</v>
      </c>
      <c r="H2797" s="6" t="str">
        <f>VLOOKUP(F2797,'Customer Info'!$A$1:$C$501,3,0)</f>
        <v>Huffman</v>
      </c>
      <c r="I2797" s="6" t="str">
        <f>VLOOKUP(F2797,Customer,5,0)</f>
        <v>Perth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61166</v>
      </c>
      <c r="O2797" s="2">
        <v>45</v>
      </c>
      <c r="P2797" s="8">
        <f t="shared" si="217"/>
        <v>61211</v>
      </c>
      <c r="Q2797" s="8">
        <f t="shared" si="218"/>
        <v>4032</v>
      </c>
      <c r="R2797" s="2" t="s">
        <v>28</v>
      </c>
      <c r="S2797" s="24">
        <f t="shared" si="219"/>
        <v>0.09</v>
      </c>
    </row>
    <row r="2798" spans="1:19" x14ac:dyDescent="0.25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>VLOOKUP(F2798,'Customer Info'!$A:$B,2,0)</f>
        <v>Mike</v>
      </c>
      <c r="H2798" s="6" t="str">
        <f>VLOOKUP(F2798,'Customer Info'!$A$1:$C$501,3,0)</f>
        <v>Pelletier</v>
      </c>
      <c r="I2798" s="6" t="str">
        <f>VLOOKUP(F2798,Customer,5,0)</f>
        <v>Gorakhpur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2724</v>
      </c>
      <c r="O2798" s="2">
        <v>49</v>
      </c>
      <c r="P2798" s="8">
        <f t="shared" si="217"/>
        <v>2773</v>
      </c>
      <c r="Q2798" s="8">
        <f t="shared" si="218"/>
        <v>156</v>
      </c>
      <c r="R2798" s="2" t="s">
        <v>28</v>
      </c>
      <c r="S2798" s="24">
        <f t="shared" si="219"/>
        <v>0.02</v>
      </c>
    </row>
    <row r="2799" spans="1:19" x14ac:dyDescent="0.25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>VLOOKUP(F2799,'Customer Info'!$A:$B,2,0)</f>
        <v>Sonia</v>
      </c>
      <c r="H2799" s="6" t="str">
        <f>VLOOKUP(F2799,'Customer Info'!$A$1:$C$501,3,0)</f>
        <v>Sunley</v>
      </c>
      <c r="I2799" s="6" t="str">
        <f>VLOOKUP(F2799,Customer,5,0)</f>
        <v>Canberra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2080</v>
      </c>
      <c r="O2799" s="2">
        <v>26</v>
      </c>
      <c r="P2799" s="8">
        <f t="shared" si="217"/>
        <v>2106</v>
      </c>
      <c r="Q2799" s="8">
        <f t="shared" si="218"/>
        <v>172</v>
      </c>
      <c r="R2799" s="2" t="s">
        <v>28</v>
      </c>
      <c r="S2799" s="24">
        <f t="shared" si="219"/>
        <v>0.02</v>
      </c>
    </row>
    <row r="2800" spans="1:19" x14ac:dyDescent="0.25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>VLOOKUP(F2800,'Customer Info'!$A:$B,2,0)</f>
        <v>Guy</v>
      </c>
      <c r="H2800" s="6" t="str">
        <f>VLOOKUP(F2800,'Customer Info'!$A$1:$C$501,3,0)</f>
        <v>Phonely</v>
      </c>
      <c r="I2800" s="6" t="str">
        <f>VLOOKUP(F2800,Customer,5,0)</f>
        <v>Jodhpur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53608</v>
      </c>
      <c r="O2800" s="2">
        <v>23</v>
      </c>
      <c r="P2800" s="8">
        <f t="shared" si="217"/>
        <v>53631</v>
      </c>
      <c r="Q2800" s="8">
        <f t="shared" si="218"/>
        <v>2536</v>
      </c>
      <c r="R2800" s="2" t="s">
        <v>28</v>
      </c>
      <c r="S2800" s="24">
        <f t="shared" si="219"/>
        <v>0.09</v>
      </c>
    </row>
    <row r="2801" spans="1:19" x14ac:dyDescent="0.25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>VLOOKUP(F2801,'Customer Info'!$A:$B,2,0)</f>
        <v>Brad</v>
      </c>
      <c r="H2801" s="6" t="str">
        <f>VLOOKUP(F2801,'Customer Info'!$A$1:$C$501,3,0)</f>
        <v>Eason</v>
      </c>
      <c r="I2801" s="6" t="str">
        <f>VLOOKUP(F2801,Customer,5,0)</f>
        <v>Bogor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10060</v>
      </c>
      <c r="O2801" s="2">
        <v>61</v>
      </c>
      <c r="P2801" s="8">
        <f t="shared" si="217"/>
        <v>10121</v>
      </c>
      <c r="Q2801" s="8">
        <f t="shared" si="218"/>
        <v>472</v>
      </c>
      <c r="R2801" s="2" t="s">
        <v>28</v>
      </c>
      <c r="S2801" s="24">
        <f t="shared" si="219"/>
        <v>0.05</v>
      </c>
    </row>
    <row r="2802" spans="1:19" x14ac:dyDescent="0.25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>VLOOKUP(F2802,'Customer Info'!$A:$B,2,0)</f>
        <v>Stuart</v>
      </c>
      <c r="H2802" s="6" t="str">
        <f>VLOOKUP(F2802,'Customer Info'!$A$1:$C$501,3,0)</f>
        <v>Calhoun</v>
      </c>
      <c r="I2802" s="6" t="str">
        <f>VLOOKUP(F2802,Customer,5,0)</f>
        <v>Raipur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220</v>
      </c>
      <c r="O2802" s="2">
        <v>49</v>
      </c>
      <c r="P2802" s="8">
        <f t="shared" si="217"/>
        <v>269</v>
      </c>
      <c r="Q2802" s="8">
        <f t="shared" si="218"/>
        <v>14</v>
      </c>
      <c r="R2802" s="2" t="s">
        <v>50</v>
      </c>
      <c r="S2802" s="24">
        <f t="shared" si="219"/>
        <v>0.02</v>
      </c>
    </row>
    <row r="2803" spans="1:19" x14ac:dyDescent="0.25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>VLOOKUP(F2803,'Customer Info'!$A:$B,2,0)</f>
        <v>Steven</v>
      </c>
      <c r="H2803" s="6" t="str">
        <f>VLOOKUP(F2803,'Customer Info'!$A$1:$C$501,3,0)</f>
        <v>Ward</v>
      </c>
      <c r="I2803" s="6" t="str">
        <f>VLOOKUP(F2803,Customer,5,0)</f>
        <v>Adelaide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16758</v>
      </c>
      <c r="O2803" s="2">
        <v>46</v>
      </c>
      <c r="P2803" s="8">
        <f t="shared" si="217"/>
        <v>16804</v>
      </c>
      <c r="Q2803" s="8">
        <f t="shared" si="218"/>
        <v>636</v>
      </c>
      <c r="R2803" s="2" t="s">
        <v>28</v>
      </c>
      <c r="S2803" s="24">
        <f t="shared" si="219"/>
        <v>0.05</v>
      </c>
    </row>
    <row r="2804" spans="1:19" x14ac:dyDescent="0.25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>VLOOKUP(F2804,'Customer Info'!$A:$B,2,0)</f>
        <v>Linda</v>
      </c>
      <c r="H2804" s="6" t="str">
        <f>VLOOKUP(F2804,'Customer Info'!$A$1:$C$501,3,0)</f>
        <v>Southworth</v>
      </c>
      <c r="I2804" s="6" t="str">
        <f>VLOOKUP(F2804,Customer,5,0)</f>
        <v>Brisbane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426</v>
      </c>
      <c r="O2804" s="2">
        <v>30</v>
      </c>
      <c r="P2804" s="8">
        <f t="shared" si="217"/>
        <v>456</v>
      </c>
      <c r="Q2804" s="8">
        <f t="shared" si="218"/>
        <v>24</v>
      </c>
      <c r="R2804" s="2" t="s">
        <v>50</v>
      </c>
      <c r="S2804" s="24">
        <f t="shared" si="219"/>
        <v>0.02</v>
      </c>
    </row>
    <row r="2805" spans="1:19" x14ac:dyDescent="0.25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>VLOOKUP(F2805,'Customer Info'!$A:$B,2,0)</f>
        <v>Tom</v>
      </c>
      <c r="H2805" s="6" t="str">
        <f>VLOOKUP(F2805,'Customer Info'!$A$1:$C$501,3,0)</f>
        <v>Stivers</v>
      </c>
      <c r="I2805" s="6" t="str">
        <f>VLOOKUP(F2805,Customer,5,0)</f>
        <v>Thane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1498</v>
      </c>
      <c r="O2805" s="2">
        <v>43</v>
      </c>
      <c r="P2805" s="8">
        <f t="shared" si="217"/>
        <v>1541</v>
      </c>
      <c r="Q2805" s="8">
        <f t="shared" si="218"/>
        <v>163</v>
      </c>
      <c r="R2805" s="2" t="s">
        <v>28</v>
      </c>
      <c r="S2805" s="24">
        <f t="shared" si="219"/>
        <v>0.02</v>
      </c>
    </row>
    <row r="2806" spans="1:19" x14ac:dyDescent="0.25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>VLOOKUP(F2806,'Customer Info'!$A:$B,2,0)</f>
        <v>Anna</v>
      </c>
      <c r="H2806" s="6" t="str">
        <f>VLOOKUP(F2806,'Customer Info'!$A$1:$C$501,3,0)</f>
        <v>Gayman</v>
      </c>
      <c r="I2806" s="6" t="str">
        <f>VLOOKUP(F2806,Customer,5,0)</f>
        <v>Surat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9460</v>
      </c>
      <c r="O2806" s="2">
        <v>32</v>
      </c>
      <c r="P2806" s="8">
        <f t="shared" si="217"/>
        <v>9492</v>
      </c>
      <c r="Q2806" s="8">
        <f t="shared" si="218"/>
        <v>532</v>
      </c>
      <c r="R2806" s="2" t="s">
        <v>50</v>
      </c>
      <c r="S2806" s="24">
        <f t="shared" si="219"/>
        <v>0.05</v>
      </c>
    </row>
    <row r="2807" spans="1:19" x14ac:dyDescent="0.25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>VLOOKUP(F2807,'Customer Info'!$A:$B,2,0)</f>
        <v>Mitch</v>
      </c>
      <c r="H2807" s="6" t="str">
        <f>VLOOKUP(F2807,'Customer Info'!$A$1:$C$501,3,0)</f>
        <v>Willingham</v>
      </c>
      <c r="I2807" s="6" t="str">
        <f>VLOOKUP(F2807,Customer,5,0)</f>
        <v>Surakarta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3876</v>
      </c>
      <c r="O2807" s="2">
        <v>65</v>
      </c>
      <c r="P2807" s="8">
        <f t="shared" si="217"/>
        <v>3941</v>
      </c>
      <c r="Q2807" s="8">
        <f t="shared" si="218"/>
        <v>321</v>
      </c>
      <c r="R2807" s="2" t="s">
        <v>28</v>
      </c>
      <c r="S2807" s="24">
        <f t="shared" si="219"/>
        <v>0.02</v>
      </c>
    </row>
    <row r="2808" spans="1:19" x14ac:dyDescent="0.25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>VLOOKUP(F2808,'Customer Info'!$A:$B,2,0)</f>
        <v>Adrian</v>
      </c>
      <c r="H2808" s="6" t="str">
        <f>VLOOKUP(F2808,'Customer Info'!$A$1:$C$501,3,0)</f>
        <v>Barton</v>
      </c>
      <c r="I2808" s="6" t="str">
        <f>VLOOKUP(F2808,Customer,5,0)</f>
        <v>Zigong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28854</v>
      </c>
      <c r="O2808" s="2">
        <v>98</v>
      </c>
      <c r="P2808" s="8">
        <f t="shared" si="217"/>
        <v>28952</v>
      </c>
      <c r="Q2808" s="8">
        <f t="shared" si="218"/>
        <v>2387</v>
      </c>
      <c r="R2808" s="2" t="s">
        <v>50</v>
      </c>
      <c r="S2808" s="24">
        <f t="shared" si="219"/>
        <v>7.0000000000000007E-2</v>
      </c>
    </row>
    <row r="2809" spans="1:19" x14ac:dyDescent="0.25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>VLOOKUP(F2809,'Customer Info'!$A:$B,2,0)</f>
        <v>Philip</v>
      </c>
      <c r="H2809" s="6" t="str">
        <f>VLOOKUP(F2809,'Customer Info'!$A$1:$C$501,3,0)</f>
        <v>Brown</v>
      </c>
      <c r="I2809" s="6" t="str">
        <f>VLOOKUP(F2809,Customer,5,0)</f>
        <v>Binjai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8815</v>
      </c>
      <c r="O2809" s="2">
        <v>64</v>
      </c>
      <c r="P2809" s="8">
        <f t="shared" si="217"/>
        <v>8879</v>
      </c>
      <c r="Q2809" s="8">
        <f t="shared" si="218"/>
        <v>805</v>
      </c>
      <c r="R2809" s="2" t="s">
        <v>28</v>
      </c>
      <c r="S2809" s="24">
        <f t="shared" si="219"/>
        <v>0.05</v>
      </c>
    </row>
    <row r="2810" spans="1:19" x14ac:dyDescent="0.25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>VLOOKUP(F2810,'Customer Info'!$A:$B,2,0)</f>
        <v>Natalie</v>
      </c>
      <c r="H2810" s="6" t="str">
        <f>VLOOKUP(F2810,'Customer Info'!$A$1:$C$501,3,0)</f>
        <v>Webber</v>
      </c>
      <c r="I2810" s="6" t="str">
        <f>VLOOKUP(F2810,Customer,5,0)</f>
        <v>Ningbo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25344</v>
      </c>
      <c r="O2810" s="2">
        <v>75</v>
      </c>
      <c r="P2810" s="8">
        <f t="shared" si="217"/>
        <v>25419</v>
      </c>
      <c r="Q2810" s="8">
        <f t="shared" si="218"/>
        <v>1878</v>
      </c>
      <c r="R2810" s="2" t="s">
        <v>26</v>
      </c>
      <c r="S2810" s="24">
        <f t="shared" si="219"/>
        <v>7.0000000000000007E-2</v>
      </c>
    </row>
    <row r="2811" spans="1:19" x14ac:dyDescent="0.25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>VLOOKUP(F2811,'Customer Info'!$A:$B,2,0)</f>
        <v>Mick</v>
      </c>
      <c r="H2811" s="6" t="str">
        <f>VLOOKUP(F2811,'Customer Info'!$A$1:$C$501,3,0)</f>
        <v>Brown</v>
      </c>
      <c r="I2811" s="6" t="str">
        <f>VLOOKUP(F2811,Customer,5,0)</f>
        <v>Shenzhen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2642</v>
      </c>
      <c r="O2811" s="2">
        <v>71</v>
      </c>
      <c r="P2811" s="8">
        <f t="shared" si="217"/>
        <v>2713</v>
      </c>
      <c r="Q2811" s="8">
        <f t="shared" si="218"/>
        <v>220</v>
      </c>
      <c r="R2811" s="2" t="s">
        <v>28</v>
      </c>
      <c r="S2811" s="24">
        <f t="shared" si="219"/>
        <v>0.02</v>
      </c>
    </row>
    <row r="2812" spans="1:19" x14ac:dyDescent="0.25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>VLOOKUP(F2812,'Customer Info'!$A:$B,2,0)</f>
        <v>Ionia</v>
      </c>
      <c r="H2812" s="6" t="str">
        <f>VLOOKUP(F2812,'Customer Info'!$A$1:$C$501,3,0)</f>
        <v>McGrath</v>
      </c>
      <c r="I2812" s="6" t="str">
        <f>VLOOKUP(F2812,Customer,5,0)</f>
        <v>Dormagen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2921</v>
      </c>
      <c r="O2812" s="2">
        <v>82</v>
      </c>
      <c r="P2812" s="8">
        <f t="shared" si="217"/>
        <v>3003</v>
      </c>
      <c r="Q2812" s="8">
        <f t="shared" si="218"/>
        <v>112</v>
      </c>
      <c r="R2812" s="2" t="s">
        <v>28</v>
      </c>
      <c r="S2812" s="24">
        <f t="shared" si="219"/>
        <v>0.02</v>
      </c>
    </row>
    <row r="2813" spans="1:19" x14ac:dyDescent="0.25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>VLOOKUP(F2813,'Customer Info'!$A:$B,2,0)</f>
        <v>Lynn</v>
      </c>
      <c r="H2813" s="6" t="str">
        <f>VLOOKUP(F2813,'Customer Info'!$A$1:$C$501,3,0)</f>
        <v>Smith</v>
      </c>
      <c r="I2813" s="6" t="str">
        <f>VLOOKUP(F2813,Customer,5,0)</f>
        <v>Guiping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2654</v>
      </c>
      <c r="O2813" s="2">
        <v>95</v>
      </c>
      <c r="P2813" s="8">
        <f t="shared" si="217"/>
        <v>2749</v>
      </c>
      <c r="Q2813" s="8">
        <f t="shared" si="218"/>
        <v>244</v>
      </c>
      <c r="R2813" s="2" t="s">
        <v>28</v>
      </c>
      <c r="S2813" s="24">
        <f t="shared" si="219"/>
        <v>0.02</v>
      </c>
    </row>
    <row r="2814" spans="1:19" x14ac:dyDescent="0.25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>VLOOKUP(F2814,'Customer Info'!$A:$B,2,0)</f>
        <v>Mitch</v>
      </c>
      <c r="H2814" s="6" t="str">
        <f>VLOOKUP(F2814,'Customer Info'!$A$1:$C$501,3,0)</f>
        <v>Willingham</v>
      </c>
      <c r="I2814" s="6" t="str">
        <f>VLOOKUP(F2814,Customer,5,0)</f>
        <v>Surakarta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60</v>
      </c>
      <c r="O2814" s="2">
        <v>10</v>
      </c>
      <c r="P2814" s="8">
        <f t="shared" si="217"/>
        <v>70</v>
      </c>
      <c r="Q2814" s="8">
        <f t="shared" si="218"/>
        <v>2</v>
      </c>
      <c r="R2814" s="2" t="s">
        <v>28</v>
      </c>
      <c r="S2814" s="24">
        <f t="shared" si="219"/>
        <v>0.02</v>
      </c>
    </row>
    <row r="2815" spans="1:19" x14ac:dyDescent="0.25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>VLOOKUP(F2815,'Customer Info'!$A:$B,2,0)</f>
        <v>Jesus</v>
      </c>
      <c r="H2815" s="6" t="str">
        <f>VLOOKUP(F2815,'Customer Info'!$A$1:$C$501,3,0)</f>
        <v>Ocampo</v>
      </c>
      <c r="I2815" s="6" t="str">
        <f>VLOOKUP(F2815,Customer,5,0)</f>
        <v>Herten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7273</v>
      </c>
      <c r="O2815" s="2">
        <v>99</v>
      </c>
      <c r="P2815" s="8">
        <f t="shared" si="217"/>
        <v>7372</v>
      </c>
      <c r="Q2815" s="8">
        <f t="shared" si="218"/>
        <v>595</v>
      </c>
      <c r="R2815" s="2" t="s">
        <v>28</v>
      </c>
      <c r="S2815" s="24">
        <f t="shared" si="219"/>
        <v>0.05</v>
      </c>
    </row>
    <row r="2816" spans="1:19" x14ac:dyDescent="0.25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>VLOOKUP(F2816,'Customer Info'!$A:$B,2,0)</f>
        <v>Eric</v>
      </c>
      <c r="H2816" s="6" t="str">
        <f>VLOOKUP(F2816,'Customer Info'!$A$1:$C$501,3,0)</f>
        <v>Barreto</v>
      </c>
      <c r="I2816" s="6" t="str">
        <f>VLOOKUP(F2816,Customer,5,0)</f>
        <v>Liaoyang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14282</v>
      </c>
      <c r="O2816" s="2">
        <v>90</v>
      </c>
      <c r="P2816" s="8">
        <f t="shared" si="217"/>
        <v>14372</v>
      </c>
      <c r="Q2816" s="8">
        <f t="shared" si="218"/>
        <v>1200</v>
      </c>
      <c r="R2816" s="2" t="s">
        <v>26</v>
      </c>
      <c r="S2816" s="24">
        <f t="shared" si="219"/>
        <v>0.05</v>
      </c>
    </row>
    <row r="2817" spans="1:19" x14ac:dyDescent="0.25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>VLOOKUP(F2817,'Customer Info'!$A:$B,2,0)</f>
        <v>Kean</v>
      </c>
      <c r="H2817" s="6" t="str">
        <f>VLOOKUP(F2817,'Customer Info'!$A$1:$C$501,3,0)</f>
        <v>Takahito</v>
      </c>
      <c r="I2817" s="6" t="str">
        <f>VLOOKUP(F2817,Customer,5,0)</f>
        <v>Jakarta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136</v>
      </c>
      <c r="O2817" s="2">
        <v>30</v>
      </c>
      <c r="P2817" s="8">
        <f t="shared" si="217"/>
        <v>166</v>
      </c>
      <c r="Q2817" s="8">
        <f t="shared" si="218"/>
        <v>6</v>
      </c>
      <c r="R2817" s="2" t="s">
        <v>26</v>
      </c>
      <c r="S2817" s="24">
        <f t="shared" si="219"/>
        <v>0.02</v>
      </c>
    </row>
    <row r="2818" spans="1:19" x14ac:dyDescent="0.25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>VLOOKUP(F2818,'Customer Info'!$A:$B,2,0)</f>
        <v>Thomas</v>
      </c>
      <c r="H2818" s="6" t="str">
        <f>VLOOKUP(F2818,'Customer Info'!$A$1:$C$501,3,0)</f>
        <v>Brumley</v>
      </c>
      <c r="I2818" s="6" t="str">
        <f>VLOOKUP(F2818,Customer,5,0)</f>
        <v>Jinan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120</v>
      </c>
      <c r="O2818" s="2">
        <v>10</v>
      </c>
      <c r="P2818" s="8">
        <f t="shared" si="217"/>
        <v>130</v>
      </c>
      <c r="Q2818" s="8">
        <f t="shared" si="218"/>
        <v>10</v>
      </c>
      <c r="R2818" s="2" t="s">
        <v>50</v>
      </c>
      <c r="S2818" s="24">
        <f t="shared" si="219"/>
        <v>0.02</v>
      </c>
    </row>
    <row r="2819" spans="1:19" x14ac:dyDescent="0.25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>VLOOKUP(F2819,'Customer Info'!$A:$B,2,0)</f>
        <v>Tom</v>
      </c>
      <c r="H2819" s="6" t="str">
        <f>VLOOKUP(F2819,'Customer Info'!$A$1:$C$501,3,0)</f>
        <v>Stivers</v>
      </c>
      <c r="I2819" s="6" t="str">
        <f>VLOOKUP(F2819,Customer,5,0)</f>
        <v>Guangzhou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1022</v>
      </c>
      <c r="O2819" s="2">
        <v>41</v>
      </c>
      <c r="P2819" s="8">
        <f t="shared" si="217"/>
        <v>1063</v>
      </c>
      <c r="Q2819" s="8">
        <f t="shared" si="218"/>
        <v>68</v>
      </c>
      <c r="R2819" s="2" t="s">
        <v>28</v>
      </c>
      <c r="S2819" s="24">
        <f t="shared" si="219"/>
        <v>0.02</v>
      </c>
    </row>
    <row r="2820" spans="1:19" x14ac:dyDescent="0.25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>VLOOKUP(F2820,'Customer Info'!$A:$B,2,0)</f>
        <v>Allen</v>
      </c>
      <c r="H2820" s="6" t="str">
        <f>VLOOKUP(F2820,'Customer Info'!$A$1:$C$501,3,0)</f>
        <v>Rosenblatt</v>
      </c>
      <c r="I2820" s="6" t="str">
        <f>VLOOKUP(F2820,Customer,5,0)</f>
        <v>Chaozhou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1032</v>
      </c>
      <c r="O2820" s="2">
        <v>30</v>
      </c>
      <c r="P2820" s="8">
        <f t="shared" si="217"/>
        <v>1062</v>
      </c>
      <c r="Q2820" s="8">
        <f t="shared" si="218"/>
        <v>88</v>
      </c>
      <c r="R2820" s="2" t="s">
        <v>28</v>
      </c>
      <c r="S2820" s="24">
        <f t="shared" si="219"/>
        <v>0.02</v>
      </c>
    </row>
    <row r="2821" spans="1:19" x14ac:dyDescent="0.25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>VLOOKUP(F2821,'Customer Info'!$A:$B,2,0)</f>
        <v>Alex</v>
      </c>
      <c r="H2821" s="6" t="str">
        <f>VLOOKUP(F2821,'Customer Info'!$A$1:$C$501,3,0)</f>
        <v>Avila</v>
      </c>
      <c r="I2821" s="6" t="str">
        <f>VLOOKUP(F2821,Customer,5,0)</f>
        <v>Newcastle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19044</v>
      </c>
      <c r="O2821" s="2">
        <v>78</v>
      </c>
      <c r="P2821" s="8">
        <f t="shared" si="217"/>
        <v>19122</v>
      </c>
      <c r="Q2821" s="8">
        <f t="shared" si="218"/>
        <v>1572</v>
      </c>
      <c r="R2821" s="2" t="s">
        <v>28</v>
      </c>
      <c r="S2821" s="24">
        <f t="shared" si="219"/>
        <v>0.05</v>
      </c>
    </row>
    <row r="2822" spans="1:19" x14ac:dyDescent="0.25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>VLOOKUP(F2822,'Customer Info'!$A:$B,2,0)</f>
        <v>Guy</v>
      </c>
      <c r="H2822" s="6" t="str">
        <f>VLOOKUP(F2822,'Customer Info'!$A$1:$C$501,3,0)</f>
        <v>Phonely</v>
      </c>
      <c r="I2822" s="6" t="str">
        <f>VLOOKUP(F2822,Customer,5,0)</f>
        <v>Jodhpur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170</v>
      </c>
      <c r="O2822" s="2">
        <v>30</v>
      </c>
      <c r="P2822" s="8">
        <f t="shared" si="217"/>
        <v>200</v>
      </c>
      <c r="Q2822" s="8">
        <f t="shared" si="218"/>
        <v>17</v>
      </c>
      <c r="R2822" s="2" t="s">
        <v>50</v>
      </c>
      <c r="S2822" s="24">
        <f t="shared" si="219"/>
        <v>0.02</v>
      </c>
    </row>
    <row r="2823" spans="1:19" x14ac:dyDescent="0.25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>VLOOKUP(F2823,'Customer Info'!$A:$B,2,0)</f>
        <v>John</v>
      </c>
      <c r="H2823" s="6" t="str">
        <f>VLOOKUP(F2823,'Customer Info'!$A$1:$C$501,3,0)</f>
        <v>Grady</v>
      </c>
      <c r="I2823" s="6" t="str">
        <f>VLOOKUP(F2823,Customer,5,0)</f>
        <v>Queanbeyan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3774</v>
      </c>
      <c r="O2823" s="2">
        <v>45</v>
      </c>
      <c r="P2823" s="8">
        <f t="shared" si="217"/>
        <v>3819</v>
      </c>
      <c r="Q2823" s="8">
        <f t="shared" si="218"/>
        <v>248</v>
      </c>
      <c r="R2823" s="2" t="s">
        <v>28</v>
      </c>
      <c r="S2823" s="24">
        <f t="shared" si="219"/>
        <v>0.02</v>
      </c>
    </row>
    <row r="2824" spans="1:19" x14ac:dyDescent="0.25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>VLOOKUP(F2824,'Customer Info'!$A:$B,2,0)</f>
        <v>Ryan</v>
      </c>
      <c r="H2824" s="6" t="str">
        <f>VLOOKUP(F2824,'Customer Info'!$A$1:$C$501,3,0)</f>
        <v>Akin</v>
      </c>
      <c r="I2824" s="6" t="str">
        <f>VLOOKUP(F2824,Customer,5,0)</f>
        <v>Bayreuth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285</v>
      </c>
      <c r="O2824" s="2">
        <v>80</v>
      </c>
      <c r="P2824" s="8">
        <f t="shared" si="217"/>
        <v>365</v>
      </c>
      <c r="Q2824" s="8">
        <f t="shared" si="218"/>
        <v>26</v>
      </c>
      <c r="R2824" s="2" t="s">
        <v>50</v>
      </c>
      <c r="S2824" s="24">
        <f t="shared" si="219"/>
        <v>0.02</v>
      </c>
    </row>
    <row r="2825" spans="1:19" x14ac:dyDescent="0.25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>VLOOKUP(F2825,'Customer Info'!$A:$B,2,0)</f>
        <v>Delfina</v>
      </c>
      <c r="H2825" s="6" t="str">
        <f>VLOOKUP(F2825,'Customer Info'!$A$1:$C$501,3,0)</f>
        <v>Latchford</v>
      </c>
      <c r="I2825" s="6" t="str">
        <f>VLOOKUP(F2825,Customer,5,0)</f>
        <v>Yogyakarta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4500</v>
      </c>
      <c r="O2825" s="2">
        <v>31</v>
      </c>
      <c r="P2825" s="8">
        <f t="shared" si="217"/>
        <v>4531</v>
      </c>
      <c r="Q2825" s="8">
        <f t="shared" si="218"/>
        <v>86</v>
      </c>
      <c r="R2825" s="2" t="s">
        <v>50</v>
      </c>
      <c r="S2825" s="24">
        <f t="shared" si="219"/>
        <v>0.02</v>
      </c>
    </row>
    <row r="2826" spans="1:19" x14ac:dyDescent="0.25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>VLOOKUP(F2826,'Customer Info'!$A:$B,2,0)</f>
        <v>Dave</v>
      </c>
      <c r="H2826" s="6" t="str">
        <f>VLOOKUP(F2826,'Customer Info'!$A$1:$C$501,3,0)</f>
        <v>Poirier</v>
      </c>
      <c r="I2826" s="6" t="str">
        <f>VLOOKUP(F2826,Customer,5,0)</f>
        <v>Suizhou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10864</v>
      </c>
      <c r="O2826" s="2">
        <v>27</v>
      </c>
      <c r="P2826" s="8">
        <f t="shared" si="217"/>
        <v>10891</v>
      </c>
      <c r="Q2826" s="8">
        <f t="shared" si="218"/>
        <v>808</v>
      </c>
      <c r="R2826" s="2" t="s">
        <v>50</v>
      </c>
      <c r="S2826" s="24">
        <f t="shared" si="219"/>
        <v>0.05</v>
      </c>
    </row>
    <row r="2827" spans="1:19" x14ac:dyDescent="0.25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>VLOOKUP(F2827,'Customer Info'!$A:$B,2,0)</f>
        <v>Muhammed</v>
      </c>
      <c r="H2827" s="6" t="str">
        <f>VLOOKUP(F2827,'Customer Info'!$A$1:$C$501,3,0)</f>
        <v>MacIntyre</v>
      </c>
      <c r="I2827" s="6" t="str">
        <f>VLOOKUP(F2827,Customer,5,0)</f>
        <v>Lohne</v>
      </c>
      <c r="J2827" s="2">
        <v>2243</v>
      </c>
      <c r="K2827" s="2">
        <v>2000</v>
      </c>
      <c r="L2827" s="2">
        <v>3</v>
      </c>
      <c r="M2827" s="7">
        <f t="shared" ref="M2827:M2890" si="220">K2827*L2827</f>
        <v>6000</v>
      </c>
      <c r="N2827" s="7">
        <f t="shared" ref="N2827:N2890" si="221">J2827*L2827</f>
        <v>6729</v>
      </c>
      <c r="O2827" s="2">
        <v>73</v>
      </c>
      <c r="P2827" s="8">
        <f t="shared" ref="P2827:P2890" si="222">N2827+O2827</f>
        <v>6802</v>
      </c>
      <c r="Q2827" s="8">
        <f t="shared" ref="Q2827:Q2890" si="223">N2827-M2827</f>
        <v>729</v>
      </c>
      <c r="R2827" s="2" t="s">
        <v>28</v>
      </c>
      <c r="S2827" s="24">
        <f t="shared" ref="S2827:S2890" si="224">VLOOKUP(N2827,$T$1:$U$7,2,TRUE)</f>
        <v>0.05</v>
      </c>
    </row>
    <row r="2828" spans="1:19" x14ac:dyDescent="0.25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>VLOOKUP(F2828,'Customer Info'!$A:$B,2,0)</f>
        <v>Catherine</v>
      </c>
      <c r="H2828" s="6" t="str">
        <f>VLOOKUP(F2828,'Customer Info'!$A$1:$C$501,3,0)</f>
        <v>Glotzbach</v>
      </c>
      <c r="I2828" s="6" t="str">
        <f>VLOOKUP(F2828,Customer,5,0)</f>
        <v>Bochum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8">
        <f t="shared" si="222"/>
        <v>112942</v>
      </c>
      <c r="Q2828" s="8">
        <f t="shared" si="223"/>
        <v>8463</v>
      </c>
      <c r="R2828" s="2" t="s">
        <v>28</v>
      </c>
      <c r="S2828" s="24">
        <f t="shared" si="224"/>
        <v>0.12</v>
      </c>
    </row>
    <row r="2829" spans="1:19" x14ac:dyDescent="0.25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>VLOOKUP(F2829,'Customer Info'!$A:$B,2,0)</f>
        <v>Brian</v>
      </c>
      <c r="H2829" s="6" t="str">
        <f>VLOOKUP(F2829,'Customer Info'!$A$1:$C$501,3,0)</f>
        <v>Dahlen</v>
      </c>
      <c r="I2829" s="6" t="str">
        <f>VLOOKUP(F2829,Customer,5,0)</f>
        <v>Shantou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8">
        <f t="shared" si="222"/>
        <v>194</v>
      </c>
      <c r="Q2829" s="8">
        <f t="shared" si="223"/>
        <v>12</v>
      </c>
      <c r="R2829" s="2" t="s">
        <v>50</v>
      </c>
      <c r="S2829" s="24">
        <f t="shared" si="224"/>
        <v>0.02</v>
      </c>
    </row>
    <row r="2830" spans="1:19" x14ac:dyDescent="0.25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>VLOOKUP(F2830,'Customer Info'!$A:$B,2,0)</f>
        <v>Toby</v>
      </c>
      <c r="H2830" s="6" t="str">
        <f>VLOOKUP(F2830,'Customer Info'!$A$1:$C$501,3,0)</f>
        <v>Braunhardt</v>
      </c>
      <c r="I2830" s="6" t="str">
        <f>VLOOKUP(F2830,Customer,5,0)</f>
        <v>Jiangyan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8">
        <f t="shared" si="222"/>
        <v>1954</v>
      </c>
      <c r="Q2830" s="8">
        <f t="shared" si="223"/>
        <v>188</v>
      </c>
      <c r="R2830" s="2" t="s">
        <v>50</v>
      </c>
      <c r="S2830" s="24">
        <f t="shared" si="224"/>
        <v>0.02</v>
      </c>
    </row>
    <row r="2831" spans="1:19" x14ac:dyDescent="0.25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>VLOOKUP(F2831,'Customer Info'!$A:$B,2,0)</f>
        <v>Steve</v>
      </c>
      <c r="H2831" s="6" t="str">
        <f>VLOOKUP(F2831,'Customer Info'!$A$1:$C$501,3,0)</f>
        <v>Nguyen</v>
      </c>
      <c r="I2831" s="6" t="str">
        <f>VLOOKUP(F2831,Customer,5,0)</f>
        <v>Delhi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8">
        <f t="shared" si="222"/>
        <v>4744</v>
      </c>
      <c r="Q2831" s="8">
        <f t="shared" si="223"/>
        <v>343</v>
      </c>
      <c r="R2831" s="2" t="s">
        <v>28</v>
      </c>
      <c r="S2831" s="24">
        <f t="shared" si="224"/>
        <v>0.02</v>
      </c>
    </row>
    <row r="2832" spans="1:19" x14ac:dyDescent="0.25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>VLOOKUP(F2832,'Customer Info'!$A:$B,2,0)</f>
        <v>David</v>
      </c>
      <c r="H2832" s="6" t="str">
        <f>VLOOKUP(F2832,'Customer Info'!$A$1:$C$501,3,0)</f>
        <v>Kendrick</v>
      </c>
      <c r="I2832" s="6" t="str">
        <f>VLOOKUP(F2832,Customer,5,0)</f>
        <v>Kunming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2862</v>
      </c>
      <c r="O2832" s="2">
        <v>60</v>
      </c>
      <c r="P2832" s="8">
        <f t="shared" si="222"/>
        <v>2922</v>
      </c>
      <c r="Q2832" s="8">
        <f t="shared" si="223"/>
        <v>159</v>
      </c>
      <c r="R2832" s="2" t="s">
        <v>28</v>
      </c>
      <c r="S2832" s="24">
        <f t="shared" si="224"/>
        <v>0.02</v>
      </c>
    </row>
    <row r="2833" spans="1:19" x14ac:dyDescent="0.25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>VLOOKUP(F2833,'Customer Info'!$A:$B,2,0)</f>
        <v>Karen</v>
      </c>
      <c r="H2833" s="6" t="str">
        <f>VLOOKUP(F2833,'Customer Info'!$A$1:$C$501,3,0)</f>
        <v>Daniels</v>
      </c>
      <c r="I2833" s="6" t="str">
        <f>VLOOKUP(F2833,Customer,5,0)</f>
        <v>Jiutai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3041</v>
      </c>
      <c r="O2833" s="2">
        <v>96</v>
      </c>
      <c r="P2833" s="8">
        <f t="shared" si="222"/>
        <v>3137</v>
      </c>
      <c r="Q2833" s="8">
        <f t="shared" si="223"/>
        <v>114</v>
      </c>
      <c r="R2833" s="2" t="s">
        <v>28</v>
      </c>
      <c r="S2833" s="24">
        <f t="shared" si="224"/>
        <v>0.02</v>
      </c>
    </row>
    <row r="2834" spans="1:19" x14ac:dyDescent="0.25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>VLOOKUP(F2834,'Customer Info'!$A:$B,2,0)</f>
        <v>Harold</v>
      </c>
      <c r="H2834" s="6" t="str">
        <f>VLOOKUP(F2834,'Customer Info'!$A$1:$C$501,3,0)</f>
        <v>Dahlen</v>
      </c>
      <c r="I2834" s="6" t="str">
        <f>VLOOKUP(F2834,Customer,5,0)</f>
        <v>Melbourne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22869</v>
      </c>
      <c r="O2834" s="2">
        <v>90</v>
      </c>
      <c r="P2834" s="8">
        <f t="shared" si="222"/>
        <v>22959</v>
      </c>
      <c r="Q2834" s="8">
        <f t="shared" si="223"/>
        <v>1677</v>
      </c>
      <c r="R2834" s="2" t="s">
        <v>28</v>
      </c>
      <c r="S2834" s="24">
        <f t="shared" si="224"/>
        <v>0.05</v>
      </c>
    </row>
    <row r="2835" spans="1:19" x14ac:dyDescent="0.25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>VLOOKUP(F2835,'Customer Info'!$A:$B,2,0)</f>
        <v>Magdelene</v>
      </c>
      <c r="H2835" s="6" t="str">
        <f>VLOOKUP(F2835,'Customer Info'!$A$1:$C$501,3,0)</f>
        <v>Morse</v>
      </c>
      <c r="I2835" s="6" t="str">
        <f>VLOOKUP(F2835,Customer,5,0)</f>
        <v>Berlin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9810</v>
      </c>
      <c r="O2835" s="2">
        <v>50</v>
      </c>
      <c r="P2835" s="8">
        <f t="shared" si="222"/>
        <v>9860</v>
      </c>
      <c r="Q2835" s="8">
        <f t="shared" si="223"/>
        <v>372</v>
      </c>
      <c r="R2835" s="2" t="s">
        <v>28</v>
      </c>
      <c r="S2835" s="24">
        <f t="shared" si="224"/>
        <v>0.05</v>
      </c>
    </row>
    <row r="2836" spans="1:19" x14ac:dyDescent="0.25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>VLOOKUP(F2836,'Customer Info'!$A:$B,2,0)</f>
        <v>Alex</v>
      </c>
      <c r="H2836" s="6" t="str">
        <f>VLOOKUP(F2836,'Customer Info'!$A$1:$C$501,3,0)</f>
        <v>Avila</v>
      </c>
      <c r="I2836" s="6" t="str">
        <f>VLOOKUP(F2836,Customer,5,0)</f>
        <v>Berlin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12024</v>
      </c>
      <c r="O2836" s="2">
        <v>31</v>
      </c>
      <c r="P2836" s="8">
        <f t="shared" si="222"/>
        <v>12055</v>
      </c>
      <c r="Q2836" s="8">
        <f t="shared" si="223"/>
        <v>670</v>
      </c>
      <c r="R2836" s="2" t="s">
        <v>50</v>
      </c>
      <c r="S2836" s="24">
        <f t="shared" si="224"/>
        <v>0.05</v>
      </c>
    </row>
    <row r="2837" spans="1:19" x14ac:dyDescent="0.25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>VLOOKUP(F2837,'Customer Info'!$A:$B,2,0)</f>
        <v>Anna</v>
      </c>
      <c r="H2837" s="6" t="str">
        <f>VLOOKUP(F2837,'Customer Info'!$A$1:$C$501,3,0)</f>
        <v>Gayman</v>
      </c>
      <c r="I2837" s="6" t="str">
        <f>VLOOKUP(F2837,Customer,5,0)</f>
        <v>Jakarta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390</v>
      </c>
      <c r="O2837" s="2">
        <v>30</v>
      </c>
      <c r="P2837" s="8">
        <f t="shared" si="222"/>
        <v>420</v>
      </c>
      <c r="Q2837" s="8">
        <f t="shared" si="223"/>
        <v>24</v>
      </c>
      <c r="R2837" s="2" t="s">
        <v>50</v>
      </c>
      <c r="S2837" s="24">
        <f t="shared" si="224"/>
        <v>0.02</v>
      </c>
    </row>
    <row r="2838" spans="1:19" x14ac:dyDescent="0.25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>VLOOKUP(F2838,'Customer Info'!$A:$B,2,0)</f>
        <v>Dennis</v>
      </c>
      <c r="H2838" s="6" t="str">
        <f>VLOOKUP(F2838,'Customer Info'!$A$1:$C$501,3,0)</f>
        <v>Pardue</v>
      </c>
      <c r="I2838" s="6" t="str">
        <f>VLOOKUP(F2838,Customer,5,0)</f>
        <v>Wollongong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53334</v>
      </c>
      <c r="O2838" s="2">
        <v>75</v>
      </c>
      <c r="P2838" s="8">
        <f t="shared" si="222"/>
        <v>53409</v>
      </c>
      <c r="Q2838" s="8">
        <f t="shared" si="223"/>
        <v>2520</v>
      </c>
      <c r="R2838" s="2" t="s">
        <v>28</v>
      </c>
      <c r="S2838" s="24">
        <f t="shared" si="224"/>
        <v>0.09</v>
      </c>
    </row>
    <row r="2839" spans="1:19" x14ac:dyDescent="0.25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>VLOOKUP(F2839,'Customer Info'!$A:$B,2,0)</f>
        <v>Robert</v>
      </c>
      <c r="H2839" s="6" t="str">
        <f>VLOOKUP(F2839,'Customer Info'!$A$1:$C$501,3,0)</f>
        <v>Dilbeck</v>
      </c>
      <c r="I2839" s="6" t="str">
        <f>VLOOKUP(F2839,Customer,5,0)</f>
        <v>Sydney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13328</v>
      </c>
      <c r="O2839" s="2">
        <v>26</v>
      </c>
      <c r="P2839" s="8">
        <f t="shared" si="222"/>
        <v>13354</v>
      </c>
      <c r="Q2839" s="8">
        <f t="shared" si="223"/>
        <v>382</v>
      </c>
      <c r="R2839" s="2" t="s">
        <v>28</v>
      </c>
      <c r="S2839" s="24">
        <f t="shared" si="224"/>
        <v>0.05</v>
      </c>
    </row>
    <row r="2840" spans="1:19" x14ac:dyDescent="0.25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>VLOOKUP(F2840,'Customer Info'!$A:$B,2,0)</f>
        <v>Erin</v>
      </c>
      <c r="H2840" s="6" t="str">
        <f>VLOOKUP(F2840,'Customer Info'!$A$1:$C$501,3,0)</f>
        <v>Smith</v>
      </c>
      <c r="I2840" s="6" t="str">
        <f>VLOOKUP(F2840,Customer,5,0)</f>
        <v>Bremen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7864</v>
      </c>
      <c r="O2840" s="2">
        <v>54</v>
      </c>
      <c r="P2840" s="8">
        <f t="shared" si="222"/>
        <v>7918</v>
      </c>
      <c r="Q2840" s="8">
        <f t="shared" si="223"/>
        <v>301</v>
      </c>
      <c r="R2840" s="2" t="s">
        <v>28</v>
      </c>
      <c r="S2840" s="24">
        <f t="shared" si="224"/>
        <v>0.05</v>
      </c>
    </row>
    <row r="2841" spans="1:19" x14ac:dyDescent="0.25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>VLOOKUP(F2841,'Customer Info'!$A:$B,2,0)</f>
        <v>Andrew</v>
      </c>
      <c r="H2841" s="6" t="str">
        <f>VLOOKUP(F2841,'Customer Info'!$A$1:$C$501,3,0)</f>
        <v>Gjertsen</v>
      </c>
      <c r="I2841" s="6" t="str">
        <f>VLOOKUP(F2841,Customer,5,0)</f>
        <v>Hamburg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6816</v>
      </c>
      <c r="O2841" s="2">
        <v>85</v>
      </c>
      <c r="P2841" s="8">
        <f t="shared" si="222"/>
        <v>6901</v>
      </c>
      <c r="Q2841" s="8">
        <f t="shared" si="223"/>
        <v>386</v>
      </c>
      <c r="R2841" s="2" t="s">
        <v>26</v>
      </c>
      <c r="S2841" s="24">
        <f t="shared" si="224"/>
        <v>0.05</v>
      </c>
    </row>
    <row r="2842" spans="1:19" x14ac:dyDescent="0.25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>VLOOKUP(F2842,'Customer Info'!$A:$B,2,0)</f>
        <v>Helen</v>
      </c>
      <c r="H2842" s="6" t="str">
        <f>VLOOKUP(F2842,'Customer Info'!$A$1:$C$501,3,0)</f>
        <v>Abelman</v>
      </c>
      <c r="I2842" s="6" t="str">
        <f>VLOOKUP(F2842,Customer,5,0)</f>
        <v>Berlin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1120</v>
      </c>
      <c r="O2842" s="2">
        <v>73</v>
      </c>
      <c r="P2842" s="8">
        <f t="shared" si="222"/>
        <v>1193</v>
      </c>
      <c r="Q2842" s="8">
        <f t="shared" si="223"/>
        <v>70</v>
      </c>
      <c r="R2842" s="2" t="s">
        <v>28</v>
      </c>
      <c r="S2842" s="24">
        <f t="shared" si="224"/>
        <v>0.02</v>
      </c>
    </row>
    <row r="2843" spans="1:19" x14ac:dyDescent="0.25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>VLOOKUP(F2843,'Customer Info'!$A:$B,2,0)</f>
        <v>Patrick</v>
      </c>
      <c r="H2843" s="6" t="str">
        <f>VLOOKUP(F2843,'Customer Info'!$A$1:$C$501,3,0)</f>
        <v>O'Donnell</v>
      </c>
      <c r="I2843" s="6" t="str">
        <f>VLOOKUP(F2843,Customer,5,0)</f>
        <v>Sydney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808</v>
      </c>
      <c r="O2843" s="2">
        <v>30</v>
      </c>
      <c r="P2843" s="8">
        <f t="shared" si="222"/>
        <v>838</v>
      </c>
      <c r="Q2843" s="8">
        <f t="shared" si="223"/>
        <v>60</v>
      </c>
      <c r="R2843" s="2" t="s">
        <v>50</v>
      </c>
      <c r="S2843" s="24">
        <f t="shared" si="224"/>
        <v>0.02</v>
      </c>
    </row>
    <row r="2844" spans="1:19" x14ac:dyDescent="0.25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>VLOOKUP(F2844,'Customer Info'!$A:$B,2,0)</f>
        <v>Giulietta</v>
      </c>
      <c r="H2844" s="6" t="str">
        <f>VLOOKUP(F2844,'Customer Info'!$A$1:$C$501,3,0)</f>
        <v>Weimer</v>
      </c>
      <c r="I2844" s="6" t="str">
        <f>VLOOKUP(F2844,Customer,5,0)</f>
        <v>Suihua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17790</v>
      </c>
      <c r="O2844" s="2">
        <v>49</v>
      </c>
      <c r="P2844" s="8">
        <f t="shared" si="222"/>
        <v>17839</v>
      </c>
      <c r="Q2844" s="8">
        <f t="shared" si="223"/>
        <v>1626</v>
      </c>
      <c r="R2844" s="2" t="s">
        <v>28</v>
      </c>
      <c r="S2844" s="24">
        <f t="shared" si="224"/>
        <v>0.05</v>
      </c>
    </row>
    <row r="2845" spans="1:19" x14ac:dyDescent="0.25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>VLOOKUP(F2845,'Customer Info'!$A:$B,2,0)</f>
        <v>Kristina</v>
      </c>
      <c r="H2845" s="6" t="str">
        <f>VLOOKUP(F2845,'Customer Info'!$A$1:$C$501,3,0)</f>
        <v>Nunn</v>
      </c>
      <c r="I2845" s="6" t="str">
        <f>VLOOKUP(F2845,Customer,5,0)</f>
        <v>Jakarta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4730</v>
      </c>
      <c r="O2845" s="2">
        <v>24</v>
      </c>
      <c r="P2845" s="8">
        <f t="shared" si="222"/>
        <v>4754</v>
      </c>
      <c r="Q2845" s="8">
        <f t="shared" si="223"/>
        <v>266</v>
      </c>
      <c r="R2845" s="2" t="s">
        <v>28</v>
      </c>
      <c r="S2845" s="24">
        <f t="shared" si="224"/>
        <v>0.02</v>
      </c>
    </row>
    <row r="2846" spans="1:19" x14ac:dyDescent="0.25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>VLOOKUP(F2846,'Customer Info'!$A:$B,2,0)</f>
        <v>Ted</v>
      </c>
      <c r="H2846" s="6" t="str">
        <f>VLOOKUP(F2846,'Customer Info'!$A$1:$C$501,3,0)</f>
        <v>Trevino</v>
      </c>
      <c r="I2846" s="6" t="str">
        <f>VLOOKUP(F2846,Customer,5,0)</f>
        <v>Bendigo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3041</v>
      </c>
      <c r="O2846" s="2">
        <v>81</v>
      </c>
      <c r="P2846" s="8">
        <f t="shared" si="222"/>
        <v>3122</v>
      </c>
      <c r="Q2846" s="8">
        <f t="shared" si="223"/>
        <v>114</v>
      </c>
      <c r="R2846" s="2" t="s">
        <v>50</v>
      </c>
      <c r="S2846" s="24">
        <f t="shared" si="224"/>
        <v>0.02</v>
      </c>
    </row>
    <row r="2847" spans="1:19" x14ac:dyDescent="0.25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>VLOOKUP(F2847,'Customer Info'!$A:$B,2,0)</f>
        <v>Pamela</v>
      </c>
      <c r="H2847" s="6" t="str">
        <f>VLOOKUP(F2847,'Customer Info'!$A$1:$C$501,3,0)</f>
        <v>Coakley</v>
      </c>
      <c r="I2847" s="6" t="str">
        <f>VLOOKUP(F2847,Customer,5,0)</f>
        <v>Jakarta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22869</v>
      </c>
      <c r="O2847" s="2">
        <v>63</v>
      </c>
      <c r="P2847" s="8">
        <f t="shared" si="222"/>
        <v>22932</v>
      </c>
      <c r="Q2847" s="8">
        <f t="shared" si="223"/>
        <v>1677</v>
      </c>
      <c r="R2847" s="2" t="s">
        <v>50</v>
      </c>
      <c r="S2847" s="24">
        <f t="shared" si="224"/>
        <v>0.05</v>
      </c>
    </row>
    <row r="2848" spans="1:19" x14ac:dyDescent="0.25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>VLOOKUP(F2848,'Customer Info'!$A:$B,2,0)</f>
        <v>Lisa</v>
      </c>
      <c r="H2848" s="6" t="str">
        <f>VLOOKUP(F2848,'Customer Info'!$A$1:$C$501,3,0)</f>
        <v>DeCherney</v>
      </c>
      <c r="I2848" s="6" t="str">
        <f>VLOOKUP(F2848,Customer,5,0)</f>
        <v>Sydney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1306</v>
      </c>
      <c r="O2848" s="2">
        <v>70</v>
      </c>
      <c r="P2848" s="8">
        <f t="shared" si="222"/>
        <v>1376</v>
      </c>
      <c r="Q2848" s="8">
        <f t="shared" si="223"/>
        <v>109</v>
      </c>
      <c r="R2848" s="2" t="s">
        <v>28</v>
      </c>
      <c r="S2848" s="24">
        <f t="shared" si="224"/>
        <v>0.02</v>
      </c>
    </row>
    <row r="2849" spans="1:19" x14ac:dyDescent="0.25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>VLOOKUP(F2849,'Customer Info'!$A:$B,2,0)</f>
        <v>Scott</v>
      </c>
      <c r="H2849" s="6" t="str">
        <f>VLOOKUP(F2849,'Customer Info'!$A$1:$C$501,3,0)</f>
        <v>Cohen</v>
      </c>
      <c r="I2849" s="6" t="str">
        <f>VLOOKUP(F2849,Customer,5,0)</f>
        <v>Freiburg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11316</v>
      </c>
      <c r="O2849" s="2">
        <v>20</v>
      </c>
      <c r="P2849" s="8">
        <f t="shared" si="222"/>
        <v>11336</v>
      </c>
      <c r="Q2849" s="8">
        <f t="shared" si="223"/>
        <v>932</v>
      </c>
      <c r="R2849" s="2" t="s">
        <v>28</v>
      </c>
      <c r="S2849" s="24">
        <f t="shared" si="224"/>
        <v>0.05</v>
      </c>
    </row>
    <row r="2850" spans="1:19" x14ac:dyDescent="0.25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>VLOOKUP(F2850,'Customer Info'!$A:$B,2,0)</f>
        <v>Brooke</v>
      </c>
      <c r="H2850" s="6" t="str">
        <f>VLOOKUP(F2850,'Customer Info'!$A$1:$C$501,3,0)</f>
        <v>Gillingham</v>
      </c>
      <c r="I2850" s="6" t="str">
        <f>VLOOKUP(F2850,Customer,5,0)</f>
        <v>Geraldton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10062</v>
      </c>
      <c r="O2850" s="2">
        <v>49</v>
      </c>
      <c r="P2850" s="8">
        <f t="shared" si="222"/>
        <v>10111</v>
      </c>
      <c r="Q2850" s="8">
        <f t="shared" si="223"/>
        <v>756</v>
      </c>
      <c r="R2850" s="2" t="s">
        <v>28</v>
      </c>
      <c r="S2850" s="24">
        <f t="shared" si="224"/>
        <v>0.05</v>
      </c>
    </row>
    <row r="2851" spans="1:19" x14ac:dyDescent="0.25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>VLOOKUP(F2851,'Customer Info'!$A:$B,2,0)</f>
        <v>Emily</v>
      </c>
      <c r="H2851" s="6" t="str">
        <f>VLOOKUP(F2851,'Customer Info'!$A$1:$C$501,3,0)</f>
        <v>Burns</v>
      </c>
      <c r="I2851" s="6" t="str">
        <f>VLOOKUP(F2851,Customer,5,0)</f>
        <v>Nasik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16866</v>
      </c>
      <c r="O2851" s="2">
        <v>37</v>
      </c>
      <c r="P2851" s="8">
        <f t="shared" si="222"/>
        <v>16903</v>
      </c>
      <c r="Q2851" s="8">
        <f t="shared" si="223"/>
        <v>1264</v>
      </c>
      <c r="R2851" s="2" t="s">
        <v>28</v>
      </c>
      <c r="S2851" s="24">
        <f t="shared" si="224"/>
        <v>0.05</v>
      </c>
    </row>
    <row r="2852" spans="1:19" x14ac:dyDescent="0.25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>VLOOKUP(F2852,'Customer Info'!$A:$B,2,0)</f>
        <v>Corey</v>
      </c>
      <c r="H2852" s="6" t="str">
        <f>VLOOKUP(F2852,'Customer Info'!$A$1:$C$501,3,0)</f>
        <v>Lock</v>
      </c>
      <c r="I2852" s="6" t="str">
        <f>VLOOKUP(F2852,Customer,5,0)</f>
        <v>Geelong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68</v>
      </c>
      <c r="O2852" s="2">
        <v>10</v>
      </c>
      <c r="P2852" s="8">
        <f t="shared" si="222"/>
        <v>78</v>
      </c>
      <c r="Q2852" s="8">
        <f t="shared" si="223"/>
        <v>5</v>
      </c>
      <c r="R2852" s="2" t="s">
        <v>50</v>
      </c>
      <c r="S2852" s="24">
        <f t="shared" si="224"/>
        <v>0.02</v>
      </c>
    </row>
    <row r="2853" spans="1:19" x14ac:dyDescent="0.25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>VLOOKUP(F2853,'Customer Info'!$A:$B,2,0)</f>
        <v>Giulietta</v>
      </c>
      <c r="H2853" s="6" t="str">
        <f>VLOOKUP(F2853,'Customer Info'!$A$1:$C$501,3,0)</f>
        <v>Weimer</v>
      </c>
      <c r="I2853" s="6" t="str">
        <f>VLOOKUP(F2853,Customer,5,0)</f>
        <v>Suihua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184</v>
      </c>
      <c r="O2853" s="2">
        <v>30</v>
      </c>
      <c r="P2853" s="8">
        <f t="shared" si="222"/>
        <v>214</v>
      </c>
      <c r="Q2853" s="8">
        <f t="shared" si="223"/>
        <v>8</v>
      </c>
      <c r="R2853" s="2" t="s">
        <v>50</v>
      </c>
      <c r="S2853" s="24">
        <f t="shared" si="224"/>
        <v>0.02</v>
      </c>
    </row>
    <row r="2854" spans="1:19" x14ac:dyDescent="0.25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>VLOOKUP(F2854,'Customer Info'!$A:$B,2,0)</f>
        <v>Jim</v>
      </c>
      <c r="H2854" s="6" t="str">
        <f>VLOOKUP(F2854,'Customer Info'!$A$1:$C$501,3,0)</f>
        <v>Epp</v>
      </c>
      <c r="I2854" s="6" t="str">
        <f>VLOOKUP(F2854,Customer,5,0)</f>
        <v>Jingmen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2688</v>
      </c>
      <c r="O2854" s="2">
        <v>65</v>
      </c>
      <c r="P2854" s="8">
        <f t="shared" si="222"/>
        <v>2753</v>
      </c>
      <c r="Q2854" s="8">
        <f t="shared" si="223"/>
        <v>168</v>
      </c>
      <c r="R2854" s="2" t="s">
        <v>28</v>
      </c>
      <c r="S2854" s="24">
        <f t="shared" si="224"/>
        <v>0.02</v>
      </c>
    </row>
    <row r="2855" spans="1:19" x14ac:dyDescent="0.25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>VLOOKUP(F2855,'Customer Info'!$A:$B,2,0)</f>
        <v>Laurel</v>
      </c>
      <c r="H2855" s="6" t="str">
        <f>VLOOKUP(F2855,'Customer Info'!$A$1:$C$501,3,0)</f>
        <v>Beltran</v>
      </c>
      <c r="I2855" s="6" t="str">
        <f>VLOOKUP(F2855,Customer,5,0)</f>
        <v>Wuppertal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417</v>
      </c>
      <c r="O2855" s="2">
        <v>30</v>
      </c>
      <c r="P2855" s="8">
        <f t="shared" si="222"/>
        <v>447</v>
      </c>
      <c r="Q2855" s="8">
        <f t="shared" si="223"/>
        <v>27</v>
      </c>
      <c r="R2855" s="2" t="s">
        <v>26</v>
      </c>
      <c r="S2855" s="24">
        <f t="shared" si="224"/>
        <v>0.02</v>
      </c>
    </row>
    <row r="2856" spans="1:19" x14ac:dyDescent="0.25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>VLOOKUP(F2856,'Customer Info'!$A:$B,2,0)</f>
        <v>Deirdre</v>
      </c>
      <c r="H2856" s="6" t="str">
        <f>VLOOKUP(F2856,'Customer Info'!$A$1:$C$501,3,0)</f>
        <v>Greer</v>
      </c>
      <c r="I2856" s="6" t="str">
        <f>VLOOKUP(F2856,Customer,5,0)</f>
        <v>Bandung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3774</v>
      </c>
      <c r="O2856" s="2">
        <v>39</v>
      </c>
      <c r="P2856" s="8">
        <f t="shared" si="222"/>
        <v>3813</v>
      </c>
      <c r="Q2856" s="8">
        <f t="shared" si="223"/>
        <v>248</v>
      </c>
      <c r="R2856" s="2" t="s">
        <v>50</v>
      </c>
      <c r="S2856" s="24">
        <f t="shared" si="224"/>
        <v>0.02</v>
      </c>
    </row>
    <row r="2857" spans="1:19" x14ac:dyDescent="0.25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>VLOOKUP(F2857,'Customer Info'!$A:$B,2,0)</f>
        <v>Dennis</v>
      </c>
      <c r="H2857" s="6" t="str">
        <f>VLOOKUP(F2857,'Customer Info'!$A$1:$C$501,3,0)</f>
        <v>Pardue</v>
      </c>
      <c r="I2857" s="6" t="str">
        <f>VLOOKUP(F2857,Customer,5,0)</f>
        <v>Pekalongan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32600</v>
      </c>
      <c r="O2857" s="2">
        <v>38</v>
      </c>
      <c r="P2857" s="8">
        <f t="shared" si="222"/>
        <v>32638</v>
      </c>
      <c r="Q2857" s="8">
        <f t="shared" si="223"/>
        <v>2675</v>
      </c>
      <c r="R2857" s="2" t="s">
        <v>50</v>
      </c>
      <c r="S2857" s="24">
        <f t="shared" si="224"/>
        <v>7.0000000000000007E-2</v>
      </c>
    </row>
    <row r="2858" spans="1:19" x14ac:dyDescent="0.25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>VLOOKUP(F2858,'Customer Info'!$A:$B,2,0)</f>
        <v>Lisa</v>
      </c>
      <c r="H2858" s="6" t="str">
        <f>VLOOKUP(F2858,'Customer Info'!$A$1:$C$501,3,0)</f>
        <v>Ryan</v>
      </c>
      <c r="I2858" s="6" t="str">
        <f>VLOOKUP(F2858,Customer,5,0)</f>
        <v>Townsville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6448</v>
      </c>
      <c r="O2858" s="2">
        <v>77</v>
      </c>
      <c r="P2858" s="8">
        <f t="shared" si="222"/>
        <v>6525</v>
      </c>
      <c r="Q2858" s="8">
        <f t="shared" si="223"/>
        <v>480</v>
      </c>
      <c r="R2858" s="2" t="s">
        <v>50</v>
      </c>
      <c r="S2858" s="24">
        <f t="shared" si="224"/>
        <v>0.05</v>
      </c>
    </row>
    <row r="2859" spans="1:19" x14ac:dyDescent="0.25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>VLOOKUP(F2859,'Customer Info'!$A:$B,2,0)</f>
        <v>Charles</v>
      </c>
      <c r="H2859" s="6" t="str">
        <f>VLOOKUP(F2859,'Customer Info'!$A$1:$C$501,3,0)</f>
        <v>Sheldon</v>
      </c>
      <c r="I2859" s="6" t="str">
        <f>VLOOKUP(F2859,Customer,5,0)</f>
        <v>Jakarta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1792</v>
      </c>
      <c r="O2859" s="2">
        <v>35</v>
      </c>
      <c r="P2859" s="8">
        <f t="shared" si="222"/>
        <v>1827</v>
      </c>
      <c r="Q2859" s="8">
        <f t="shared" si="223"/>
        <v>52</v>
      </c>
      <c r="R2859" s="2" t="s">
        <v>28</v>
      </c>
      <c r="S2859" s="24">
        <f t="shared" si="224"/>
        <v>0.02</v>
      </c>
    </row>
    <row r="2860" spans="1:19" x14ac:dyDescent="0.25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>VLOOKUP(F2860,'Customer Info'!$A:$B,2,0)</f>
        <v>Jim</v>
      </c>
      <c r="H2860" s="6" t="str">
        <f>VLOOKUP(F2860,'Customer Info'!$A$1:$C$501,3,0)</f>
        <v>Epp</v>
      </c>
      <c r="I2860" s="6" t="str">
        <f>VLOOKUP(F2860,Customer,5,0)</f>
        <v>Jingmen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207</v>
      </c>
      <c r="O2860" s="2">
        <v>10</v>
      </c>
      <c r="P2860" s="8">
        <f t="shared" si="222"/>
        <v>217</v>
      </c>
      <c r="Q2860" s="8">
        <f t="shared" si="223"/>
        <v>18</v>
      </c>
      <c r="R2860" s="2" t="s">
        <v>50</v>
      </c>
      <c r="S2860" s="24">
        <f t="shared" si="224"/>
        <v>0.02</v>
      </c>
    </row>
    <row r="2861" spans="1:19" x14ac:dyDescent="0.25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>VLOOKUP(F2861,'Customer Info'!$A:$B,2,0)</f>
        <v>Tamara</v>
      </c>
      <c r="H2861" s="6" t="str">
        <f>VLOOKUP(F2861,'Customer Info'!$A$1:$C$501,3,0)</f>
        <v>Chand</v>
      </c>
      <c r="I2861" s="6" t="str">
        <f>VLOOKUP(F2861,Customer,5,0)</f>
        <v>Yogyakarta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54912</v>
      </c>
      <c r="O2861" s="2">
        <v>34</v>
      </c>
      <c r="P2861" s="8">
        <f t="shared" si="222"/>
        <v>54946</v>
      </c>
      <c r="Q2861" s="8">
        <f t="shared" si="223"/>
        <v>1576</v>
      </c>
      <c r="R2861" s="2" t="s">
        <v>50</v>
      </c>
      <c r="S2861" s="24">
        <f t="shared" si="224"/>
        <v>0.09</v>
      </c>
    </row>
    <row r="2862" spans="1:19" x14ac:dyDescent="0.25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>VLOOKUP(F2862,'Customer Info'!$A:$B,2,0)</f>
        <v>Kristen</v>
      </c>
      <c r="H2862" s="6" t="str">
        <f>VLOOKUP(F2862,'Customer Info'!$A$1:$C$501,3,0)</f>
        <v>Hastings</v>
      </c>
      <c r="I2862" s="6" t="str">
        <f>VLOOKUP(F2862,Customer,5,0)</f>
        <v>Shihezi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1368</v>
      </c>
      <c r="O2862" s="2">
        <v>22</v>
      </c>
      <c r="P2862" s="8">
        <f t="shared" si="222"/>
        <v>1390</v>
      </c>
      <c r="Q2862" s="8">
        <f t="shared" si="223"/>
        <v>78</v>
      </c>
      <c r="R2862" s="2" t="s">
        <v>28</v>
      </c>
      <c r="S2862" s="24">
        <f t="shared" si="224"/>
        <v>0.02</v>
      </c>
    </row>
    <row r="2863" spans="1:19" x14ac:dyDescent="0.25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>VLOOKUP(F2863,'Customer Info'!$A:$B,2,0)</f>
        <v>Pamela</v>
      </c>
      <c r="H2863" s="6" t="str">
        <f>VLOOKUP(F2863,'Customer Info'!$A$1:$C$501,3,0)</f>
        <v>Stobb</v>
      </c>
      <c r="I2863" s="6" t="str">
        <f>VLOOKUP(F2863,Customer,5,0)</f>
        <v>Berlin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4323</v>
      </c>
      <c r="O2863" s="2">
        <v>99</v>
      </c>
      <c r="P2863" s="8">
        <f t="shared" si="222"/>
        <v>4422</v>
      </c>
      <c r="Q2863" s="8">
        <f t="shared" si="223"/>
        <v>243</v>
      </c>
      <c r="R2863" s="2" t="s">
        <v>50</v>
      </c>
      <c r="S2863" s="24">
        <f t="shared" si="224"/>
        <v>0.02</v>
      </c>
    </row>
    <row r="2864" spans="1:19" x14ac:dyDescent="0.25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>VLOOKUP(F2864,'Customer Info'!$A:$B,2,0)</f>
        <v>Eric</v>
      </c>
      <c r="H2864" s="6" t="str">
        <f>VLOOKUP(F2864,'Customer Info'!$A$1:$C$501,3,0)</f>
        <v>Barreto</v>
      </c>
      <c r="I2864" s="6" t="str">
        <f>VLOOKUP(F2864,Customer,5,0)</f>
        <v>Liaoyang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2292</v>
      </c>
      <c r="O2864" s="2">
        <v>53</v>
      </c>
      <c r="P2864" s="8">
        <f t="shared" si="222"/>
        <v>2345</v>
      </c>
      <c r="Q2864" s="8">
        <f t="shared" si="223"/>
        <v>170</v>
      </c>
      <c r="R2864" s="2" t="s">
        <v>28</v>
      </c>
      <c r="S2864" s="24">
        <f t="shared" si="224"/>
        <v>0.02</v>
      </c>
    </row>
    <row r="2865" spans="1:19" x14ac:dyDescent="0.25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>VLOOKUP(F2865,'Customer Info'!$A:$B,2,0)</f>
        <v>Aaron</v>
      </c>
      <c r="H2865" s="6" t="str">
        <f>VLOOKUP(F2865,'Customer Info'!$A$1:$C$501,3,0)</f>
        <v>Smayling</v>
      </c>
      <c r="I2865" s="6" t="str">
        <f>VLOOKUP(F2865,Customer,5,0)</f>
        <v>Dresden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20448</v>
      </c>
      <c r="O2865" s="2">
        <v>99</v>
      </c>
      <c r="P2865" s="8">
        <f t="shared" si="222"/>
        <v>20547</v>
      </c>
      <c r="Q2865" s="8">
        <f t="shared" si="223"/>
        <v>1158</v>
      </c>
      <c r="R2865" s="2" t="s">
        <v>28</v>
      </c>
      <c r="S2865" s="24">
        <f t="shared" si="224"/>
        <v>0.05</v>
      </c>
    </row>
    <row r="2866" spans="1:19" x14ac:dyDescent="0.25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>VLOOKUP(F2866,'Customer Info'!$A:$B,2,0)</f>
        <v>Alan</v>
      </c>
      <c r="H2866" s="6" t="str">
        <f>VLOOKUP(F2866,'Customer Info'!$A$1:$C$501,3,0)</f>
        <v>Shonely</v>
      </c>
      <c r="I2866" s="6" t="str">
        <f>VLOOKUP(F2866,Customer,5,0)</f>
        <v>Canberra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315</v>
      </c>
      <c r="O2866" s="2">
        <v>10</v>
      </c>
      <c r="P2866" s="8">
        <f t="shared" si="222"/>
        <v>325</v>
      </c>
      <c r="Q2866" s="8">
        <f t="shared" si="223"/>
        <v>20</v>
      </c>
      <c r="R2866" s="2" t="s">
        <v>50</v>
      </c>
      <c r="S2866" s="24">
        <f t="shared" si="224"/>
        <v>0.02</v>
      </c>
    </row>
    <row r="2867" spans="1:19" x14ac:dyDescent="0.25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>VLOOKUP(F2867,'Customer Info'!$A:$B,2,0)</f>
        <v>Paul</v>
      </c>
      <c r="H2867" s="6" t="str">
        <f>VLOOKUP(F2867,'Customer Info'!$A$1:$C$501,3,0)</f>
        <v>Stevenson</v>
      </c>
      <c r="I2867" s="6" t="str">
        <f>VLOOKUP(F2867,Customer,5,0)</f>
        <v>Kwinana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20010</v>
      </c>
      <c r="O2867" s="2">
        <v>33</v>
      </c>
      <c r="P2867" s="8">
        <f t="shared" si="222"/>
        <v>20043</v>
      </c>
      <c r="Q2867" s="8">
        <f t="shared" si="223"/>
        <v>1290</v>
      </c>
      <c r="R2867" s="2" t="s">
        <v>28</v>
      </c>
      <c r="S2867" s="24">
        <f t="shared" si="224"/>
        <v>0.05</v>
      </c>
    </row>
    <row r="2868" spans="1:19" x14ac:dyDescent="0.25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>VLOOKUP(F2868,'Customer Info'!$A:$B,2,0)</f>
        <v>Brooke</v>
      </c>
      <c r="H2868" s="6" t="str">
        <f>VLOOKUP(F2868,'Customer Info'!$A$1:$C$501,3,0)</f>
        <v>Gillingham</v>
      </c>
      <c r="I2868" s="6" t="str">
        <f>VLOOKUP(F2868,Customer,5,0)</f>
        <v>Weimar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549</v>
      </c>
      <c r="O2868" s="2">
        <v>30</v>
      </c>
      <c r="P2868" s="8">
        <f t="shared" si="222"/>
        <v>579</v>
      </c>
      <c r="Q2868" s="8">
        <f t="shared" si="223"/>
        <v>45</v>
      </c>
      <c r="R2868" s="2" t="s">
        <v>50</v>
      </c>
      <c r="S2868" s="24">
        <f t="shared" si="224"/>
        <v>0.02</v>
      </c>
    </row>
    <row r="2869" spans="1:19" x14ac:dyDescent="0.25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>VLOOKUP(F2869,'Customer Info'!$A:$B,2,0)</f>
        <v>Andrew</v>
      </c>
      <c r="H2869" s="6" t="str">
        <f>VLOOKUP(F2869,'Customer Info'!$A$1:$C$501,3,0)</f>
        <v>Gjertsen</v>
      </c>
      <c r="I2869" s="6" t="str">
        <f>VLOOKUP(F2869,Customer,5,0)</f>
        <v>Hamburg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370</v>
      </c>
      <c r="O2869" s="2">
        <v>30</v>
      </c>
      <c r="P2869" s="8">
        <f t="shared" si="222"/>
        <v>400</v>
      </c>
      <c r="Q2869" s="8">
        <f t="shared" si="223"/>
        <v>28</v>
      </c>
      <c r="R2869" s="2" t="s">
        <v>28</v>
      </c>
      <c r="S2869" s="24">
        <f t="shared" si="224"/>
        <v>0.02</v>
      </c>
    </row>
    <row r="2870" spans="1:19" x14ac:dyDescent="0.25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>VLOOKUP(F2870,'Customer Info'!$A:$B,2,0)</f>
        <v>Philisse</v>
      </c>
      <c r="H2870" s="6" t="str">
        <f>VLOOKUP(F2870,'Customer Info'!$A$1:$C$501,3,0)</f>
        <v>Overcash</v>
      </c>
      <c r="I2870" s="6" t="str">
        <f>VLOOKUP(F2870,Customer,5,0)</f>
        <v>Potsdam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11665</v>
      </c>
      <c r="O2870" s="2">
        <v>84</v>
      </c>
      <c r="P2870" s="8">
        <f t="shared" si="222"/>
        <v>11749</v>
      </c>
      <c r="Q2870" s="8">
        <f t="shared" si="223"/>
        <v>1365</v>
      </c>
      <c r="R2870" s="2" t="s">
        <v>28</v>
      </c>
      <c r="S2870" s="24">
        <f t="shared" si="224"/>
        <v>0.05</v>
      </c>
    </row>
    <row r="2871" spans="1:19" x14ac:dyDescent="0.25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>VLOOKUP(F2871,'Customer Info'!$A:$B,2,0)</f>
        <v>Max</v>
      </c>
      <c r="H2871" s="6" t="str">
        <f>VLOOKUP(F2871,'Customer Info'!$A$1:$C$501,3,0)</f>
        <v>Ludwig</v>
      </c>
      <c r="I2871" s="6" t="str">
        <f>VLOOKUP(F2871,Customer,5,0)</f>
        <v>Newcastle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50106</v>
      </c>
      <c r="O2871" s="2">
        <v>97</v>
      </c>
      <c r="P2871" s="8">
        <f t="shared" si="222"/>
        <v>50203</v>
      </c>
      <c r="Q2871" s="8">
        <f t="shared" si="223"/>
        <v>1908</v>
      </c>
      <c r="R2871" s="2" t="s">
        <v>28</v>
      </c>
      <c r="S2871" s="24">
        <f t="shared" si="224"/>
        <v>0.09</v>
      </c>
    </row>
    <row r="2872" spans="1:19" x14ac:dyDescent="0.25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>VLOOKUP(F2872,'Customer Info'!$A:$B,2,0)</f>
        <v>Ted</v>
      </c>
      <c r="H2872" s="6" t="str">
        <f>VLOOKUP(F2872,'Customer Info'!$A$1:$C$501,3,0)</f>
        <v>Trevino</v>
      </c>
      <c r="I2872" s="6" t="str">
        <f>VLOOKUP(F2872,Customer,5,0)</f>
        <v>Bendigo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2444</v>
      </c>
      <c r="O2872" s="2">
        <v>26</v>
      </c>
      <c r="P2872" s="8">
        <f t="shared" si="222"/>
        <v>2470</v>
      </c>
      <c r="Q2872" s="8">
        <f t="shared" si="223"/>
        <v>70</v>
      </c>
      <c r="R2872" s="2" t="s">
        <v>26</v>
      </c>
      <c r="S2872" s="24">
        <f t="shared" si="224"/>
        <v>0.02</v>
      </c>
    </row>
    <row r="2873" spans="1:19" x14ac:dyDescent="0.25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>VLOOKUP(F2873,'Customer Info'!$A:$B,2,0)</f>
        <v>Thomas</v>
      </c>
      <c r="H2873" s="6" t="str">
        <f>VLOOKUP(F2873,'Customer Info'!$A$1:$C$501,3,0)</f>
        <v>Boland</v>
      </c>
      <c r="I2873" s="6" t="str">
        <f>VLOOKUP(F2873,Customer,5,0)</f>
        <v>Surabaya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7623</v>
      </c>
      <c r="O2873" s="2">
        <v>65</v>
      </c>
      <c r="P2873" s="8">
        <f t="shared" si="222"/>
        <v>7688</v>
      </c>
      <c r="Q2873" s="8">
        <f t="shared" si="223"/>
        <v>559</v>
      </c>
      <c r="R2873" s="2" t="s">
        <v>50</v>
      </c>
      <c r="S2873" s="24">
        <f t="shared" si="224"/>
        <v>0.05</v>
      </c>
    </row>
    <row r="2874" spans="1:19" x14ac:dyDescent="0.25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>VLOOKUP(F2874,'Customer Info'!$A:$B,2,0)</f>
        <v>Alan</v>
      </c>
      <c r="H2874" s="6" t="str">
        <f>VLOOKUP(F2874,'Customer Info'!$A$1:$C$501,3,0)</f>
        <v>Shonely</v>
      </c>
      <c r="I2874" s="6" t="str">
        <f>VLOOKUP(F2874,Customer,5,0)</f>
        <v>Canberra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4704</v>
      </c>
      <c r="O2874" s="2">
        <v>57</v>
      </c>
      <c r="P2874" s="8">
        <f t="shared" si="222"/>
        <v>4761</v>
      </c>
      <c r="Q2874" s="8">
        <f t="shared" si="223"/>
        <v>343</v>
      </c>
      <c r="R2874" s="2" t="s">
        <v>50</v>
      </c>
      <c r="S2874" s="24">
        <f t="shared" si="224"/>
        <v>0.02</v>
      </c>
    </row>
    <row r="2875" spans="1:19" x14ac:dyDescent="0.25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>VLOOKUP(F2875,'Customer Info'!$A:$B,2,0)</f>
        <v>Charles</v>
      </c>
      <c r="H2875" s="6" t="str">
        <f>VLOOKUP(F2875,'Customer Info'!$A$1:$C$501,3,0)</f>
        <v>Sheldon</v>
      </c>
      <c r="I2875" s="6" t="str">
        <f>VLOOKUP(F2875,Customer,5,0)</f>
        <v>Jakarta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1834</v>
      </c>
      <c r="O2875" s="2">
        <v>20</v>
      </c>
      <c r="P2875" s="8">
        <f t="shared" si="222"/>
        <v>1854</v>
      </c>
      <c r="Q2875" s="8">
        <f t="shared" si="223"/>
        <v>118</v>
      </c>
      <c r="R2875" s="2" t="s">
        <v>28</v>
      </c>
      <c r="S2875" s="24">
        <f t="shared" si="224"/>
        <v>0.02</v>
      </c>
    </row>
    <row r="2876" spans="1:19" x14ac:dyDescent="0.25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>VLOOKUP(F2876,'Customer Info'!$A:$B,2,0)</f>
        <v>Eileen</v>
      </c>
      <c r="H2876" s="6" t="str">
        <f>VLOOKUP(F2876,'Customer Info'!$A$1:$C$501,3,0)</f>
        <v>Kiefer</v>
      </c>
      <c r="I2876" s="6" t="str">
        <f>VLOOKUP(F2876,Customer,5,0)</f>
        <v>Cologne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8760</v>
      </c>
      <c r="O2876" s="2">
        <v>81</v>
      </c>
      <c r="P2876" s="8">
        <f t="shared" si="222"/>
        <v>8841</v>
      </c>
      <c r="Q2876" s="8">
        <f t="shared" si="223"/>
        <v>880</v>
      </c>
      <c r="R2876" s="2" t="s">
        <v>50</v>
      </c>
      <c r="S2876" s="24">
        <f t="shared" si="224"/>
        <v>0.05</v>
      </c>
    </row>
    <row r="2877" spans="1:19" x14ac:dyDescent="0.25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>VLOOKUP(F2877,'Customer Info'!$A:$B,2,0)</f>
        <v>Erica</v>
      </c>
      <c r="H2877" s="6" t="str">
        <f>VLOOKUP(F2877,'Customer Info'!$A$1:$C$501,3,0)</f>
        <v>Hackney</v>
      </c>
      <c r="I2877" s="6" t="str">
        <f>VLOOKUP(F2877,Customer,5,0)</f>
        <v>Adelaide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1382</v>
      </c>
      <c r="O2877" s="2">
        <v>23</v>
      </c>
      <c r="P2877" s="8">
        <f t="shared" si="222"/>
        <v>1405</v>
      </c>
      <c r="Q2877" s="8">
        <f t="shared" si="223"/>
        <v>128</v>
      </c>
      <c r="R2877" s="2" t="s">
        <v>28</v>
      </c>
      <c r="S2877" s="24">
        <f t="shared" si="224"/>
        <v>0.02</v>
      </c>
    </row>
    <row r="2878" spans="1:19" x14ac:dyDescent="0.25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>VLOOKUP(F2878,'Customer Info'!$A:$B,2,0)</f>
        <v>Allen</v>
      </c>
      <c r="H2878" s="6" t="str">
        <f>VLOOKUP(F2878,'Customer Info'!$A$1:$C$501,3,0)</f>
        <v>Rosenblatt</v>
      </c>
      <c r="I2878" s="6" t="str">
        <f>VLOOKUP(F2878,Customer,5,0)</f>
        <v>Chaozhou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17756</v>
      </c>
      <c r="O2878" s="2">
        <v>29</v>
      </c>
      <c r="P2878" s="8">
        <f t="shared" si="222"/>
        <v>17785</v>
      </c>
      <c r="Q2878" s="8">
        <f t="shared" si="223"/>
        <v>1928</v>
      </c>
      <c r="R2878" s="2" t="s">
        <v>50</v>
      </c>
      <c r="S2878" s="24">
        <f t="shared" si="224"/>
        <v>0.05</v>
      </c>
    </row>
    <row r="2879" spans="1:19" x14ac:dyDescent="0.25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>VLOOKUP(F2879,'Customer Info'!$A:$B,2,0)</f>
        <v>Jill</v>
      </c>
      <c r="H2879" s="6" t="str">
        <f>VLOOKUP(F2879,'Customer Info'!$A$1:$C$501,3,0)</f>
        <v>Fjeld</v>
      </c>
      <c r="I2879" s="6" t="str">
        <f>VLOOKUP(F2879,Customer,5,0)</f>
        <v>Wollongong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30632</v>
      </c>
      <c r="O2879" s="2">
        <v>63</v>
      </c>
      <c r="P2879" s="8">
        <f t="shared" si="222"/>
        <v>30695</v>
      </c>
      <c r="Q2879" s="8">
        <f t="shared" si="223"/>
        <v>2528</v>
      </c>
      <c r="R2879" s="2" t="s">
        <v>26</v>
      </c>
      <c r="S2879" s="24">
        <f t="shared" si="224"/>
        <v>7.0000000000000007E-2</v>
      </c>
    </row>
    <row r="2880" spans="1:19" x14ac:dyDescent="0.25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>VLOOKUP(F2880,'Customer Info'!$A:$B,2,0)</f>
        <v>Cyra</v>
      </c>
      <c r="H2880" s="6" t="str">
        <f>VLOOKUP(F2880,'Customer Info'!$A$1:$C$501,3,0)</f>
        <v>Reiten</v>
      </c>
      <c r="I2880" s="6" t="str">
        <f>VLOOKUP(F2880,Customer,5,0)</f>
        <v>Srinagar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93</v>
      </c>
      <c r="O2880" s="2">
        <v>10</v>
      </c>
      <c r="P2880" s="8">
        <f t="shared" si="222"/>
        <v>103</v>
      </c>
      <c r="Q2880" s="8">
        <f t="shared" si="223"/>
        <v>7</v>
      </c>
      <c r="R2880" s="2" t="s">
        <v>56</v>
      </c>
      <c r="S2880" s="24">
        <f t="shared" si="224"/>
        <v>0.02</v>
      </c>
    </row>
    <row r="2881" spans="1:19" x14ac:dyDescent="0.25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>VLOOKUP(F2881,'Customer Info'!$A:$B,2,0)</f>
        <v>Lynn</v>
      </c>
      <c r="H2881" s="6" t="str">
        <f>VLOOKUP(F2881,'Customer Info'!$A$1:$C$501,3,0)</f>
        <v>Smith</v>
      </c>
      <c r="I2881" s="6" t="str">
        <f>VLOOKUP(F2881,Customer,5,0)</f>
        <v>Kanpur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16052</v>
      </c>
      <c r="O2881" s="2">
        <v>67</v>
      </c>
      <c r="P2881" s="8">
        <f t="shared" si="222"/>
        <v>16119</v>
      </c>
      <c r="Q2881" s="8">
        <f t="shared" si="223"/>
        <v>908</v>
      </c>
      <c r="R2881" s="2" t="s">
        <v>28</v>
      </c>
      <c r="S2881" s="24">
        <f t="shared" si="224"/>
        <v>0.05</v>
      </c>
    </row>
    <row r="2882" spans="1:19" x14ac:dyDescent="0.25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>VLOOKUP(F2882,'Customer Info'!$A:$B,2,0)</f>
        <v>Ralph</v>
      </c>
      <c r="H2882" s="6" t="str">
        <f>VLOOKUP(F2882,'Customer Info'!$A$1:$C$501,3,0)</f>
        <v>Arnett</v>
      </c>
      <c r="I2882" s="6" t="str">
        <f>VLOOKUP(F2882,Customer,5,0)</f>
        <v>Shenyang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2073</v>
      </c>
      <c r="O2882" s="2">
        <v>63</v>
      </c>
      <c r="P2882" s="8">
        <f t="shared" si="222"/>
        <v>2136</v>
      </c>
      <c r="Q2882" s="8">
        <f t="shared" si="223"/>
        <v>135</v>
      </c>
      <c r="R2882" s="2" t="s">
        <v>28</v>
      </c>
      <c r="S2882" s="24">
        <f t="shared" si="224"/>
        <v>0.02</v>
      </c>
    </row>
    <row r="2883" spans="1:19" x14ac:dyDescent="0.25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>VLOOKUP(F2883,'Customer Info'!$A:$B,2,0)</f>
        <v>Laurel</v>
      </c>
      <c r="H2883" s="6" t="str">
        <f>VLOOKUP(F2883,'Customer Info'!$A$1:$C$501,3,0)</f>
        <v>Workman</v>
      </c>
      <c r="I2883" s="6" t="str">
        <f>VLOOKUP(F2883,Customer,5,0)</f>
        <v>Dongguan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3316</v>
      </c>
      <c r="O2883" s="2">
        <v>94</v>
      </c>
      <c r="P2883" s="8">
        <f t="shared" si="222"/>
        <v>3410</v>
      </c>
      <c r="Q2883" s="8">
        <f t="shared" si="223"/>
        <v>272</v>
      </c>
      <c r="R2883" s="2" t="s">
        <v>26</v>
      </c>
      <c r="S2883" s="24">
        <f t="shared" si="224"/>
        <v>0.02</v>
      </c>
    </row>
    <row r="2884" spans="1:19" x14ac:dyDescent="0.25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>VLOOKUP(F2884,'Customer Info'!$A:$B,2,0)</f>
        <v>Adrian</v>
      </c>
      <c r="H2884" s="6" t="str">
        <f>VLOOKUP(F2884,'Customer Info'!$A$1:$C$501,3,0)</f>
        <v>Barton</v>
      </c>
      <c r="I2884" s="6" t="str">
        <f>VLOOKUP(F2884,Customer,5,0)</f>
        <v>Zigong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12992</v>
      </c>
      <c r="O2884" s="2">
        <v>92</v>
      </c>
      <c r="P2884" s="8">
        <f t="shared" si="222"/>
        <v>13084</v>
      </c>
      <c r="Q2884" s="8">
        <f t="shared" si="223"/>
        <v>852</v>
      </c>
      <c r="R2884" s="2" t="s">
        <v>28</v>
      </c>
      <c r="S2884" s="24">
        <f t="shared" si="224"/>
        <v>0.05</v>
      </c>
    </row>
    <row r="2885" spans="1:19" x14ac:dyDescent="0.25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>VLOOKUP(F2885,'Customer Info'!$A:$B,2,0)</f>
        <v>Robert</v>
      </c>
      <c r="H2885" s="6" t="str">
        <f>VLOOKUP(F2885,'Customer Info'!$A$1:$C$501,3,0)</f>
        <v>Dilbeck</v>
      </c>
      <c r="I2885" s="6" t="str">
        <f>VLOOKUP(F2885,Customer,5,0)</f>
        <v>Bihar Sharif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15208</v>
      </c>
      <c r="O2885" s="2">
        <v>69</v>
      </c>
      <c r="P2885" s="8">
        <f t="shared" si="222"/>
        <v>15277</v>
      </c>
      <c r="Q2885" s="8">
        <f t="shared" si="223"/>
        <v>728</v>
      </c>
      <c r="R2885" s="2" t="s">
        <v>56</v>
      </c>
      <c r="S2885" s="24">
        <f t="shared" si="224"/>
        <v>0.05</v>
      </c>
    </row>
    <row r="2886" spans="1:19" x14ac:dyDescent="0.25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>VLOOKUP(F2886,'Customer Info'!$A:$B,2,0)</f>
        <v>Erica</v>
      </c>
      <c r="H2886" s="6" t="str">
        <f>VLOOKUP(F2886,'Customer Info'!$A$1:$C$501,3,0)</f>
        <v>Smith</v>
      </c>
      <c r="I2886" s="6" t="str">
        <f>VLOOKUP(F2886,Customer,5,0)</f>
        <v>Halle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23528</v>
      </c>
      <c r="O2886" s="2">
        <v>31</v>
      </c>
      <c r="P2886" s="8">
        <f t="shared" si="222"/>
        <v>23559</v>
      </c>
      <c r="Q2886" s="8">
        <f t="shared" si="223"/>
        <v>676</v>
      </c>
      <c r="R2886" s="2" t="s">
        <v>28</v>
      </c>
      <c r="S2886" s="24">
        <f t="shared" si="224"/>
        <v>0.05</v>
      </c>
    </row>
    <row r="2887" spans="1:19" x14ac:dyDescent="0.25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>VLOOKUP(F2887,'Customer Info'!$A:$B,2,0)</f>
        <v>Darren</v>
      </c>
      <c r="H2887" s="6" t="str">
        <f>VLOOKUP(F2887,'Customer Info'!$A$1:$C$501,3,0)</f>
        <v>Powers</v>
      </c>
      <c r="I2887" s="6" t="str">
        <f>VLOOKUP(F2887,Customer,5,0)</f>
        <v>Depok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201240</v>
      </c>
      <c r="O2887" s="2">
        <v>75</v>
      </c>
      <c r="P2887" s="8">
        <f t="shared" si="222"/>
        <v>201315</v>
      </c>
      <c r="Q2887" s="8">
        <f t="shared" si="223"/>
        <v>11216</v>
      </c>
      <c r="R2887" s="2" t="s">
        <v>28</v>
      </c>
      <c r="S2887" s="24">
        <f t="shared" si="224"/>
        <v>0.12</v>
      </c>
    </row>
    <row r="2888" spans="1:19" x14ac:dyDescent="0.25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>VLOOKUP(F2888,'Customer Info'!$A:$B,2,0)</f>
        <v>Toby</v>
      </c>
      <c r="H2888" s="6" t="str">
        <f>VLOOKUP(F2888,'Customer Info'!$A$1:$C$501,3,0)</f>
        <v>Carlisle</v>
      </c>
      <c r="I2888" s="6" t="str">
        <f>VLOOKUP(F2888,Customer,5,0)</f>
        <v>Depok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2823</v>
      </c>
      <c r="O2888" s="2">
        <v>94</v>
      </c>
      <c r="P2888" s="8">
        <f t="shared" si="222"/>
        <v>2917</v>
      </c>
      <c r="Q2888" s="8">
        <f t="shared" si="223"/>
        <v>108</v>
      </c>
      <c r="R2888" s="2" t="s">
        <v>28</v>
      </c>
      <c r="S2888" s="24">
        <f t="shared" si="224"/>
        <v>0.02</v>
      </c>
    </row>
    <row r="2889" spans="1:19" x14ac:dyDescent="0.25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>VLOOKUP(F2889,'Customer Info'!$A:$B,2,0)</f>
        <v>Darrin</v>
      </c>
      <c r="H2889" s="6" t="str">
        <f>VLOOKUP(F2889,'Customer Info'!$A$1:$C$501,3,0)</f>
        <v>Martin</v>
      </c>
      <c r="I2889" s="6" t="str">
        <f>VLOOKUP(F2889,Customer,5,0)</f>
        <v>Berlin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3308</v>
      </c>
      <c r="O2889" s="2">
        <v>95</v>
      </c>
      <c r="P2889" s="8">
        <f t="shared" si="222"/>
        <v>3403</v>
      </c>
      <c r="Q2889" s="8">
        <f t="shared" si="223"/>
        <v>154</v>
      </c>
      <c r="R2889" s="2" t="s">
        <v>28</v>
      </c>
      <c r="S2889" s="24">
        <f t="shared" si="224"/>
        <v>0.02</v>
      </c>
    </row>
    <row r="2890" spans="1:19" x14ac:dyDescent="0.25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>VLOOKUP(F2890,'Customer Info'!$A:$B,2,0)</f>
        <v>Meg</v>
      </c>
      <c r="H2890" s="6" t="str">
        <f>VLOOKUP(F2890,'Customer Info'!$A$1:$C$501,3,0)</f>
        <v>Tillman</v>
      </c>
      <c r="I2890" s="6" t="str">
        <f>VLOOKUP(F2890,Customer,5,0)</f>
        <v>Bangalore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574</v>
      </c>
      <c r="O2890" s="2">
        <v>10</v>
      </c>
      <c r="P2890" s="8">
        <f t="shared" si="222"/>
        <v>584</v>
      </c>
      <c r="Q2890" s="8">
        <f t="shared" si="223"/>
        <v>21</v>
      </c>
      <c r="R2890" s="2" t="s">
        <v>28</v>
      </c>
      <c r="S2890" s="24">
        <f t="shared" si="224"/>
        <v>0.02</v>
      </c>
    </row>
    <row r="2891" spans="1:19" x14ac:dyDescent="0.25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>VLOOKUP(F2891,'Customer Info'!$A:$B,2,0)</f>
        <v>Beth</v>
      </c>
      <c r="H2891" s="6" t="str">
        <f>VLOOKUP(F2891,'Customer Info'!$A$1:$C$501,3,0)</f>
        <v>Thompson</v>
      </c>
      <c r="I2891" s="6" t="str">
        <f>VLOOKUP(F2891,Customer,5,0)</f>
        <v>Lohne</v>
      </c>
      <c r="J2891" s="2">
        <v>8617</v>
      </c>
      <c r="K2891" s="2">
        <v>7900</v>
      </c>
      <c r="L2891" s="2">
        <v>3</v>
      </c>
      <c r="M2891" s="7">
        <f t="shared" ref="M2891:M2954" si="225">K2891*L2891</f>
        <v>23700</v>
      </c>
      <c r="N2891" s="7">
        <f t="shared" ref="N2891:N2954" si="226">J2891*L2891</f>
        <v>25851</v>
      </c>
      <c r="O2891" s="2">
        <v>68</v>
      </c>
      <c r="P2891" s="8">
        <f t="shared" ref="P2891:P2954" si="227">N2891+O2891</f>
        <v>25919</v>
      </c>
      <c r="Q2891" s="8">
        <f t="shared" ref="Q2891:Q2954" si="228">N2891-M2891</f>
        <v>2151</v>
      </c>
      <c r="R2891" s="2" t="s">
        <v>28</v>
      </c>
      <c r="S2891" s="24">
        <f t="shared" ref="S2891:S2954" si="229">VLOOKUP(N2891,$T$1:$U$7,2,TRUE)</f>
        <v>7.0000000000000007E-2</v>
      </c>
    </row>
    <row r="2892" spans="1:19" x14ac:dyDescent="0.25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>VLOOKUP(F2892,'Customer Info'!$A:$B,2,0)</f>
        <v>Elpida</v>
      </c>
      <c r="H2892" s="6" t="str">
        <f>VLOOKUP(F2892,'Customer Info'!$A$1:$C$501,3,0)</f>
        <v>Rittenbach</v>
      </c>
      <c r="I2892" s="6" t="str">
        <f>VLOOKUP(F2892,Customer,5,0)</f>
        <v>Melbourne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8">
        <f t="shared" si="227"/>
        <v>165</v>
      </c>
      <c r="Q2892" s="8">
        <f t="shared" si="228"/>
        <v>6</v>
      </c>
      <c r="R2892" s="2" t="s">
        <v>28</v>
      </c>
      <c r="S2892" s="24">
        <f t="shared" si="229"/>
        <v>0.02</v>
      </c>
    </row>
    <row r="2893" spans="1:19" x14ac:dyDescent="0.25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>VLOOKUP(F2893,'Customer Info'!$A:$B,2,0)</f>
        <v>Stuart</v>
      </c>
      <c r="H2893" s="6" t="str">
        <f>VLOOKUP(F2893,'Customer Info'!$A$1:$C$501,3,0)</f>
        <v>Calhoun</v>
      </c>
      <c r="I2893" s="6" t="str">
        <f>VLOOKUP(F2893,Customer,5,0)</f>
        <v>Raipur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8">
        <f t="shared" si="227"/>
        <v>10906</v>
      </c>
      <c r="Q2893" s="8">
        <f t="shared" si="228"/>
        <v>612</v>
      </c>
      <c r="R2893" s="2" t="s">
        <v>26</v>
      </c>
      <c r="S2893" s="24">
        <f t="shared" si="229"/>
        <v>0.05</v>
      </c>
    </row>
    <row r="2894" spans="1:19" x14ac:dyDescent="0.25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>VLOOKUP(F2894,'Customer Info'!$A:$B,2,0)</f>
        <v>Ted</v>
      </c>
      <c r="H2894" s="6" t="str">
        <f>VLOOKUP(F2894,'Customer Info'!$A$1:$C$501,3,0)</f>
        <v>Trevino</v>
      </c>
      <c r="I2894" s="6" t="str">
        <f>VLOOKUP(F2894,Customer,5,0)</f>
        <v>Gold Coast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8">
        <f t="shared" si="227"/>
        <v>1567</v>
      </c>
      <c r="Q2894" s="8">
        <f t="shared" si="228"/>
        <v>130</v>
      </c>
      <c r="R2894" s="2" t="s">
        <v>50</v>
      </c>
      <c r="S2894" s="24">
        <f t="shared" si="229"/>
        <v>0.02</v>
      </c>
    </row>
    <row r="2895" spans="1:19" x14ac:dyDescent="0.25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>VLOOKUP(F2895,'Customer Info'!$A:$B,2,0)</f>
        <v>Michael</v>
      </c>
      <c r="H2895" s="6" t="str">
        <f>VLOOKUP(F2895,'Customer Info'!$A$1:$C$501,3,0)</f>
        <v>Granlund</v>
      </c>
      <c r="I2895" s="6" t="str">
        <f>VLOOKUP(F2895,Customer,5,0)</f>
        <v>Sydney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8">
        <f t="shared" si="227"/>
        <v>130</v>
      </c>
      <c r="Q2895" s="8">
        <f t="shared" si="228"/>
        <v>6</v>
      </c>
      <c r="R2895" s="2" t="s">
        <v>26</v>
      </c>
      <c r="S2895" s="24">
        <f t="shared" si="229"/>
        <v>0.02</v>
      </c>
    </row>
    <row r="2896" spans="1:19" x14ac:dyDescent="0.25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>VLOOKUP(F2896,'Customer Info'!$A:$B,2,0)</f>
        <v>Andy</v>
      </c>
      <c r="H2896" s="6" t="str">
        <f>VLOOKUP(F2896,'Customer Info'!$A$1:$C$501,3,0)</f>
        <v>Yotov</v>
      </c>
      <c r="I2896" s="6" t="str">
        <f>VLOOKUP(F2896,Customer,5,0)</f>
        <v>Samarinda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2187</v>
      </c>
      <c r="O2896" s="2">
        <v>99</v>
      </c>
      <c r="P2896" s="8">
        <f t="shared" si="227"/>
        <v>2286</v>
      </c>
      <c r="Q2896" s="8">
        <f t="shared" si="228"/>
        <v>120</v>
      </c>
      <c r="R2896" s="2" t="s">
        <v>50</v>
      </c>
      <c r="S2896" s="24">
        <f t="shared" si="229"/>
        <v>0.02</v>
      </c>
    </row>
    <row r="2897" spans="1:19" x14ac:dyDescent="0.25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>VLOOKUP(F2897,'Customer Info'!$A:$B,2,0)</f>
        <v>Alyssa</v>
      </c>
      <c r="H2897" s="6" t="str">
        <f>VLOOKUP(F2897,'Customer Info'!$A$1:$C$501,3,0)</f>
        <v>Tate</v>
      </c>
      <c r="I2897" s="6" t="str">
        <f>VLOOKUP(F2897,Customer,5,0)</f>
        <v>Wafangdian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7205</v>
      </c>
      <c r="O2897" s="2">
        <v>53</v>
      </c>
      <c r="P2897" s="8">
        <f t="shared" si="227"/>
        <v>7258</v>
      </c>
      <c r="Q2897" s="8">
        <f t="shared" si="228"/>
        <v>405</v>
      </c>
      <c r="R2897" s="2" t="s">
        <v>28</v>
      </c>
      <c r="S2897" s="24">
        <f t="shared" si="229"/>
        <v>0.05</v>
      </c>
    </row>
    <row r="2898" spans="1:19" x14ac:dyDescent="0.25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>VLOOKUP(F2898,'Customer Info'!$A:$B,2,0)</f>
        <v>Catherine</v>
      </c>
      <c r="H2898" s="6" t="str">
        <f>VLOOKUP(F2898,'Customer Info'!$A$1:$C$501,3,0)</f>
        <v>Glotzbach</v>
      </c>
      <c r="I2898" s="6" t="str">
        <f>VLOOKUP(F2898,Customer,5,0)</f>
        <v>Bochum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2178</v>
      </c>
      <c r="O2898" s="2">
        <v>65</v>
      </c>
      <c r="P2898" s="8">
        <f t="shared" si="227"/>
        <v>2243</v>
      </c>
      <c r="Q2898" s="8">
        <f t="shared" si="228"/>
        <v>240</v>
      </c>
      <c r="R2898" s="2" t="s">
        <v>28</v>
      </c>
      <c r="S2898" s="24">
        <f t="shared" si="229"/>
        <v>0.02</v>
      </c>
    </row>
    <row r="2899" spans="1:19" x14ac:dyDescent="0.25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>VLOOKUP(F2899,'Customer Info'!$A:$B,2,0)</f>
        <v>Philisse</v>
      </c>
      <c r="H2899" s="6" t="str">
        <f>VLOOKUP(F2899,'Customer Info'!$A$1:$C$501,3,0)</f>
        <v>Overcash</v>
      </c>
      <c r="I2899" s="6" t="str">
        <f>VLOOKUP(F2899,Customer,5,0)</f>
        <v>Potsdam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8026</v>
      </c>
      <c r="O2899" s="2">
        <v>70</v>
      </c>
      <c r="P2899" s="8">
        <f t="shared" si="227"/>
        <v>8096</v>
      </c>
      <c r="Q2899" s="8">
        <f t="shared" si="228"/>
        <v>454</v>
      </c>
      <c r="R2899" s="2" t="s">
        <v>28</v>
      </c>
      <c r="S2899" s="24">
        <f t="shared" si="229"/>
        <v>0.05</v>
      </c>
    </row>
    <row r="2900" spans="1:19" x14ac:dyDescent="0.25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>VLOOKUP(F2900,'Customer Info'!$A:$B,2,0)</f>
        <v>Duane</v>
      </c>
      <c r="H2900" s="6" t="str">
        <f>VLOOKUP(F2900,'Customer Info'!$A$1:$C$501,3,0)</f>
        <v>Benoit</v>
      </c>
      <c r="I2900" s="6" t="str">
        <f>VLOOKUP(F2900,Customer,5,0)</f>
        <v>Tamworth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1653</v>
      </c>
      <c r="O2900" s="2">
        <v>66</v>
      </c>
      <c r="P2900" s="8">
        <f t="shared" si="227"/>
        <v>1719</v>
      </c>
      <c r="Q2900" s="8">
        <f t="shared" si="228"/>
        <v>93</v>
      </c>
      <c r="R2900" s="2" t="s">
        <v>28</v>
      </c>
      <c r="S2900" s="24">
        <f t="shared" si="229"/>
        <v>0.02</v>
      </c>
    </row>
    <row r="2901" spans="1:19" x14ac:dyDescent="0.25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>VLOOKUP(F2901,'Customer Info'!$A:$B,2,0)</f>
        <v>Randy</v>
      </c>
      <c r="H2901" s="6" t="str">
        <f>VLOOKUP(F2901,'Customer Info'!$A$1:$C$501,3,0)</f>
        <v>Ferguson</v>
      </c>
      <c r="I2901" s="6" t="str">
        <f>VLOOKUP(F2901,Customer,5,0)</f>
        <v>Adelaide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184</v>
      </c>
      <c r="O2901" s="2">
        <v>10</v>
      </c>
      <c r="P2901" s="8">
        <f t="shared" si="227"/>
        <v>194</v>
      </c>
      <c r="Q2901" s="8">
        <f t="shared" si="228"/>
        <v>14</v>
      </c>
      <c r="R2901" s="2" t="s">
        <v>26</v>
      </c>
      <c r="S2901" s="24">
        <f t="shared" si="229"/>
        <v>0.02</v>
      </c>
    </row>
    <row r="2902" spans="1:19" x14ac:dyDescent="0.25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>VLOOKUP(F2902,'Customer Info'!$A:$B,2,0)</f>
        <v>Thomas</v>
      </c>
      <c r="H2902" s="6" t="str">
        <f>VLOOKUP(F2902,'Customer Info'!$A$1:$C$501,3,0)</f>
        <v>Boland</v>
      </c>
      <c r="I2902" s="6" t="str">
        <f>VLOOKUP(F2902,Customer,5,0)</f>
        <v>Surabaya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582</v>
      </c>
      <c r="O2902" s="2">
        <v>30</v>
      </c>
      <c r="P2902" s="8">
        <f t="shared" si="227"/>
        <v>612</v>
      </c>
      <c r="Q2902" s="8">
        <f t="shared" si="228"/>
        <v>54</v>
      </c>
      <c r="R2902" s="2" t="s">
        <v>28</v>
      </c>
      <c r="S2902" s="24">
        <f t="shared" si="229"/>
        <v>0.02</v>
      </c>
    </row>
    <row r="2903" spans="1:19" x14ac:dyDescent="0.25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>VLOOKUP(F2903,'Customer Info'!$A:$B,2,0)</f>
        <v>Brendan</v>
      </c>
      <c r="H2903" s="6" t="str">
        <f>VLOOKUP(F2903,'Customer Info'!$A$1:$C$501,3,0)</f>
        <v>Murry</v>
      </c>
      <c r="I2903" s="6" t="str">
        <f>VLOOKUP(F2903,Customer,5,0)</f>
        <v>Brahmapur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9864</v>
      </c>
      <c r="O2903" s="2">
        <v>26</v>
      </c>
      <c r="P2903" s="8">
        <f t="shared" si="227"/>
        <v>9890</v>
      </c>
      <c r="Q2903" s="8">
        <f t="shared" si="228"/>
        <v>741</v>
      </c>
      <c r="R2903" s="2" t="s">
        <v>28</v>
      </c>
      <c r="S2903" s="24">
        <f t="shared" si="229"/>
        <v>0.05</v>
      </c>
    </row>
    <row r="2904" spans="1:19" x14ac:dyDescent="0.25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>VLOOKUP(F2904,'Customer Info'!$A:$B,2,0)</f>
        <v>Georgia</v>
      </c>
      <c r="H2904" s="6" t="str">
        <f>VLOOKUP(F2904,'Customer Info'!$A$1:$C$501,3,0)</f>
        <v>Rosenberg</v>
      </c>
      <c r="I2904" s="6" t="str">
        <f>VLOOKUP(F2904,Customer,5,0)</f>
        <v>Srinagar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6337</v>
      </c>
      <c r="O2904" s="2">
        <v>35</v>
      </c>
      <c r="P2904" s="8">
        <f t="shared" si="227"/>
        <v>6372</v>
      </c>
      <c r="Q2904" s="8">
        <f t="shared" si="228"/>
        <v>122</v>
      </c>
      <c r="R2904" s="2" t="s">
        <v>26</v>
      </c>
      <c r="S2904" s="24">
        <f t="shared" si="229"/>
        <v>0.05</v>
      </c>
    </row>
    <row r="2905" spans="1:19" x14ac:dyDescent="0.25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>VLOOKUP(F2905,'Customer Info'!$A:$B,2,0)</f>
        <v>Thomas</v>
      </c>
      <c r="H2905" s="6" t="str">
        <f>VLOOKUP(F2905,'Customer Info'!$A$1:$C$501,3,0)</f>
        <v>Boland</v>
      </c>
      <c r="I2905" s="6" t="str">
        <f>VLOOKUP(F2905,Customer,5,0)</f>
        <v>Newcastle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830</v>
      </c>
      <c r="O2905" s="2">
        <v>30</v>
      </c>
      <c r="P2905" s="8">
        <f t="shared" si="227"/>
        <v>860</v>
      </c>
      <c r="Q2905" s="8">
        <f t="shared" si="228"/>
        <v>45</v>
      </c>
      <c r="R2905" s="2" t="s">
        <v>28</v>
      </c>
      <c r="S2905" s="24">
        <f t="shared" si="229"/>
        <v>0.02</v>
      </c>
    </row>
    <row r="2906" spans="1:19" x14ac:dyDescent="0.25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>VLOOKUP(F2906,'Customer Info'!$A:$B,2,0)</f>
        <v>Steve</v>
      </c>
      <c r="H2906" s="6" t="str">
        <f>VLOOKUP(F2906,'Customer Info'!$A$1:$C$501,3,0)</f>
        <v>Carroll</v>
      </c>
      <c r="I2906" s="6" t="str">
        <f>VLOOKUP(F2906,Customer,5,0)</f>
        <v>Qingdao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43890</v>
      </c>
      <c r="O2906" s="2">
        <v>57</v>
      </c>
      <c r="P2906" s="8">
        <f t="shared" si="227"/>
        <v>43947</v>
      </c>
      <c r="Q2906" s="8">
        <f t="shared" si="228"/>
        <v>2088</v>
      </c>
      <c r="R2906" s="2" t="s">
        <v>28</v>
      </c>
      <c r="S2906" s="24">
        <f t="shared" si="229"/>
        <v>7.0000000000000007E-2</v>
      </c>
    </row>
    <row r="2907" spans="1:19" x14ac:dyDescent="0.25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>VLOOKUP(F2907,'Customer Info'!$A:$B,2,0)</f>
        <v>Sara</v>
      </c>
      <c r="H2907" s="6" t="str">
        <f>VLOOKUP(F2907,'Customer Info'!$A$1:$C$501,3,0)</f>
        <v>Luxemburg</v>
      </c>
      <c r="I2907" s="6" t="str">
        <f>VLOOKUP(F2907,Customer,5,0)</f>
        <v>Luoyang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2642</v>
      </c>
      <c r="O2907" s="2">
        <v>65</v>
      </c>
      <c r="P2907" s="8">
        <f t="shared" si="227"/>
        <v>2707</v>
      </c>
      <c r="Q2907" s="8">
        <f t="shared" si="228"/>
        <v>220</v>
      </c>
      <c r="R2907" s="2" t="s">
        <v>28</v>
      </c>
      <c r="S2907" s="24">
        <f t="shared" si="229"/>
        <v>0.02</v>
      </c>
    </row>
    <row r="2908" spans="1:19" x14ac:dyDescent="0.25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>VLOOKUP(F2908,'Customer Info'!$A:$B,2,0)</f>
        <v>Candace</v>
      </c>
      <c r="H2908" s="6" t="str">
        <f>VLOOKUP(F2908,'Customer Info'!$A$1:$C$501,3,0)</f>
        <v>McMahon</v>
      </c>
      <c r="I2908" s="6" t="str">
        <f>VLOOKUP(F2908,Customer,5,0)</f>
        <v>Canberra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15606</v>
      </c>
      <c r="O2908" s="2">
        <v>26</v>
      </c>
      <c r="P2908" s="8">
        <f t="shared" si="227"/>
        <v>15632</v>
      </c>
      <c r="Q2908" s="8">
        <f t="shared" si="228"/>
        <v>288</v>
      </c>
      <c r="R2908" s="2" t="s">
        <v>28</v>
      </c>
      <c r="S2908" s="24">
        <f t="shared" si="229"/>
        <v>0.05</v>
      </c>
    </row>
    <row r="2909" spans="1:19" x14ac:dyDescent="0.25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>VLOOKUP(F2909,'Customer Info'!$A:$B,2,0)</f>
        <v>Brad</v>
      </c>
      <c r="H2909" s="6" t="str">
        <f>VLOOKUP(F2909,'Customer Info'!$A$1:$C$501,3,0)</f>
        <v>Thomas</v>
      </c>
      <c r="I2909" s="6" t="str">
        <f>VLOOKUP(F2909,Customer,5,0)</f>
        <v>Bochum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4866</v>
      </c>
      <c r="O2909" s="2">
        <v>44</v>
      </c>
      <c r="P2909" s="8">
        <f t="shared" si="227"/>
        <v>4910</v>
      </c>
      <c r="Q2909" s="8">
        <f t="shared" si="228"/>
        <v>186</v>
      </c>
      <c r="R2909" s="2" t="s">
        <v>56</v>
      </c>
      <c r="S2909" s="24">
        <f t="shared" si="229"/>
        <v>0.02</v>
      </c>
    </row>
    <row r="2910" spans="1:19" x14ac:dyDescent="0.25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>VLOOKUP(F2910,'Customer Info'!$A:$B,2,0)</f>
        <v>Anthony</v>
      </c>
      <c r="H2910" s="6" t="str">
        <f>VLOOKUP(F2910,'Customer Info'!$A$1:$C$501,3,0)</f>
        <v>O'Donnell</v>
      </c>
      <c r="I2910" s="6" t="str">
        <f>VLOOKUP(F2910,Customer,5,0)</f>
        <v>Perth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11496</v>
      </c>
      <c r="O2910" s="2">
        <v>64</v>
      </c>
      <c r="P2910" s="8">
        <f t="shared" si="227"/>
        <v>11560</v>
      </c>
      <c r="Q2910" s="8">
        <f t="shared" si="228"/>
        <v>432</v>
      </c>
      <c r="R2910" s="2" t="s">
        <v>50</v>
      </c>
      <c r="S2910" s="24">
        <f t="shared" si="229"/>
        <v>0.05</v>
      </c>
    </row>
    <row r="2911" spans="1:19" x14ac:dyDescent="0.25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>VLOOKUP(F2911,'Customer Info'!$A:$B,2,0)</f>
        <v>Resi</v>
      </c>
      <c r="H2911" s="6" t="str">
        <f>VLOOKUP(F2911,'Customer Info'!$A$1:$C$501,3,0)</f>
        <v>Pšlking</v>
      </c>
      <c r="I2911" s="6" t="str">
        <f>VLOOKUP(F2911,Customer,5,0)</f>
        <v>Gelsenkirchen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664</v>
      </c>
      <c r="O2911" s="2">
        <v>93</v>
      </c>
      <c r="P2911" s="8">
        <f t="shared" si="227"/>
        <v>757</v>
      </c>
      <c r="Q2911" s="8">
        <f t="shared" si="228"/>
        <v>88</v>
      </c>
      <c r="R2911" s="2" t="s">
        <v>50</v>
      </c>
      <c r="S2911" s="24">
        <f t="shared" si="229"/>
        <v>0.02</v>
      </c>
    </row>
    <row r="2912" spans="1:19" x14ac:dyDescent="0.25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>VLOOKUP(F2912,'Customer Info'!$A:$B,2,0)</f>
        <v>Stuart</v>
      </c>
      <c r="H2912" s="6" t="str">
        <f>VLOOKUP(F2912,'Customer Info'!$A$1:$C$501,3,0)</f>
        <v>Calhoun</v>
      </c>
      <c r="I2912" s="6" t="str">
        <f>VLOOKUP(F2912,Customer,5,0)</f>
        <v>Nowra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11764</v>
      </c>
      <c r="O2912" s="2">
        <v>45</v>
      </c>
      <c r="P2912" s="8">
        <f t="shared" si="227"/>
        <v>11809</v>
      </c>
      <c r="Q2912" s="8">
        <f t="shared" si="228"/>
        <v>338</v>
      </c>
      <c r="R2912" s="2" t="s">
        <v>26</v>
      </c>
      <c r="S2912" s="24">
        <f t="shared" si="229"/>
        <v>0.05</v>
      </c>
    </row>
    <row r="2913" spans="1:19" x14ac:dyDescent="0.25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>VLOOKUP(F2913,'Customer Info'!$A:$B,2,0)</f>
        <v>Kean</v>
      </c>
      <c r="H2913" s="6" t="str">
        <f>VLOOKUP(F2913,'Customer Info'!$A$1:$C$501,3,0)</f>
        <v>Thornton</v>
      </c>
      <c r="I2913" s="6" t="str">
        <f>VLOOKUP(F2913,Customer,5,0)</f>
        <v>Brisbane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17682</v>
      </c>
      <c r="O2913" s="2">
        <v>89</v>
      </c>
      <c r="P2913" s="8">
        <f t="shared" si="227"/>
        <v>17771</v>
      </c>
      <c r="Q2913" s="8">
        <f t="shared" si="228"/>
        <v>819</v>
      </c>
      <c r="R2913" s="2" t="s">
        <v>50</v>
      </c>
      <c r="S2913" s="24">
        <f t="shared" si="229"/>
        <v>0.05</v>
      </c>
    </row>
    <row r="2914" spans="1:19" x14ac:dyDescent="0.25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>VLOOKUP(F2914,'Customer Info'!$A:$B,2,0)</f>
        <v>Ralph</v>
      </c>
      <c r="H2914" s="6" t="str">
        <f>VLOOKUP(F2914,'Customer Info'!$A$1:$C$501,3,0)</f>
        <v>Arnett</v>
      </c>
      <c r="I2914" s="6" t="str">
        <f>VLOOKUP(F2914,Customer,5,0)</f>
        <v>Suzhou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1528</v>
      </c>
      <c r="O2914" s="2">
        <v>42</v>
      </c>
      <c r="P2914" s="8">
        <f t="shared" si="227"/>
        <v>1570</v>
      </c>
      <c r="Q2914" s="8">
        <f t="shared" si="228"/>
        <v>180</v>
      </c>
      <c r="R2914" s="2" t="s">
        <v>28</v>
      </c>
      <c r="S2914" s="24">
        <f t="shared" si="229"/>
        <v>0.02</v>
      </c>
    </row>
    <row r="2915" spans="1:19" x14ac:dyDescent="0.25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>VLOOKUP(F2915,'Customer Info'!$A:$B,2,0)</f>
        <v>Brian</v>
      </c>
      <c r="H2915" s="6" t="str">
        <f>VLOOKUP(F2915,'Customer Info'!$A$1:$C$501,3,0)</f>
        <v>Dahlen</v>
      </c>
      <c r="I2915" s="6" t="str">
        <f>VLOOKUP(F2915,Customer,5,0)</f>
        <v>Shantou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28544</v>
      </c>
      <c r="O2915" s="2">
        <v>41</v>
      </c>
      <c r="P2915" s="8">
        <f t="shared" si="227"/>
        <v>28585</v>
      </c>
      <c r="Q2915" s="8">
        <f t="shared" si="228"/>
        <v>1840</v>
      </c>
      <c r="R2915" s="2" t="s">
        <v>50</v>
      </c>
      <c r="S2915" s="24">
        <f t="shared" si="229"/>
        <v>7.0000000000000007E-2</v>
      </c>
    </row>
    <row r="2916" spans="1:19" x14ac:dyDescent="0.25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>VLOOKUP(F2916,'Customer Info'!$A:$B,2,0)</f>
        <v>Darren</v>
      </c>
      <c r="H2916" s="6" t="str">
        <f>VLOOKUP(F2916,'Customer Info'!$A$1:$C$501,3,0)</f>
        <v>Budd</v>
      </c>
      <c r="I2916" s="6" t="str">
        <f>VLOOKUP(F2916,Customer,5,0)</f>
        <v>Jakarta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531</v>
      </c>
      <c r="O2916" s="2">
        <v>30</v>
      </c>
      <c r="P2916" s="8">
        <f t="shared" si="227"/>
        <v>561</v>
      </c>
      <c r="Q2916" s="8">
        <f t="shared" si="228"/>
        <v>24</v>
      </c>
      <c r="R2916" s="2" t="s">
        <v>56</v>
      </c>
      <c r="S2916" s="24">
        <f t="shared" si="229"/>
        <v>0.02</v>
      </c>
    </row>
    <row r="2917" spans="1:19" x14ac:dyDescent="0.25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>VLOOKUP(F2917,'Customer Info'!$A:$B,2,0)</f>
        <v>Harold</v>
      </c>
      <c r="H2917" s="6" t="str">
        <f>VLOOKUP(F2917,'Customer Info'!$A$1:$C$501,3,0)</f>
        <v>Dahlen</v>
      </c>
      <c r="I2917" s="6" t="str">
        <f>VLOOKUP(F2917,Customer,5,0)</f>
        <v>Melbourne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4068</v>
      </c>
      <c r="O2917" s="2">
        <v>52</v>
      </c>
      <c r="P2917" s="8">
        <f t="shared" si="227"/>
        <v>4120</v>
      </c>
      <c r="Q2917" s="8">
        <f t="shared" si="228"/>
        <v>268</v>
      </c>
      <c r="R2917" s="2" t="s">
        <v>28</v>
      </c>
      <c r="S2917" s="24">
        <f t="shared" si="229"/>
        <v>0.02</v>
      </c>
    </row>
    <row r="2918" spans="1:19" x14ac:dyDescent="0.25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>VLOOKUP(F2918,'Customer Info'!$A:$B,2,0)</f>
        <v>Jack</v>
      </c>
      <c r="H2918" s="6" t="str">
        <f>VLOOKUP(F2918,'Customer Info'!$A$1:$C$501,3,0)</f>
        <v>Garza</v>
      </c>
      <c r="I2918" s="6" t="str">
        <f>VLOOKUP(F2918,Customer,5,0)</f>
        <v>Oldenburg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9414</v>
      </c>
      <c r="O2918" s="2">
        <v>43</v>
      </c>
      <c r="P2918" s="8">
        <f t="shared" si="227"/>
        <v>9457</v>
      </c>
      <c r="Q2918" s="8">
        <f t="shared" si="228"/>
        <v>618</v>
      </c>
      <c r="R2918" s="2" t="s">
        <v>28</v>
      </c>
      <c r="S2918" s="24">
        <f t="shared" si="229"/>
        <v>0.05</v>
      </c>
    </row>
    <row r="2919" spans="1:19" x14ac:dyDescent="0.25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>VLOOKUP(F2919,'Customer Info'!$A:$B,2,0)</f>
        <v>Giulietta</v>
      </c>
      <c r="H2919" s="6" t="str">
        <f>VLOOKUP(F2919,'Customer Info'!$A$1:$C$501,3,0)</f>
        <v>Weimer</v>
      </c>
      <c r="I2919" s="6" t="str">
        <f>VLOOKUP(F2919,Customer,5,0)</f>
        <v>Suihua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13731</v>
      </c>
      <c r="O2919" s="2">
        <v>91</v>
      </c>
      <c r="P2919" s="8">
        <f t="shared" si="227"/>
        <v>13822</v>
      </c>
      <c r="Q2919" s="8">
        <f t="shared" si="228"/>
        <v>891</v>
      </c>
      <c r="R2919" s="2" t="s">
        <v>50</v>
      </c>
      <c r="S2919" s="24">
        <f t="shared" si="229"/>
        <v>0.05</v>
      </c>
    </row>
    <row r="2920" spans="1:19" x14ac:dyDescent="0.25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>VLOOKUP(F2920,'Customer Info'!$A:$B,2,0)</f>
        <v>Tim</v>
      </c>
      <c r="H2920" s="6" t="str">
        <f>VLOOKUP(F2920,'Customer Info'!$A$1:$C$501,3,0)</f>
        <v>Brockman</v>
      </c>
      <c r="I2920" s="6" t="str">
        <f>VLOOKUP(F2920,Customer,5,0)</f>
        <v>Toowoomba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468</v>
      </c>
      <c r="O2920" s="2">
        <v>10</v>
      </c>
      <c r="P2920" s="8">
        <f t="shared" si="227"/>
        <v>478</v>
      </c>
      <c r="Q2920" s="8">
        <f t="shared" si="228"/>
        <v>24</v>
      </c>
      <c r="R2920" s="2" t="s">
        <v>28</v>
      </c>
      <c r="S2920" s="24">
        <f t="shared" si="229"/>
        <v>0.02</v>
      </c>
    </row>
    <row r="2921" spans="1:19" x14ac:dyDescent="0.25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>VLOOKUP(F2921,'Customer Info'!$A:$B,2,0)</f>
        <v>Laurel</v>
      </c>
      <c r="H2921" s="6" t="str">
        <f>VLOOKUP(F2921,'Customer Info'!$A$1:$C$501,3,0)</f>
        <v>Elliston</v>
      </c>
      <c r="I2921" s="6" t="str">
        <f>VLOOKUP(F2921,Customer,5,0)</f>
        <v>Tasikmalaya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8068</v>
      </c>
      <c r="O2921" s="2">
        <v>71</v>
      </c>
      <c r="P2921" s="8">
        <f t="shared" si="227"/>
        <v>8139</v>
      </c>
      <c r="Q2921" s="8">
        <f t="shared" si="228"/>
        <v>732</v>
      </c>
      <c r="R2921" s="2" t="s">
        <v>28</v>
      </c>
      <c r="S2921" s="24">
        <f t="shared" si="229"/>
        <v>0.05</v>
      </c>
    </row>
    <row r="2922" spans="1:19" x14ac:dyDescent="0.25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>VLOOKUP(F2922,'Customer Info'!$A:$B,2,0)</f>
        <v>Ralph</v>
      </c>
      <c r="H2922" s="6" t="str">
        <f>VLOOKUP(F2922,'Customer Info'!$A$1:$C$501,3,0)</f>
        <v>Kennedy</v>
      </c>
      <c r="I2922" s="6" t="str">
        <f>VLOOKUP(F2922,Customer,5,0)</f>
        <v>Bundaberg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1316</v>
      </c>
      <c r="O2922" s="2">
        <v>53</v>
      </c>
      <c r="P2922" s="8">
        <f t="shared" si="227"/>
        <v>1369</v>
      </c>
      <c r="Q2922" s="8">
        <f t="shared" si="228"/>
        <v>86</v>
      </c>
      <c r="R2922" s="2" t="s">
        <v>28</v>
      </c>
      <c r="S2922" s="24">
        <f t="shared" si="229"/>
        <v>0.02</v>
      </c>
    </row>
    <row r="2923" spans="1:19" x14ac:dyDescent="0.25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>VLOOKUP(F2923,'Customer Info'!$A:$B,2,0)</f>
        <v>Cassandra</v>
      </c>
      <c r="H2923" s="6" t="str">
        <f>VLOOKUP(F2923,'Customer Info'!$A$1:$C$501,3,0)</f>
        <v>Brandow</v>
      </c>
      <c r="I2923" s="6" t="str">
        <f>VLOOKUP(F2923,Customer,5,0)</f>
        <v>Hamburg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5424</v>
      </c>
      <c r="O2923" s="2">
        <v>41</v>
      </c>
      <c r="P2923" s="8">
        <f t="shared" si="227"/>
        <v>5465</v>
      </c>
      <c r="Q2923" s="8">
        <f t="shared" si="228"/>
        <v>204</v>
      </c>
      <c r="R2923" s="2" t="s">
        <v>28</v>
      </c>
      <c r="S2923" s="24">
        <f t="shared" si="229"/>
        <v>0.05</v>
      </c>
    </row>
    <row r="2924" spans="1:19" x14ac:dyDescent="0.25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>VLOOKUP(F2924,'Customer Info'!$A:$B,2,0)</f>
        <v>Logan</v>
      </c>
      <c r="H2924" s="6" t="str">
        <f>VLOOKUP(F2924,'Customer Info'!$A$1:$C$501,3,0)</f>
        <v>Haushalter</v>
      </c>
      <c r="I2924" s="6" t="str">
        <f>VLOOKUP(F2924,Customer,5,0)</f>
        <v>Canberra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4832</v>
      </c>
      <c r="O2924" s="2">
        <v>51</v>
      </c>
      <c r="P2924" s="8">
        <f t="shared" si="227"/>
        <v>4883</v>
      </c>
      <c r="Q2924" s="8">
        <f t="shared" si="228"/>
        <v>269</v>
      </c>
      <c r="R2924" s="2" t="s">
        <v>26</v>
      </c>
      <c r="S2924" s="24">
        <f t="shared" si="229"/>
        <v>0.02</v>
      </c>
    </row>
    <row r="2925" spans="1:19" x14ac:dyDescent="0.25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>VLOOKUP(F2925,'Customer Info'!$A:$B,2,0)</f>
        <v>Jennifer</v>
      </c>
      <c r="H2925" s="6" t="str">
        <f>VLOOKUP(F2925,'Customer Info'!$A$1:$C$501,3,0)</f>
        <v>Halladay</v>
      </c>
      <c r="I2925" s="6" t="str">
        <f>VLOOKUP(F2925,Customer,5,0)</f>
        <v>Bielefeld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15920</v>
      </c>
      <c r="O2925" s="2">
        <v>21</v>
      </c>
      <c r="P2925" s="8">
        <f t="shared" si="227"/>
        <v>15941</v>
      </c>
      <c r="Q2925" s="8">
        <f t="shared" si="228"/>
        <v>1170</v>
      </c>
      <c r="R2925" s="2" t="s">
        <v>50</v>
      </c>
      <c r="S2925" s="24">
        <f t="shared" si="229"/>
        <v>0.05</v>
      </c>
    </row>
    <row r="2926" spans="1:19" x14ac:dyDescent="0.25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>VLOOKUP(F2926,'Customer Info'!$A:$B,2,0)</f>
        <v>Liz</v>
      </c>
      <c r="H2926" s="6" t="str">
        <f>VLOOKUP(F2926,'Customer Info'!$A$1:$C$501,3,0)</f>
        <v>Carlisle</v>
      </c>
      <c r="I2926" s="6" t="str">
        <f>VLOOKUP(F2926,Customer,5,0)</f>
        <v>Luoyang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3340</v>
      </c>
      <c r="O2926" s="2">
        <v>56</v>
      </c>
      <c r="P2926" s="8">
        <f t="shared" si="227"/>
        <v>3396</v>
      </c>
      <c r="Q2926" s="8">
        <f t="shared" si="228"/>
        <v>156</v>
      </c>
      <c r="R2926" s="2" t="s">
        <v>50</v>
      </c>
      <c r="S2926" s="24">
        <f t="shared" si="229"/>
        <v>0.02</v>
      </c>
    </row>
    <row r="2927" spans="1:19" x14ac:dyDescent="0.25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>VLOOKUP(F2927,'Customer Info'!$A:$B,2,0)</f>
        <v>John</v>
      </c>
      <c r="H2927" s="6" t="str">
        <f>VLOOKUP(F2927,'Customer Info'!$A$1:$C$501,3,0)</f>
        <v>Lucas</v>
      </c>
      <c r="I2927" s="6" t="str">
        <f>VLOOKUP(F2927,Customer,5,0)</f>
        <v>Beijing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11764</v>
      </c>
      <c r="O2927" s="2">
        <v>49</v>
      </c>
      <c r="P2927" s="8">
        <f t="shared" si="227"/>
        <v>11813</v>
      </c>
      <c r="Q2927" s="8">
        <f t="shared" si="228"/>
        <v>338</v>
      </c>
      <c r="R2927" s="2" t="s">
        <v>28</v>
      </c>
      <c r="S2927" s="24">
        <f t="shared" si="229"/>
        <v>0.05</v>
      </c>
    </row>
    <row r="2928" spans="1:19" x14ac:dyDescent="0.25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>VLOOKUP(F2928,'Customer Info'!$A:$B,2,0)</f>
        <v>Tamara</v>
      </c>
      <c r="H2928" s="6" t="str">
        <f>VLOOKUP(F2928,'Customer Info'!$A$1:$C$501,3,0)</f>
        <v>Willingham</v>
      </c>
      <c r="I2928" s="6" t="str">
        <f>VLOOKUP(F2928,Customer,5,0)</f>
        <v>Sindelfingen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342</v>
      </c>
      <c r="O2928" s="2">
        <v>30</v>
      </c>
      <c r="P2928" s="8">
        <f t="shared" si="227"/>
        <v>372</v>
      </c>
      <c r="Q2928" s="8">
        <f t="shared" si="228"/>
        <v>36</v>
      </c>
      <c r="R2928" s="2" t="s">
        <v>50</v>
      </c>
      <c r="S2928" s="24">
        <f t="shared" si="229"/>
        <v>0.02</v>
      </c>
    </row>
    <row r="2929" spans="1:19" x14ac:dyDescent="0.25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>VLOOKUP(F2929,'Customer Info'!$A:$B,2,0)</f>
        <v>Ralph</v>
      </c>
      <c r="H2929" s="6" t="str">
        <f>VLOOKUP(F2929,'Customer Info'!$A$1:$C$501,3,0)</f>
        <v>Arnett</v>
      </c>
      <c r="I2929" s="6" t="str">
        <f>VLOOKUP(F2929,Customer,5,0)</f>
        <v>Suzhou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3104</v>
      </c>
      <c r="O2929" s="2">
        <v>91</v>
      </c>
      <c r="P2929" s="8">
        <f t="shared" si="227"/>
        <v>3195</v>
      </c>
      <c r="Q2929" s="8">
        <f t="shared" si="228"/>
        <v>172</v>
      </c>
      <c r="R2929" s="2" t="s">
        <v>50</v>
      </c>
      <c r="S2929" s="24">
        <f t="shared" si="229"/>
        <v>0.02</v>
      </c>
    </row>
    <row r="2930" spans="1:19" x14ac:dyDescent="0.25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>VLOOKUP(F2930,'Customer Info'!$A:$B,2,0)</f>
        <v>Jack</v>
      </c>
      <c r="H2930" s="6" t="str">
        <f>VLOOKUP(F2930,'Customer Info'!$A$1:$C$501,3,0)</f>
        <v>Lebron</v>
      </c>
      <c r="I2930" s="6" t="str">
        <f>VLOOKUP(F2930,Customer,5,0)</f>
        <v>Erftstadt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2025</v>
      </c>
      <c r="O2930" s="2">
        <v>52</v>
      </c>
      <c r="P2930" s="8">
        <f t="shared" si="227"/>
        <v>2077</v>
      </c>
      <c r="Q2930" s="8">
        <f t="shared" si="228"/>
        <v>120</v>
      </c>
      <c r="R2930" s="2" t="s">
        <v>28</v>
      </c>
      <c r="S2930" s="24">
        <f t="shared" si="229"/>
        <v>0.02</v>
      </c>
    </row>
    <row r="2931" spans="1:19" x14ac:dyDescent="0.25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>VLOOKUP(F2931,'Customer Info'!$A:$B,2,0)</f>
        <v>Brendan</v>
      </c>
      <c r="H2931" s="6" t="str">
        <f>VLOOKUP(F2931,'Customer Info'!$A$1:$C$501,3,0)</f>
        <v>Murry</v>
      </c>
      <c r="I2931" s="6" t="str">
        <f>VLOOKUP(F2931,Customer,5,0)</f>
        <v>Schwerin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549</v>
      </c>
      <c r="O2931" s="2">
        <v>30</v>
      </c>
      <c r="P2931" s="8">
        <f t="shared" si="227"/>
        <v>579</v>
      </c>
      <c r="Q2931" s="8">
        <f t="shared" si="228"/>
        <v>33</v>
      </c>
      <c r="R2931" s="2" t="s">
        <v>28</v>
      </c>
      <c r="S2931" s="24">
        <f t="shared" si="229"/>
        <v>0.02</v>
      </c>
    </row>
    <row r="2932" spans="1:19" x14ac:dyDescent="0.25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>VLOOKUP(F2932,'Customer Info'!$A:$B,2,0)</f>
        <v>Justin</v>
      </c>
      <c r="H2932" s="6" t="str">
        <f>VLOOKUP(F2932,'Customer Info'!$A$1:$C$501,3,0)</f>
        <v>Deggeller</v>
      </c>
      <c r="I2932" s="6" t="str">
        <f>VLOOKUP(F2932,Customer,5,0)</f>
        <v>Gawler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3876</v>
      </c>
      <c r="O2932" s="2">
        <v>63</v>
      </c>
      <c r="P2932" s="8">
        <f t="shared" si="227"/>
        <v>3939</v>
      </c>
      <c r="Q2932" s="8">
        <f t="shared" si="228"/>
        <v>321</v>
      </c>
      <c r="R2932" s="2" t="s">
        <v>50</v>
      </c>
      <c r="S2932" s="24">
        <f t="shared" si="229"/>
        <v>0.02</v>
      </c>
    </row>
    <row r="2933" spans="1:19" x14ac:dyDescent="0.25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>VLOOKUP(F2933,'Customer Info'!$A:$B,2,0)</f>
        <v>Annie</v>
      </c>
      <c r="H2933" s="6" t="str">
        <f>VLOOKUP(F2933,'Customer Info'!$A$1:$C$501,3,0)</f>
        <v>Zypern</v>
      </c>
      <c r="I2933" s="6" t="str">
        <f>VLOOKUP(F2933,Customer,5,0)</f>
        <v>Brisbane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26214</v>
      </c>
      <c r="O2933" s="2">
        <v>29</v>
      </c>
      <c r="P2933" s="8">
        <f t="shared" si="227"/>
        <v>26243</v>
      </c>
      <c r="Q2933" s="8">
        <f t="shared" si="228"/>
        <v>1728</v>
      </c>
      <c r="R2933" s="2" t="s">
        <v>28</v>
      </c>
      <c r="S2933" s="24">
        <f t="shared" si="229"/>
        <v>7.0000000000000007E-2</v>
      </c>
    </row>
    <row r="2934" spans="1:19" x14ac:dyDescent="0.25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>VLOOKUP(F2934,'Customer Info'!$A:$B,2,0)</f>
        <v>Kelly</v>
      </c>
      <c r="H2934" s="6" t="str">
        <f>VLOOKUP(F2934,'Customer Info'!$A$1:$C$501,3,0)</f>
        <v>Collister</v>
      </c>
      <c r="I2934" s="6" t="str">
        <f>VLOOKUP(F2934,Customer,5,0)</f>
        <v>Tangshan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13608</v>
      </c>
      <c r="O2934" s="2">
        <v>63</v>
      </c>
      <c r="P2934" s="8">
        <f t="shared" si="227"/>
        <v>13671</v>
      </c>
      <c r="Q2934" s="8">
        <f t="shared" si="228"/>
        <v>135</v>
      </c>
      <c r="R2934" s="2" t="s">
        <v>56</v>
      </c>
      <c r="S2934" s="24">
        <f t="shared" si="229"/>
        <v>0.05</v>
      </c>
    </row>
    <row r="2935" spans="1:19" x14ac:dyDescent="0.25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>VLOOKUP(F2935,'Customer Info'!$A:$B,2,0)</f>
        <v>John</v>
      </c>
      <c r="H2935" s="6" t="str">
        <f>VLOOKUP(F2935,'Customer Info'!$A$1:$C$501,3,0)</f>
        <v>Grady</v>
      </c>
      <c r="I2935" s="6" t="str">
        <f>VLOOKUP(F2935,Customer,5,0)</f>
        <v>Queanbeyan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1358</v>
      </c>
      <c r="O2935" s="2">
        <v>67</v>
      </c>
      <c r="P2935" s="8">
        <f t="shared" si="227"/>
        <v>1425</v>
      </c>
      <c r="Q2935" s="8">
        <f t="shared" si="228"/>
        <v>50</v>
      </c>
      <c r="R2935" s="2" t="s">
        <v>28</v>
      </c>
      <c r="S2935" s="24">
        <f t="shared" si="229"/>
        <v>0.02</v>
      </c>
    </row>
    <row r="2936" spans="1:19" x14ac:dyDescent="0.25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>VLOOKUP(F2936,'Customer Info'!$A:$B,2,0)</f>
        <v>Andy</v>
      </c>
      <c r="H2936" s="6" t="str">
        <f>VLOOKUP(F2936,'Customer Info'!$A$1:$C$501,3,0)</f>
        <v>Yotov</v>
      </c>
      <c r="I2936" s="6" t="str">
        <f>VLOOKUP(F2936,Customer,5,0)</f>
        <v>Samarinda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26058</v>
      </c>
      <c r="O2936" s="2">
        <v>40</v>
      </c>
      <c r="P2936" s="8">
        <f t="shared" si="227"/>
        <v>26098</v>
      </c>
      <c r="Q2936" s="8">
        <f t="shared" si="228"/>
        <v>1953</v>
      </c>
      <c r="R2936" s="2" t="s">
        <v>56</v>
      </c>
      <c r="S2936" s="24">
        <f t="shared" si="229"/>
        <v>7.0000000000000007E-2</v>
      </c>
    </row>
    <row r="2937" spans="1:19" x14ac:dyDescent="0.25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>VLOOKUP(F2937,'Customer Info'!$A:$B,2,0)</f>
        <v>Yana</v>
      </c>
      <c r="H2937" s="6" t="str">
        <f>VLOOKUP(F2937,'Customer Info'!$A$1:$C$501,3,0)</f>
        <v>Sorensen</v>
      </c>
      <c r="I2937" s="6" t="str">
        <f>VLOOKUP(F2937,Customer,5,0)</f>
        <v>Bottrop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9170</v>
      </c>
      <c r="O2937" s="2">
        <v>55</v>
      </c>
      <c r="P2937" s="8">
        <f t="shared" si="227"/>
        <v>9225</v>
      </c>
      <c r="Q2937" s="8">
        <f t="shared" si="228"/>
        <v>590</v>
      </c>
      <c r="R2937" s="2" t="s">
        <v>28</v>
      </c>
      <c r="S2937" s="24">
        <f t="shared" si="229"/>
        <v>0.05</v>
      </c>
    </row>
    <row r="2938" spans="1:19" x14ac:dyDescent="0.25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>VLOOKUP(F2938,'Customer Info'!$A:$B,2,0)</f>
        <v>Steven</v>
      </c>
      <c r="H2938" s="6" t="str">
        <f>VLOOKUP(F2938,'Customer Info'!$A$1:$C$501,3,0)</f>
        <v>Roelle</v>
      </c>
      <c r="I2938" s="6" t="str">
        <f>VLOOKUP(F2938,Customer,5,0)</f>
        <v>Bonn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24066</v>
      </c>
      <c r="O2938" s="2">
        <v>59</v>
      </c>
      <c r="P2938" s="8">
        <f t="shared" si="227"/>
        <v>24125</v>
      </c>
      <c r="Q2938" s="8">
        <f t="shared" si="228"/>
        <v>462</v>
      </c>
      <c r="R2938" s="2" t="s">
        <v>28</v>
      </c>
      <c r="S2938" s="24">
        <f t="shared" si="229"/>
        <v>0.05</v>
      </c>
    </row>
    <row r="2939" spans="1:19" x14ac:dyDescent="0.25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>VLOOKUP(F2939,'Customer Info'!$A:$B,2,0)</f>
        <v>Benjamin</v>
      </c>
      <c r="H2939" s="6" t="str">
        <f>VLOOKUP(F2939,'Customer Info'!$A$1:$C$501,3,0)</f>
        <v>Patterson</v>
      </c>
      <c r="I2939" s="6" t="str">
        <f>VLOOKUP(F2939,Customer,5,0)</f>
        <v>Tamworth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4584</v>
      </c>
      <c r="O2939" s="2">
        <v>27</v>
      </c>
      <c r="P2939" s="8">
        <f t="shared" si="227"/>
        <v>4611</v>
      </c>
      <c r="Q2939" s="8">
        <f t="shared" si="228"/>
        <v>540</v>
      </c>
      <c r="R2939" s="2" t="s">
        <v>28</v>
      </c>
      <c r="S2939" s="24">
        <f t="shared" si="229"/>
        <v>0.02</v>
      </c>
    </row>
    <row r="2940" spans="1:19" x14ac:dyDescent="0.25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>VLOOKUP(F2940,'Customer Info'!$A:$B,2,0)</f>
        <v>Gary</v>
      </c>
      <c r="H2940" s="6" t="str">
        <f>VLOOKUP(F2940,'Customer Info'!$A$1:$C$501,3,0)</f>
        <v>Zandusky</v>
      </c>
      <c r="I2940" s="6" t="str">
        <f>VLOOKUP(F2940,Customer,5,0)</f>
        <v>Aligarh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13731</v>
      </c>
      <c r="O2940" s="2">
        <v>46</v>
      </c>
      <c r="P2940" s="8">
        <f t="shared" si="227"/>
        <v>13777</v>
      </c>
      <c r="Q2940" s="8">
        <f t="shared" si="228"/>
        <v>876</v>
      </c>
      <c r="R2940" s="2" t="s">
        <v>28</v>
      </c>
      <c r="S2940" s="24">
        <f t="shared" si="229"/>
        <v>0.05</v>
      </c>
    </row>
    <row r="2941" spans="1:19" x14ac:dyDescent="0.25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>VLOOKUP(F2941,'Customer Info'!$A:$B,2,0)</f>
        <v>Ralph</v>
      </c>
      <c r="H2941" s="6" t="str">
        <f>VLOOKUP(F2941,'Customer Info'!$A$1:$C$501,3,0)</f>
        <v>Arnett</v>
      </c>
      <c r="I2941" s="6" t="str">
        <f>VLOOKUP(F2941,Customer,5,0)</f>
        <v>Shenyang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6768</v>
      </c>
      <c r="O2941" s="2">
        <v>40</v>
      </c>
      <c r="P2941" s="8">
        <f t="shared" si="227"/>
        <v>6808</v>
      </c>
      <c r="Q2941" s="8">
        <f t="shared" si="228"/>
        <v>256</v>
      </c>
      <c r="R2941" s="2" t="s">
        <v>26</v>
      </c>
      <c r="S2941" s="24">
        <f t="shared" si="229"/>
        <v>0.05</v>
      </c>
    </row>
    <row r="2942" spans="1:19" x14ac:dyDescent="0.25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>VLOOKUP(F2942,'Customer Info'!$A:$B,2,0)</f>
        <v>Michelle</v>
      </c>
      <c r="H2942" s="6" t="str">
        <f>VLOOKUP(F2942,'Customer Info'!$A$1:$C$501,3,0)</f>
        <v>Arnett</v>
      </c>
      <c r="I2942" s="6" t="str">
        <f>VLOOKUP(F2942,Customer,5,0)</f>
        <v>Palembang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8590</v>
      </c>
      <c r="O2942" s="2">
        <v>81</v>
      </c>
      <c r="P2942" s="8">
        <f t="shared" si="227"/>
        <v>8671</v>
      </c>
      <c r="Q2942" s="8">
        <f t="shared" si="228"/>
        <v>865</v>
      </c>
      <c r="R2942" s="2" t="s">
        <v>28</v>
      </c>
      <c r="S2942" s="24">
        <f t="shared" si="229"/>
        <v>0.05</v>
      </c>
    </row>
    <row r="2943" spans="1:19" x14ac:dyDescent="0.25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>VLOOKUP(F2943,'Customer Info'!$A:$B,2,0)</f>
        <v>Filia</v>
      </c>
      <c r="H2943" s="6" t="str">
        <f>VLOOKUP(F2943,'Customer Info'!$A$1:$C$501,3,0)</f>
        <v>McAdams</v>
      </c>
      <c r="I2943" s="6" t="str">
        <f>VLOOKUP(F2943,Customer,5,0)</f>
        <v>Lucknow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162</v>
      </c>
      <c r="O2943" s="2">
        <v>30</v>
      </c>
      <c r="P2943" s="8">
        <f t="shared" si="227"/>
        <v>192</v>
      </c>
      <c r="Q2943" s="8">
        <f t="shared" si="228"/>
        <v>14</v>
      </c>
      <c r="R2943" s="2" t="s">
        <v>28</v>
      </c>
      <c r="S2943" s="24">
        <f t="shared" si="229"/>
        <v>0.02</v>
      </c>
    </row>
    <row r="2944" spans="1:19" x14ac:dyDescent="0.25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>VLOOKUP(F2944,'Customer Info'!$A:$B,2,0)</f>
        <v>Philisse</v>
      </c>
      <c r="H2944" s="6" t="str">
        <f>VLOOKUP(F2944,'Customer Info'!$A$1:$C$501,3,0)</f>
        <v>Overcash</v>
      </c>
      <c r="I2944" s="6" t="str">
        <f>VLOOKUP(F2944,Customer,5,0)</f>
        <v>Devonport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1601</v>
      </c>
      <c r="O2944" s="2">
        <v>28</v>
      </c>
      <c r="P2944" s="8">
        <f t="shared" si="227"/>
        <v>1629</v>
      </c>
      <c r="Q2944" s="8">
        <f t="shared" si="228"/>
        <v>91</v>
      </c>
      <c r="R2944" s="2" t="s">
        <v>26</v>
      </c>
      <c r="S2944" s="24">
        <f t="shared" si="229"/>
        <v>0.02</v>
      </c>
    </row>
    <row r="2945" spans="1:19" x14ac:dyDescent="0.25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>VLOOKUP(F2945,'Customer Info'!$A:$B,2,0)</f>
        <v>Harold</v>
      </c>
      <c r="H2945" s="6" t="str">
        <f>VLOOKUP(F2945,'Customer Info'!$A$1:$C$501,3,0)</f>
        <v>Dahlen</v>
      </c>
      <c r="I2945" s="6" t="str">
        <f>VLOOKUP(F2945,Customer,5,0)</f>
        <v>Jakarta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16236</v>
      </c>
      <c r="O2945" s="2">
        <v>77</v>
      </c>
      <c r="P2945" s="8">
        <f t="shared" si="227"/>
        <v>16313</v>
      </c>
      <c r="Q2945" s="8">
        <f t="shared" si="228"/>
        <v>918</v>
      </c>
      <c r="R2945" s="2" t="s">
        <v>28</v>
      </c>
      <c r="S2945" s="24">
        <f t="shared" si="229"/>
        <v>0.05</v>
      </c>
    </row>
    <row r="2946" spans="1:19" x14ac:dyDescent="0.25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>VLOOKUP(F2946,'Customer Info'!$A:$B,2,0)</f>
        <v>Emily</v>
      </c>
      <c r="H2946" s="6" t="str">
        <f>VLOOKUP(F2946,'Customer Info'!$A$1:$C$501,3,0)</f>
        <v>Burns</v>
      </c>
      <c r="I2946" s="6" t="str">
        <f>VLOOKUP(F2946,Customer,5,0)</f>
        <v>Nasik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9528</v>
      </c>
      <c r="O2946" s="2">
        <v>37</v>
      </c>
      <c r="P2946" s="8">
        <f t="shared" si="227"/>
        <v>9565</v>
      </c>
      <c r="Q2946" s="8">
        <f t="shared" si="228"/>
        <v>180</v>
      </c>
      <c r="R2946" s="2" t="s">
        <v>50</v>
      </c>
      <c r="S2946" s="24">
        <f t="shared" si="229"/>
        <v>0.05</v>
      </c>
    </row>
    <row r="2947" spans="1:19" x14ac:dyDescent="0.25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>VLOOKUP(F2947,'Customer Info'!$A:$B,2,0)</f>
        <v>Rick</v>
      </c>
      <c r="H2947" s="6" t="str">
        <f>VLOOKUP(F2947,'Customer Info'!$A$1:$C$501,3,0)</f>
        <v>Duston</v>
      </c>
      <c r="I2947" s="6" t="str">
        <f>VLOOKUP(F2947,Customer,5,0)</f>
        <v>Surakarta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9214</v>
      </c>
      <c r="O2947" s="2">
        <v>23</v>
      </c>
      <c r="P2947" s="8">
        <f t="shared" si="227"/>
        <v>9237</v>
      </c>
      <c r="Q2947" s="8">
        <f t="shared" si="228"/>
        <v>919</v>
      </c>
      <c r="R2947" s="2" t="s">
        <v>26</v>
      </c>
      <c r="S2947" s="24">
        <f t="shared" si="229"/>
        <v>0.05</v>
      </c>
    </row>
    <row r="2948" spans="1:19" x14ac:dyDescent="0.25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>VLOOKUP(F2948,'Customer Info'!$A:$B,2,0)</f>
        <v>Sanjit</v>
      </c>
      <c r="H2948" s="6" t="str">
        <f>VLOOKUP(F2948,'Customer Info'!$A$1:$C$501,3,0)</f>
        <v>Chand</v>
      </c>
      <c r="I2948" s="6" t="str">
        <f>VLOOKUP(F2948,Customer,5,0)</f>
        <v>Thiruvananthapuram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1703</v>
      </c>
      <c r="O2948" s="2">
        <v>54</v>
      </c>
      <c r="P2948" s="8">
        <f t="shared" si="227"/>
        <v>1757</v>
      </c>
      <c r="Q2948" s="8">
        <f t="shared" si="228"/>
        <v>64</v>
      </c>
      <c r="R2948" s="2" t="s">
        <v>28</v>
      </c>
      <c r="S2948" s="24">
        <f t="shared" si="229"/>
        <v>0.02</v>
      </c>
    </row>
    <row r="2949" spans="1:19" x14ac:dyDescent="0.25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>VLOOKUP(F2949,'Customer Info'!$A:$B,2,0)</f>
        <v>Shirley</v>
      </c>
      <c r="H2949" s="6" t="str">
        <f>VLOOKUP(F2949,'Customer Info'!$A$1:$C$501,3,0)</f>
        <v>Schmidt</v>
      </c>
      <c r="I2949" s="6" t="str">
        <f>VLOOKUP(F2949,Customer,5,0)</f>
        <v>Bijapur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15844</v>
      </c>
      <c r="O2949" s="2">
        <v>93</v>
      </c>
      <c r="P2949" s="8">
        <f t="shared" si="227"/>
        <v>15937</v>
      </c>
      <c r="Q2949" s="8">
        <f t="shared" si="228"/>
        <v>1188</v>
      </c>
      <c r="R2949" s="2" t="s">
        <v>28</v>
      </c>
      <c r="S2949" s="24">
        <f t="shared" si="229"/>
        <v>0.05</v>
      </c>
    </row>
    <row r="2950" spans="1:19" x14ac:dyDescent="0.25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>VLOOKUP(F2950,'Customer Info'!$A:$B,2,0)</f>
        <v>Tom</v>
      </c>
      <c r="H2950" s="6" t="str">
        <f>VLOOKUP(F2950,'Customer Info'!$A$1:$C$501,3,0)</f>
        <v>Prescott</v>
      </c>
      <c r="I2950" s="6" t="str">
        <f>VLOOKUP(F2950,Customer,5,0)</f>
        <v>Bokaro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120</v>
      </c>
      <c r="O2950" s="2">
        <v>10</v>
      </c>
      <c r="P2950" s="8">
        <f t="shared" si="227"/>
        <v>130</v>
      </c>
      <c r="Q2950" s="8">
        <f t="shared" si="228"/>
        <v>10</v>
      </c>
      <c r="R2950" s="2" t="s">
        <v>28</v>
      </c>
      <c r="S2950" s="24">
        <f t="shared" si="229"/>
        <v>0.02</v>
      </c>
    </row>
    <row r="2951" spans="1:19" x14ac:dyDescent="0.25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>VLOOKUP(F2951,'Customer Info'!$A:$B,2,0)</f>
        <v>John</v>
      </c>
      <c r="H2951" s="6" t="str">
        <f>VLOOKUP(F2951,'Customer Info'!$A$1:$C$501,3,0)</f>
        <v>Lucas</v>
      </c>
      <c r="I2951" s="6" t="str">
        <f>VLOOKUP(F2951,Customer,5,0)</f>
        <v>Beijing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1568</v>
      </c>
      <c r="O2951" s="2">
        <v>88</v>
      </c>
      <c r="P2951" s="8">
        <f t="shared" si="227"/>
        <v>1656</v>
      </c>
      <c r="Q2951" s="8">
        <f t="shared" si="228"/>
        <v>73</v>
      </c>
      <c r="R2951" s="2" t="s">
        <v>28</v>
      </c>
      <c r="S2951" s="24">
        <f t="shared" si="229"/>
        <v>0.02</v>
      </c>
    </row>
    <row r="2952" spans="1:19" x14ac:dyDescent="0.25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>VLOOKUP(F2952,'Customer Info'!$A:$B,2,0)</f>
        <v>Tom</v>
      </c>
      <c r="H2952" s="6" t="str">
        <f>VLOOKUP(F2952,'Customer Info'!$A$1:$C$501,3,0)</f>
        <v>Prescott</v>
      </c>
      <c r="I2952" s="6" t="str">
        <f>VLOOKUP(F2952,Customer,5,0)</f>
        <v>Bokaro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410</v>
      </c>
      <c r="O2952" s="2">
        <v>10</v>
      </c>
      <c r="P2952" s="8">
        <f t="shared" si="227"/>
        <v>420</v>
      </c>
      <c r="Q2952" s="8">
        <f t="shared" si="228"/>
        <v>15</v>
      </c>
      <c r="R2952" s="2" t="s">
        <v>26</v>
      </c>
      <c r="S2952" s="24">
        <f t="shared" si="229"/>
        <v>0.02</v>
      </c>
    </row>
    <row r="2953" spans="1:19" x14ac:dyDescent="0.25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>VLOOKUP(F2953,'Customer Info'!$A:$B,2,0)</f>
        <v>Corinna</v>
      </c>
      <c r="H2953" s="6" t="str">
        <f>VLOOKUP(F2953,'Customer Info'!$A$1:$C$501,3,0)</f>
        <v>Mitchell</v>
      </c>
      <c r="I2953" s="6" t="str">
        <f>VLOOKUP(F2953,Customer,5,0)</f>
        <v>Augsburg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305</v>
      </c>
      <c r="O2953" s="2">
        <v>10</v>
      </c>
      <c r="P2953" s="8">
        <f t="shared" si="227"/>
        <v>315</v>
      </c>
      <c r="Q2953" s="8">
        <f t="shared" si="228"/>
        <v>20</v>
      </c>
      <c r="R2953" s="2" t="s">
        <v>50</v>
      </c>
      <c r="S2953" s="24">
        <f t="shared" si="229"/>
        <v>0.02</v>
      </c>
    </row>
    <row r="2954" spans="1:19" x14ac:dyDescent="0.25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>VLOOKUP(F2954,'Customer Info'!$A:$B,2,0)</f>
        <v>Darren</v>
      </c>
      <c r="H2954" s="6" t="str">
        <f>VLOOKUP(F2954,'Customer Info'!$A$1:$C$501,3,0)</f>
        <v>Powers</v>
      </c>
      <c r="I2954" s="6" t="str">
        <f>VLOOKUP(F2954,Customer,5,0)</f>
        <v>Depok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2342</v>
      </c>
      <c r="O2954" s="2">
        <v>25</v>
      </c>
      <c r="P2954" s="8">
        <f t="shared" si="227"/>
        <v>2367</v>
      </c>
      <c r="Q2954" s="8">
        <f t="shared" si="228"/>
        <v>132</v>
      </c>
      <c r="R2954" s="2" t="s">
        <v>50</v>
      </c>
      <c r="S2954" s="24">
        <f t="shared" si="229"/>
        <v>0.02</v>
      </c>
    </row>
    <row r="2955" spans="1:19" x14ac:dyDescent="0.25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>VLOOKUP(F2955,'Customer Info'!$A:$B,2,0)</f>
        <v>Lisa</v>
      </c>
      <c r="H2955" s="6" t="str">
        <f>VLOOKUP(F2955,'Customer Info'!$A$1:$C$501,3,0)</f>
        <v>Ryan</v>
      </c>
      <c r="I2955" s="6" t="str">
        <f>VLOOKUP(F2955,Customer,5,0)</f>
        <v>Berlin</v>
      </c>
      <c r="J2955" s="2">
        <v>520</v>
      </c>
      <c r="K2955" s="2">
        <v>477</v>
      </c>
      <c r="L2955" s="2">
        <v>4</v>
      </c>
      <c r="M2955" s="7">
        <f t="shared" ref="M2955:M3018" si="230">K2955*L2955</f>
        <v>1908</v>
      </c>
      <c r="N2955" s="7">
        <f t="shared" ref="N2955:N3018" si="231">J2955*L2955</f>
        <v>2080</v>
      </c>
      <c r="O2955" s="2">
        <v>72</v>
      </c>
      <c r="P2955" s="8">
        <f t="shared" ref="P2955:P3018" si="232">N2955+O2955</f>
        <v>2152</v>
      </c>
      <c r="Q2955" s="8">
        <f t="shared" ref="Q2955:Q3018" si="233">N2955-M2955</f>
        <v>172</v>
      </c>
      <c r="R2955" s="2" t="s">
        <v>50</v>
      </c>
      <c r="S2955" s="24">
        <f t="shared" ref="S2955:S3018" si="234">VLOOKUP(N2955,$T$1:$U$7,2,TRUE)</f>
        <v>0.02</v>
      </c>
    </row>
    <row r="2956" spans="1:19" x14ac:dyDescent="0.25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>VLOOKUP(F2956,'Customer Info'!$A:$B,2,0)</f>
        <v>Philip</v>
      </c>
      <c r="H2956" s="6" t="str">
        <f>VLOOKUP(F2956,'Customer Info'!$A$1:$C$501,3,0)</f>
        <v>Fox</v>
      </c>
      <c r="I2956" s="6" t="str">
        <f>VLOOKUP(F2956,Customer,5,0)</f>
        <v>Mount Isa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8">
        <f t="shared" si="232"/>
        <v>8807</v>
      </c>
      <c r="Q2956" s="8">
        <f t="shared" si="233"/>
        <v>875</v>
      </c>
      <c r="R2956" s="2" t="s">
        <v>28</v>
      </c>
      <c r="S2956" s="24">
        <f t="shared" si="234"/>
        <v>0.05</v>
      </c>
    </row>
    <row r="2957" spans="1:19" x14ac:dyDescent="0.25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>VLOOKUP(F2957,'Customer Info'!$A:$B,2,0)</f>
        <v>Justin</v>
      </c>
      <c r="H2957" s="6" t="str">
        <f>VLOOKUP(F2957,'Customer Info'!$A$1:$C$501,3,0)</f>
        <v>Hirsh</v>
      </c>
      <c r="I2957" s="6" t="str">
        <f>VLOOKUP(F2957,Customer,5,0)</f>
        <v>Shangzhi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8">
        <f t="shared" si="232"/>
        <v>15363</v>
      </c>
      <c r="Q2957" s="8">
        <f t="shared" si="233"/>
        <v>1665</v>
      </c>
      <c r="R2957" s="2" t="s">
        <v>56</v>
      </c>
      <c r="S2957" s="24">
        <f t="shared" si="234"/>
        <v>0.05</v>
      </c>
    </row>
    <row r="2958" spans="1:19" x14ac:dyDescent="0.25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>VLOOKUP(F2958,'Customer Info'!$A:$B,2,0)</f>
        <v>Dorothy</v>
      </c>
      <c r="H2958" s="6" t="str">
        <f>VLOOKUP(F2958,'Customer Info'!$A$1:$C$501,3,0)</f>
        <v>Badders</v>
      </c>
      <c r="I2958" s="6" t="str">
        <f>VLOOKUP(F2958,Customer,5,0)</f>
        <v>Nanning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8">
        <f t="shared" si="232"/>
        <v>17841</v>
      </c>
      <c r="Q2958" s="8">
        <f t="shared" si="233"/>
        <v>840</v>
      </c>
      <c r="R2958" s="2" t="s">
        <v>50</v>
      </c>
      <c r="S2958" s="24">
        <f t="shared" si="234"/>
        <v>0.05</v>
      </c>
    </row>
    <row r="2959" spans="1:19" x14ac:dyDescent="0.25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>VLOOKUP(F2959,'Customer Info'!$A:$B,2,0)</f>
        <v>Michael</v>
      </c>
      <c r="H2959" s="6" t="str">
        <f>VLOOKUP(F2959,'Customer Info'!$A$1:$C$501,3,0)</f>
        <v>Granlund</v>
      </c>
      <c r="I2959" s="6" t="str">
        <f>VLOOKUP(F2959,Customer,5,0)</f>
        <v>Sydney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8">
        <f t="shared" si="232"/>
        <v>1657</v>
      </c>
      <c r="Q2959" s="8">
        <f t="shared" si="233"/>
        <v>105</v>
      </c>
      <c r="R2959" s="2" t="s">
        <v>50</v>
      </c>
      <c r="S2959" s="24">
        <f t="shared" si="234"/>
        <v>0.02</v>
      </c>
    </row>
    <row r="2960" spans="1:19" x14ac:dyDescent="0.25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>VLOOKUP(F2960,'Customer Info'!$A:$B,2,0)</f>
        <v>Bryan</v>
      </c>
      <c r="H2960" s="6" t="str">
        <f>VLOOKUP(F2960,'Customer Info'!$A$1:$C$501,3,0)</f>
        <v>Davis</v>
      </c>
      <c r="I2960" s="6" t="str">
        <f>VLOOKUP(F2960,Customer,5,0)</f>
        <v>Delhi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540</v>
      </c>
      <c r="O2960" s="2">
        <v>30</v>
      </c>
      <c r="P2960" s="8">
        <f t="shared" si="232"/>
        <v>570</v>
      </c>
      <c r="Q2960" s="8">
        <f t="shared" si="233"/>
        <v>24</v>
      </c>
      <c r="R2960" s="2" t="s">
        <v>50</v>
      </c>
      <c r="S2960" s="24">
        <f t="shared" si="234"/>
        <v>0.02</v>
      </c>
    </row>
    <row r="2961" spans="1:19" x14ac:dyDescent="0.25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>VLOOKUP(F2961,'Customer Info'!$A:$B,2,0)</f>
        <v>Dean</v>
      </c>
      <c r="H2961" s="6" t="str">
        <f>VLOOKUP(F2961,'Customer Info'!$A$1:$C$501,3,0)</f>
        <v>Katz</v>
      </c>
      <c r="I2961" s="6" t="str">
        <f>VLOOKUP(F2961,Customer,5,0)</f>
        <v>Changzhou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6486</v>
      </c>
      <c r="O2961" s="2">
        <v>82</v>
      </c>
      <c r="P2961" s="8">
        <f t="shared" si="232"/>
        <v>6568</v>
      </c>
      <c r="Q2961" s="8">
        <f t="shared" si="233"/>
        <v>588</v>
      </c>
      <c r="R2961" s="2" t="s">
        <v>28</v>
      </c>
      <c r="S2961" s="24">
        <f t="shared" si="234"/>
        <v>0.05</v>
      </c>
    </row>
    <row r="2962" spans="1:19" x14ac:dyDescent="0.25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>VLOOKUP(F2962,'Customer Info'!$A:$B,2,0)</f>
        <v>Victoria</v>
      </c>
      <c r="H2962" s="6" t="str">
        <f>VLOOKUP(F2962,'Customer Info'!$A$1:$C$501,3,0)</f>
        <v>Brennan</v>
      </c>
      <c r="I2962" s="6" t="str">
        <f>VLOOKUP(F2962,Customer,5,0)</f>
        <v>Mangalore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22827</v>
      </c>
      <c r="O2962" s="2">
        <v>21</v>
      </c>
      <c r="P2962" s="8">
        <f t="shared" si="232"/>
        <v>22848</v>
      </c>
      <c r="Q2962" s="8">
        <f t="shared" si="233"/>
        <v>1083</v>
      </c>
      <c r="R2962" s="2" t="s">
        <v>50</v>
      </c>
      <c r="S2962" s="24">
        <f t="shared" si="234"/>
        <v>0.05</v>
      </c>
    </row>
    <row r="2963" spans="1:19" x14ac:dyDescent="0.25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>VLOOKUP(F2963,'Customer Info'!$A:$B,2,0)</f>
        <v>Andrew</v>
      </c>
      <c r="H2963" s="6" t="str">
        <f>VLOOKUP(F2963,'Customer Info'!$A$1:$C$501,3,0)</f>
        <v>Gjertsen</v>
      </c>
      <c r="I2963" s="6" t="str">
        <f>VLOOKUP(F2963,Customer,5,0)</f>
        <v>Hamburg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3849</v>
      </c>
      <c r="O2963" s="2">
        <v>58</v>
      </c>
      <c r="P2963" s="8">
        <f t="shared" si="232"/>
        <v>3907</v>
      </c>
      <c r="Q2963" s="8">
        <f t="shared" si="233"/>
        <v>288</v>
      </c>
      <c r="R2963" s="2" t="s">
        <v>28</v>
      </c>
      <c r="S2963" s="24">
        <f t="shared" si="234"/>
        <v>0.02</v>
      </c>
    </row>
    <row r="2964" spans="1:19" x14ac:dyDescent="0.25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>VLOOKUP(F2964,'Customer Info'!$A:$B,2,0)</f>
        <v>Alan</v>
      </c>
      <c r="H2964" s="6" t="str">
        <f>VLOOKUP(F2964,'Customer Info'!$A$1:$C$501,3,0)</f>
        <v>Shonely</v>
      </c>
      <c r="I2964" s="6" t="str">
        <f>VLOOKUP(F2964,Customer,5,0)</f>
        <v>Canberra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1288</v>
      </c>
      <c r="O2964" s="2">
        <v>30</v>
      </c>
      <c r="P2964" s="8">
        <f t="shared" si="232"/>
        <v>1318</v>
      </c>
      <c r="Q2964" s="8">
        <f t="shared" si="233"/>
        <v>56</v>
      </c>
      <c r="R2964" s="2" t="s">
        <v>56</v>
      </c>
      <c r="S2964" s="24">
        <f t="shared" si="234"/>
        <v>0.02</v>
      </c>
    </row>
    <row r="2965" spans="1:19" x14ac:dyDescent="0.25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>VLOOKUP(F2965,'Customer Info'!$A:$B,2,0)</f>
        <v>Justin</v>
      </c>
      <c r="H2965" s="6" t="str">
        <f>VLOOKUP(F2965,'Customer Info'!$A$1:$C$501,3,0)</f>
        <v>Deggeller</v>
      </c>
      <c r="I2965" s="6" t="str">
        <f>VLOOKUP(F2965,Customer,5,0)</f>
        <v>Gawler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249219</v>
      </c>
      <c r="O2965" s="2">
        <v>86</v>
      </c>
      <c r="P2965" s="8">
        <f t="shared" si="232"/>
        <v>249305</v>
      </c>
      <c r="Q2965" s="8">
        <f t="shared" si="233"/>
        <v>18675</v>
      </c>
      <c r="R2965" s="2" t="s">
        <v>28</v>
      </c>
      <c r="S2965" s="24">
        <f t="shared" si="234"/>
        <v>0.12</v>
      </c>
    </row>
    <row r="2966" spans="1:19" x14ac:dyDescent="0.25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>VLOOKUP(F2966,'Customer Info'!$A:$B,2,0)</f>
        <v>Jim</v>
      </c>
      <c r="H2966" s="6" t="str">
        <f>VLOOKUP(F2966,'Customer Info'!$A$1:$C$501,3,0)</f>
        <v>Karlsson</v>
      </c>
      <c r="I2966" s="6" t="str">
        <f>VLOOKUP(F2966,Customer,5,0)</f>
        <v>Geelong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12174</v>
      </c>
      <c r="O2966" s="2">
        <v>58</v>
      </c>
      <c r="P2966" s="8">
        <f t="shared" si="232"/>
        <v>12232</v>
      </c>
      <c r="Q2966" s="8">
        <f t="shared" si="233"/>
        <v>558</v>
      </c>
      <c r="R2966" s="2" t="s">
        <v>28</v>
      </c>
      <c r="S2966" s="24">
        <f t="shared" si="234"/>
        <v>0.05</v>
      </c>
    </row>
    <row r="2967" spans="1:19" x14ac:dyDescent="0.25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>VLOOKUP(F2967,'Customer Info'!$A:$B,2,0)</f>
        <v>Alex</v>
      </c>
      <c r="H2967" s="6" t="str">
        <f>VLOOKUP(F2967,'Customer Info'!$A$1:$C$501,3,0)</f>
        <v>Avila</v>
      </c>
      <c r="I2967" s="6" t="str">
        <f>VLOOKUP(F2967,Customer,5,0)</f>
        <v>Berlin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5904</v>
      </c>
      <c r="O2967" s="2">
        <v>51</v>
      </c>
      <c r="P2967" s="8">
        <f t="shared" si="232"/>
        <v>5955</v>
      </c>
      <c r="Q2967" s="8">
        <f t="shared" si="233"/>
        <v>441</v>
      </c>
      <c r="R2967" s="2" t="s">
        <v>50</v>
      </c>
      <c r="S2967" s="24">
        <f t="shared" si="234"/>
        <v>0.05</v>
      </c>
    </row>
    <row r="2968" spans="1:19" x14ac:dyDescent="0.25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>VLOOKUP(F2968,'Customer Info'!$A:$B,2,0)</f>
        <v>Neil</v>
      </c>
      <c r="H2968" s="6" t="str">
        <f>VLOOKUP(F2968,'Customer Info'!$A$1:$C$501,3,0)</f>
        <v>Franzšsisch</v>
      </c>
      <c r="I2968" s="6" t="str">
        <f>VLOOKUP(F2968,Customer,5,0)</f>
        <v>Mount Isa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8880</v>
      </c>
      <c r="O2968" s="2">
        <v>52</v>
      </c>
      <c r="P2968" s="8">
        <f t="shared" si="232"/>
        <v>8932</v>
      </c>
      <c r="Q2968" s="8">
        <f t="shared" si="233"/>
        <v>975</v>
      </c>
      <c r="R2968" s="2" t="s">
        <v>28</v>
      </c>
      <c r="S2968" s="24">
        <f t="shared" si="234"/>
        <v>0.05</v>
      </c>
    </row>
    <row r="2969" spans="1:19" x14ac:dyDescent="0.25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>VLOOKUP(F2969,'Customer Info'!$A:$B,2,0)</f>
        <v>Eugene</v>
      </c>
      <c r="H2969" s="6" t="str">
        <f>VLOOKUP(F2969,'Customer Info'!$A$1:$C$501,3,0)</f>
        <v>Hildebrand</v>
      </c>
      <c r="I2969" s="6" t="str">
        <f>VLOOKUP(F2969,Customer,5,0)</f>
        <v>Liaocheng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2475</v>
      </c>
      <c r="O2969" s="2">
        <v>99</v>
      </c>
      <c r="P2969" s="8">
        <f t="shared" si="232"/>
        <v>2574</v>
      </c>
      <c r="Q2969" s="8">
        <f t="shared" si="233"/>
        <v>96</v>
      </c>
      <c r="R2969" s="2" t="s">
        <v>28</v>
      </c>
      <c r="S2969" s="24">
        <f t="shared" si="234"/>
        <v>0.02</v>
      </c>
    </row>
    <row r="2970" spans="1:19" x14ac:dyDescent="0.25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>VLOOKUP(F2970,'Customer Info'!$A:$B,2,0)</f>
        <v>Victoria</v>
      </c>
      <c r="H2970" s="6" t="str">
        <f>VLOOKUP(F2970,'Customer Info'!$A$1:$C$501,3,0)</f>
        <v>Pisteka</v>
      </c>
      <c r="I2970" s="6" t="str">
        <f>VLOOKUP(F2970,Customer,5,0)</f>
        <v>Bokaro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8334</v>
      </c>
      <c r="O2970" s="2">
        <v>69</v>
      </c>
      <c r="P2970" s="8">
        <f t="shared" si="232"/>
        <v>8403</v>
      </c>
      <c r="Q2970" s="8">
        <f t="shared" si="233"/>
        <v>615</v>
      </c>
      <c r="R2970" s="2" t="s">
        <v>50</v>
      </c>
      <c r="S2970" s="24">
        <f t="shared" si="234"/>
        <v>0.05</v>
      </c>
    </row>
    <row r="2971" spans="1:19" x14ac:dyDescent="0.25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>VLOOKUP(F2971,'Customer Info'!$A:$B,2,0)</f>
        <v>Peter</v>
      </c>
      <c r="H2971" s="6" t="str">
        <f>VLOOKUP(F2971,'Customer Info'!$A$1:$C$501,3,0)</f>
        <v>BŸhler</v>
      </c>
      <c r="I2971" s="6" t="str">
        <f>VLOOKUP(F2971,Customer,5,0)</f>
        <v>Dresden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69</v>
      </c>
      <c r="O2971" s="2">
        <v>10</v>
      </c>
      <c r="P2971" s="8">
        <f t="shared" si="232"/>
        <v>79</v>
      </c>
      <c r="Q2971" s="8">
        <f t="shared" si="233"/>
        <v>5</v>
      </c>
      <c r="R2971" s="2" t="s">
        <v>28</v>
      </c>
      <c r="S2971" s="24">
        <f t="shared" si="234"/>
        <v>0.02</v>
      </c>
    </row>
    <row r="2972" spans="1:19" x14ac:dyDescent="0.25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>VLOOKUP(F2972,'Customer Info'!$A:$B,2,0)</f>
        <v>Meg</v>
      </c>
      <c r="H2972" s="6" t="str">
        <f>VLOOKUP(F2972,'Customer Info'!$A$1:$C$501,3,0)</f>
        <v>Tillman</v>
      </c>
      <c r="I2972" s="6" t="str">
        <f>VLOOKUP(F2972,Customer,5,0)</f>
        <v>Bangalore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9435</v>
      </c>
      <c r="O2972" s="2">
        <v>70</v>
      </c>
      <c r="P2972" s="8">
        <f t="shared" si="232"/>
        <v>9505</v>
      </c>
      <c r="Q2972" s="8">
        <f t="shared" si="233"/>
        <v>620</v>
      </c>
      <c r="R2972" s="2" t="s">
        <v>26</v>
      </c>
      <c r="S2972" s="24">
        <f t="shared" si="234"/>
        <v>0.05</v>
      </c>
    </row>
    <row r="2973" spans="1:19" x14ac:dyDescent="0.25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>VLOOKUP(F2973,'Customer Info'!$A:$B,2,0)</f>
        <v>James</v>
      </c>
      <c r="H2973" s="6" t="str">
        <f>VLOOKUP(F2973,'Customer Info'!$A$1:$C$501,3,0)</f>
        <v>Lanier</v>
      </c>
      <c r="I2973" s="6" t="str">
        <f>VLOOKUP(F2973,Customer,5,0)</f>
        <v>Dortmund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15728</v>
      </c>
      <c r="O2973" s="2">
        <v>93</v>
      </c>
      <c r="P2973" s="8">
        <f t="shared" si="232"/>
        <v>15821</v>
      </c>
      <c r="Q2973" s="8">
        <f t="shared" si="233"/>
        <v>602</v>
      </c>
      <c r="R2973" s="2" t="s">
        <v>50</v>
      </c>
      <c r="S2973" s="24">
        <f t="shared" si="234"/>
        <v>0.05</v>
      </c>
    </row>
    <row r="2974" spans="1:19" x14ac:dyDescent="0.25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>VLOOKUP(F2974,'Customer Info'!$A:$B,2,0)</f>
        <v>Xylona</v>
      </c>
      <c r="H2974" s="6" t="str">
        <f>VLOOKUP(F2974,'Customer Info'!$A$1:$C$501,3,0)</f>
        <v>Preis</v>
      </c>
      <c r="I2974" s="6" t="str">
        <f>VLOOKUP(F2974,Customer,5,0)</f>
        <v>Qidong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169</v>
      </c>
      <c r="O2974" s="2">
        <v>30</v>
      </c>
      <c r="P2974" s="8">
        <f t="shared" si="232"/>
        <v>199</v>
      </c>
      <c r="Q2974" s="8">
        <f t="shared" si="233"/>
        <v>9</v>
      </c>
      <c r="R2974" s="2" t="s">
        <v>50</v>
      </c>
      <c r="S2974" s="24">
        <f t="shared" si="234"/>
        <v>0.02</v>
      </c>
    </row>
    <row r="2975" spans="1:19" x14ac:dyDescent="0.25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>VLOOKUP(F2975,'Customer Info'!$A:$B,2,0)</f>
        <v>Dianna</v>
      </c>
      <c r="H2975" s="6" t="str">
        <f>VLOOKUP(F2975,'Customer Info'!$A$1:$C$501,3,0)</f>
        <v>Vittorini</v>
      </c>
      <c r="I2975" s="6" t="str">
        <f>VLOOKUP(F2975,Customer,5,0)</f>
        <v>Cottbus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3507</v>
      </c>
      <c r="O2975" s="2">
        <v>90</v>
      </c>
      <c r="P2975" s="8">
        <f t="shared" si="232"/>
        <v>3597</v>
      </c>
      <c r="Q2975" s="8">
        <f t="shared" si="233"/>
        <v>198</v>
      </c>
      <c r="R2975" s="2" t="s">
        <v>50</v>
      </c>
      <c r="S2975" s="24">
        <f t="shared" si="234"/>
        <v>0.02</v>
      </c>
    </row>
    <row r="2976" spans="1:19" x14ac:dyDescent="0.25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>VLOOKUP(F2976,'Customer Info'!$A:$B,2,0)</f>
        <v>Ann</v>
      </c>
      <c r="H2976" s="6" t="str">
        <f>VLOOKUP(F2976,'Customer Info'!$A$1:$C$501,3,0)</f>
        <v>Chong</v>
      </c>
      <c r="I2976" s="6" t="str">
        <f>VLOOKUP(F2976,Customer,5,0)</f>
        <v>Sydney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426</v>
      </c>
      <c r="O2976" s="2">
        <v>30</v>
      </c>
      <c r="P2976" s="8">
        <f t="shared" si="232"/>
        <v>456</v>
      </c>
      <c r="Q2976" s="8">
        <f t="shared" si="233"/>
        <v>24</v>
      </c>
      <c r="R2976" s="2" t="s">
        <v>28</v>
      </c>
      <c r="S2976" s="24">
        <f t="shared" si="234"/>
        <v>0.02</v>
      </c>
    </row>
    <row r="2977" spans="1:19" x14ac:dyDescent="0.25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>VLOOKUP(F2977,'Customer Info'!$A:$B,2,0)</f>
        <v>Heather</v>
      </c>
      <c r="H2977" s="6" t="str">
        <f>VLOOKUP(F2977,'Customer Info'!$A$1:$C$501,3,0)</f>
        <v>Kirkland</v>
      </c>
      <c r="I2977" s="6" t="str">
        <f>VLOOKUP(F2977,Customer,5,0)</f>
        <v>Luoyang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2475</v>
      </c>
      <c r="O2977" s="2">
        <v>94</v>
      </c>
      <c r="P2977" s="8">
        <f t="shared" si="232"/>
        <v>2569</v>
      </c>
      <c r="Q2977" s="8">
        <f t="shared" si="233"/>
        <v>96</v>
      </c>
      <c r="R2977" s="2" t="s">
        <v>50</v>
      </c>
      <c r="S2977" s="24">
        <f t="shared" si="234"/>
        <v>0.02</v>
      </c>
    </row>
    <row r="2978" spans="1:19" x14ac:dyDescent="0.25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>VLOOKUP(F2978,'Customer Info'!$A:$B,2,0)</f>
        <v>Xylona</v>
      </c>
      <c r="H2978" s="6" t="str">
        <f>VLOOKUP(F2978,'Customer Info'!$A$1:$C$501,3,0)</f>
        <v>Preis</v>
      </c>
      <c r="I2978" s="6" t="str">
        <f>VLOOKUP(F2978,Customer,5,0)</f>
        <v>Qidong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6087</v>
      </c>
      <c r="O2978" s="2">
        <v>32</v>
      </c>
      <c r="P2978" s="8">
        <f t="shared" si="232"/>
        <v>6119</v>
      </c>
      <c r="Q2978" s="8">
        <f t="shared" si="233"/>
        <v>279</v>
      </c>
      <c r="R2978" s="2" t="s">
        <v>26</v>
      </c>
      <c r="S2978" s="24">
        <f t="shared" si="234"/>
        <v>0.05</v>
      </c>
    </row>
    <row r="2979" spans="1:19" x14ac:dyDescent="0.25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>VLOOKUP(F2979,'Customer Info'!$A:$B,2,0)</f>
        <v>Laurel</v>
      </c>
      <c r="H2979" s="6" t="str">
        <f>VLOOKUP(F2979,'Customer Info'!$A$1:$C$501,3,0)</f>
        <v>Workman</v>
      </c>
      <c r="I2979" s="6" t="str">
        <f>VLOOKUP(F2979,Customer,5,0)</f>
        <v>Dongguan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19384</v>
      </c>
      <c r="O2979" s="2">
        <v>33</v>
      </c>
      <c r="P2979" s="8">
        <f t="shared" si="232"/>
        <v>19417</v>
      </c>
      <c r="Q2979" s="8">
        <f t="shared" si="233"/>
        <v>1416</v>
      </c>
      <c r="R2979" s="2" t="s">
        <v>28</v>
      </c>
      <c r="S2979" s="24">
        <f t="shared" si="234"/>
        <v>0.05</v>
      </c>
    </row>
    <row r="2980" spans="1:19" x14ac:dyDescent="0.25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>VLOOKUP(F2980,'Customer Info'!$A:$B,2,0)</f>
        <v>Adam</v>
      </c>
      <c r="H2980" s="6" t="str">
        <f>VLOOKUP(F2980,'Customer Info'!$A$1:$C$501,3,0)</f>
        <v>Bellavance</v>
      </c>
      <c r="I2980" s="6" t="str">
        <f>VLOOKUP(F2980,Customer,5,0)</f>
        <v>Kwinana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546</v>
      </c>
      <c r="O2980" s="2">
        <v>10</v>
      </c>
      <c r="P2980" s="8">
        <f t="shared" si="232"/>
        <v>556</v>
      </c>
      <c r="Q2980" s="8">
        <f t="shared" si="233"/>
        <v>28</v>
      </c>
      <c r="R2980" s="2" t="s">
        <v>50</v>
      </c>
      <c r="S2980" s="24">
        <f t="shared" si="234"/>
        <v>0.02</v>
      </c>
    </row>
    <row r="2981" spans="1:19" x14ac:dyDescent="0.25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>VLOOKUP(F2981,'Customer Info'!$A:$B,2,0)</f>
        <v>Justin</v>
      </c>
      <c r="H2981" s="6" t="str">
        <f>VLOOKUP(F2981,'Customer Info'!$A$1:$C$501,3,0)</f>
        <v>Deggeller</v>
      </c>
      <c r="I2981" s="6" t="str">
        <f>VLOOKUP(F2981,Customer,5,0)</f>
        <v>Gawler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40383</v>
      </c>
      <c r="O2981" s="2">
        <v>40</v>
      </c>
      <c r="P2981" s="8">
        <f t="shared" si="232"/>
        <v>40423</v>
      </c>
      <c r="Q2981" s="8">
        <f t="shared" si="233"/>
        <v>2574</v>
      </c>
      <c r="R2981" s="2" t="s">
        <v>26</v>
      </c>
      <c r="S2981" s="24">
        <f t="shared" si="234"/>
        <v>7.0000000000000007E-2</v>
      </c>
    </row>
    <row r="2982" spans="1:19" x14ac:dyDescent="0.25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>VLOOKUP(F2982,'Customer Info'!$A:$B,2,0)</f>
        <v>Helen</v>
      </c>
      <c r="H2982" s="6" t="str">
        <f>VLOOKUP(F2982,'Customer Info'!$A$1:$C$501,3,0)</f>
        <v>Abelman</v>
      </c>
      <c r="I2982" s="6" t="str">
        <f>VLOOKUP(F2982,Customer,5,0)</f>
        <v>Berlin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7021</v>
      </c>
      <c r="O2982" s="2">
        <v>50</v>
      </c>
      <c r="P2982" s="8">
        <f t="shared" si="232"/>
        <v>7071</v>
      </c>
      <c r="Q2982" s="8">
        <f t="shared" si="233"/>
        <v>335</v>
      </c>
      <c r="R2982" s="2" t="s">
        <v>50</v>
      </c>
      <c r="S2982" s="24">
        <f t="shared" si="234"/>
        <v>0.05</v>
      </c>
    </row>
    <row r="2983" spans="1:19" x14ac:dyDescent="0.25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>VLOOKUP(F2983,'Customer Info'!$A:$B,2,0)</f>
        <v>Evan</v>
      </c>
      <c r="H2983" s="6" t="str">
        <f>VLOOKUP(F2983,'Customer Info'!$A$1:$C$501,3,0)</f>
        <v>Bailliet</v>
      </c>
      <c r="I2983" s="6" t="str">
        <f>VLOOKUP(F2983,Customer,5,0)</f>
        <v>Sydney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376</v>
      </c>
      <c r="O2983" s="2">
        <v>30</v>
      </c>
      <c r="P2983" s="8">
        <f t="shared" si="232"/>
        <v>406</v>
      </c>
      <c r="Q2983" s="8">
        <f t="shared" si="233"/>
        <v>30</v>
      </c>
      <c r="R2983" s="2" t="s">
        <v>56</v>
      </c>
      <c r="S2983" s="24">
        <f t="shared" si="234"/>
        <v>0.02</v>
      </c>
    </row>
    <row r="2984" spans="1:19" x14ac:dyDescent="0.25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>VLOOKUP(F2984,'Customer Info'!$A:$B,2,0)</f>
        <v>Pamela</v>
      </c>
      <c r="H2984" s="6" t="str">
        <f>VLOOKUP(F2984,'Customer Info'!$A$1:$C$501,3,0)</f>
        <v>Stobb</v>
      </c>
      <c r="I2984" s="6" t="str">
        <f>VLOOKUP(F2984,Customer,5,0)</f>
        <v>Berlin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6404</v>
      </c>
      <c r="O2984" s="2">
        <v>78</v>
      </c>
      <c r="P2984" s="8">
        <f t="shared" si="232"/>
        <v>6482</v>
      </c>
      <c r="Q2984" s="8">
        <f t="shared" si="233"/>
        <v>364</v>
      </c>
      <c r="R2984" s="2" t="s">
        <v>50</v>
      </c>
      <c r="S2984" s="24">
        <f t="shared" si="234"/>
        <v>0.05</v>
      </c>
    </row>
    <row r="2985" spans="1:19" x14ac:dyDescent="0.25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>VLOOKUP(F2985,'Customer Info'!$A:$B,2,0)</f>
        <v>Joy</v>
      </c>
      <c r="H2985" s="6" t="str">
        <f>VLOOKUP(F2985,'Customer Info'!$A$1:$C$501,3,0)</f>
        <v>Bell</v>
      </c>
      <c r="I2985" s="6" t="str">
        <f>VLOOKUP(F2985,Customer,5,0)</f>
        <v>Vijayawada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22827</v>
      </c>
      <c r="O2985" s="2">
        <v>38</v>
      </c>
      <c r="P2985" s="8">
        <f t="shared" si="232"/>
        <v>22865</v>
      </c>
      <c r="Q2985" s="8">
        <f t="shared" si="233"/>
        <v>1083</v>
      </c>
      <c r="R2985" s="2" t="s">
        <v>28</v>
      </c>
      <c r="S2985" s="24">
        <f t="shared" si="234"/>
        <v>0.05</v>
      </c>
    </row>
    <row r="2986" spans="1:19" x14ac:dyDescent="0.25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>VLOOKUP(F2986,'Customer Info'!$A:$B,2,0)</f>
        <v>Kristen</v>
      </c>
      <c r="H2986" s="6" t="str">
        <f>VLOOKUP(F2986,'Customer Info'!$A$1:$C$501,3,0)</f>
        <v>Hastings</v>
      </c>
      <c r="I2986" s="6" t="str">
        <f>VLOOKUP(F2986,Customer,5,0)</f>
        <v>Shihezi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4498</v>
      </c>
      <c r="O2986" s="2">
        <v>97</v>
      </c>
      <c r="P2986" s="8">
        <f t="shared" si="232"/>
        <v>4595</v>
      </c>
      <c r="Q2986" s="8">
        <f t="shared" si="233"/>
        <v>294</v>
      </c>
      <c r="R2986" s="2" t="s">
        <v>50</v>
      </c>
      <c r="S2986" s="24">
        <f t="shared" si="234"/>
        <v>0.02</v>
      </c>
    </row>
    <row r="2987" spans="1:19" x14ac:dyDescent="0.25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>VLOOKUP(F2987,'Customer Info'!$A:$B,2,0)</f>
        <v>Aaron</v>
      </c>
      <c r="H2987" s="6" t="str">
        <f>VLOOKUP(F2987,'Customer Info'!$A$1:$C$501,3,0)</f>
        <v>Bergman</v>
      </c>
      <c r="I2987" s="6" t="str">
        <f>VLOOKUP(F2987,Customer,5,0)</f>
        <v>Halle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925</v>
      </c>
      <c r="O2987" s="2">
        <v>30</v>
      </c>
      <c r="P2987" s="8">
        <f t="shared" si="232"/>
        <v>955</v>
      </c>
      <c r="Q2987" s="8">
        <f t="shared" si="233"/>
        <v>55</v>
      </c>
      <c r="R2987" s="2" t="s">
        <v>28</v>
      </c>
      <c r="S2987" s="24">
        <f t="shared" si="234"/>
        <v>0.02</v>
      </c>
    </row>
    <row r="2988" spans="1:19" x14ac:dyDescent="0.25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>VLOOKUP(F2988,'Customer Info'!$A:$B,2,0)</f>
        <v>Jas</v>
      </c>
      <c r="H2988" s="6" t="str">
        <f>VLOOKUP(F2988,'Customer Info'!$A$1:$C$501,3,0)</f>
        <v>O'Carroll</v>
      </c>
      <c r="I2988" s="6" t="str">
        <f>VLOOKUP(F2988,Customer,5,0)</f>
        <v>Essen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10620</v>
      </c>
      <c r="O2988" s="2">
        <v>81</v>
      </c>
      <c r="P2988" s="8">
        <f t="shared" si="232"/>
        <v>10701</v>
      </c>
      <c r="Q2988" s="8">
        <f t="shared" si="233"/>
        <v>1068</v>
      </c>
      <c r="R2988" s="2" t="s">
        <v>28</v>
      </c>
      <c r="S2988" s="24">
        <f t="shared" si="234"/>
        <v>0.05</v>
      </c>
    </row>
    <row r="2989" spans="1:19" x14ac:dyDescent="0.25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>VLOOKUP(F2989,'Customer Info'!$A:$B,2,0)</f>
        <v>Maureen</v>
      </c>
      <c r="H2989" s="6" t="str">
        <f>VLOOKUP(F2989,'Customer Info'!$A$1:$C$501,3,0)</f>
        <v>Gastineau</v>
      </c>
      <c r="I2989" s="6" t="str">
        <f>VLOOKUP(F2989,Customer,5,0)</f>
        <v>Melton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3468</v>
      </c>
      <c r="O2989" s="2">
        <v>29</v>
      </c>
      <c r="P2989" s="8">
        <f t="shared" si="232"/>
        <v>3497</v>
      </c>
      <c r="Q2989" s="8">
        <f t="shared" si="233"/>
        <v>64</v>
      </c>
      <c r="R2989" s="2" t="s">
        <v>26</v>
      </c>
      <c r="S2989" s="24">
        <f t="shared" si="234"/>
        <v>0.02</v>
      </c>
    </row>
    <row r="2990" spans="1:19" x14ac:dyDescent="0.25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>VLOOKUP(F2990,'Customer Info'!$A:$B,2,0)</f>
        <v>Jennifer</v>
      </c>
      <c r="H2990" s="6" t="str">
        <f>VLOOKUP(F2990,'Customer Info'!$A$1:$C$501,3,0)</f>
        <v>Jackson</v>
      </c>
      <c r="I2990" s="6" t="str">
        <f>VLOOKUP(F2990,Customer,5,0)</f>
        <v>Queanbeyan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120638</v>
      </c>
      <c r="O2990" s="2">
        <v>35</v>
      </c>
      <c r="P2990" s="8">
        <f t="shared" si="232"/>
        <v>120673</v>
      </c>
      <c r="Q2990" s="8">
        <f t="shared" si="233"/>
        <v>10038</v>
      </c>
      <c r="R2990" s="2" t="s">
        <v>50</v>
      </c>
      <c r="S2990" s="24">
        <f t="shared" si="234"/>
        <v>0.12</v>
      </c>
    </row>
    <row r="2991" spans="1:19" x14ac:dyDescent="0.25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>VLOOKUP(F2991,'Customer Info'!$A:$B,2,0)</f>
        <v>Anthony</v>
      </c>
      <c r="H2991" s="6" t="str">
        <f>VLOOKUP(F2991,'Customer Info'!$A$1:$C$501,3,0)</f>
        <v>Garverick</v>
      </c>
      <c r="I2991" s="6" t="str">
        <f>VLOOKUP(F2991,Customer,5,0)</f>
        <v>Delhi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1965</v>
      </c>
      <c r="O2991" s="2">
        <v>90</v>
      </c>
      <c r="P2991" s="8">
        <f t="shared" si="232"/>
        <v>2055</v>
      </c>
      <c r="Q2991" s="8">
        <f t="shared" si="233"/>
        <v>95</v>
      </c>
      <c r="R2991" s="2" t="s">
        <v>28</v>
      </c>
      <c r="S2991" s="24">
        <f t="shared" si="234"/>
        <v>0.02</v>
      </c>
    </row>
    <row r="2992" spans="1:19" x14ac:dyDescent="0.25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>VLOOKUP(F2992,'Customer Info'!$A:$B,2,0)</f>
        <v>Bill</v>
      </c>
      <c r="H2992" s="6" t="str">
        <f>VLOOKUP(F2992,'Customer Info'!$A$1:$C$501,3,0)</f>
        <v>Shonely</v>
      </c>
      <c r="I2992" s="6" t="str">
        <f>VLOOKUP(F2992,Customer,5,0)</f>
        <v>Jinjiang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7932</v>
      </c>
      <c r="O2992" s="2">
        <v>29</v>
      </c>
      <c r="P2992" s="8">
        <f t="shared" si="232"/>
        <v>7961</v>
      </c>
      <c r="Q2992" s="8">
        <f t="shared" si="233"/>
        <v>657</v>
      </c>
      <c r="R2992" s="2" t="s">
        <v>50</v>
      </c>
      <c r="S2992" s="24">
        <f t="shared" si="234"/>
        <v>0.05</v>
      </c>
    </row>
    <row r="2993" spans="1:19" x14ac:dyDescent="0.25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>VLOOKUP(F2993,'Customer Info'!$A:$B,2,0)</f>
        <v>Peter</v>
      </c>
      <c r="H2993" s="6" t="str">
        <f>VLOOKUP(F2993,'Customer Info'!$A$1:$C$501,3,0)</f>
        <v>McVee</v>
      </c>
      <c r="I2993" s="6" t="str">
        <f>VLOOKUP(F2993,Customer,5,0)</f>
        <v>Hamburg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2612</v>
      </c>
      <c r="O2993" s="2">
        <v>55</v>
      </c>
      <c r="P2993" s="8">
        <f t="shared" si="232"/>
        <v>2667</v>
      </c>
      <c r="Q2993" s="8">
        <f t="shared" si="233"/>
        <v>218</v>
      </c>
      <c r="R2993" s="2" t="s">
        <v>28</v>
      </c>
      <c r="S2993" s="24">
        <f t="shared" si="234"/>
        <v>0.02</v>
      </c>
    </row>
    <row r="2994" spans="1:19" x14ac:dyDescent="0.25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>VLOOKUP(F2994,'Customer Info'!$A:$B,2,0)</f>
        <v>Stefanie</v>
      </c>
      <c r="H2994" s="6" t="str">
        <f>VLOOKUP(F2994,'Customer Info'!$A$1:$C$501,3,0)</f>
        <v>Holloman</v>
      </c>
      <c r="I2994" s="6" t="str">
        <f>VLOOKUP(F2994,Customer,5,0)</f>
        <v>Geraldton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6747</v>
      </c>
      <c r="O2994" s="2">
        <v>88</v>
      </c>
      <c r="P2994" s="8">
        <f t="shared" si="232"/>
        <v>6835</v>
      </c>
      <c r="Q2994" s="8">
        <f t="shared" si="233"/>
        <v>441</v>
      </c>
      <c r="R2994" s="2" t="s">
        <v>28</v>
      </c>
      <c r="S2994" s="24">
        <f t="shared" si="234"/>
        <v>0.05</v>
      </c>
    </row>
    <row r="2995" spans="1:19" x14ac:dyDescent="0.25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>VLOOKUP(F2995,'Customer Info'!$A:$B,2,0)</f>
        <v>Rachel</v>
      </c>
      <c r="H2995" s="6" t="str">
        <f>VLOOKUP(F2995,'Customer Info'!$A$1:$C$501,3,0)</f>
        <v>Payne</v>
      </c>
      <c r="I2995" s="6" t="str">
        <f>VLOOKUP(F2995,Customer,5,0)</f>
        <v>Caloundra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5906</v>
      </c>
      <c r="O2995" s="2">
        <v>61</v>
      </c>
      <c r="P2995" s="8">
        <f t="shared" si="232"/>
        <v>5967</v>
      </c>
      <c r="Q2995" s="8">
        <f t="shared" si="233"/>
        <v>640</v>
      </c>
      <c r="R2995" s="2" t="s">
        <v>28</v>
      </c>
      <c r="S2995" s="24">
        <f t="shared" si="234"/>
        <v>0.05</v>
      </c>
    </row>
    <row r="2996" spans="1:19" x14ac:dyDescent="0.25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>VLOOKUP(F2996,'Customer Info'!$A:$B,2,0)</f>
        <v>Jonathan</v>
      </c>
      <c r="H2996" s="6" t="str">
        <f>VLOOKUP(F2996,'Customer Info'!$A$1:$C$501,3,0)</f>
        <v>Howell</v>
      </c>
      <c r="I2996" s="6" t="str">
        <f>VLOOKUP(F2996,Customer,5,0)</f>
        <v>Guangshui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237</v>
      </c>
      <c r="O2996" s="2">
        <v>10</v>
      </c>
      <c r="P2996" s="8">
        <f t="shared" si="232"/>
        <v>247</v>
      </c>
      <c r="Q2996" s="8">
        <f t="shared" si="233"/>
        <v>12</v>
      </c>
      <c r="R2996" s="2" t="s">
        <v>28</v>
      </c>
      <c r="S2996" s="24">
        <f t="shared" si="234"/>
        <v>0.02</v>
      </c>
    </row>
    <row r="2997" spans="1:19" x14ac:dyDescent="0.25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>VLOOKUP(F2997,'Customer Info'!$A:$B,2,0)</f>
        <v>Bill</v>
      </c>
      <c r="H2997" s="6" t="str">
        <f>VLOOKUP(F2997,'Customer Info'!$A$1:$C$501,3,0)</f>
        <v>Eplett</v>
      </c>
      <c r="I2997" s="6" t="str">
        <f>VLOOKUP(F2997,Customer,5,0)</f>
        <v>Newcastle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5658</v>
      </c>
      <c r="O2997" s="2">
        <v>48</v>
      </c>
      <c r="P2997" s="8">
        <f t="shared" si="232"/>
        <v>5706</v>
      </c>
      <c r="Q2997" s="8">
        <f t="shared" si="233"/>
        <v>466</v>
      </c>
      <c r="R2997" s="2" t="s">
        <v>28</v>
      </c>
      <c r="S2997" s="24">
        <f t="shared" si="234"/>
        <v>0.05</v>
      </c>
    </row>
    <row r="2998" spans="1:19" x14ac:dyDescent="0.25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>VLOOKUP(F2998,'Customer Info'!$A:$B,2,0)</f>
        <v>Claire</v>
      </c>
      <c r="H2998" s="6" t="str">
        <f>VLOOKUP(F2998,'Customer Info'!$A$1:$C$501,3,0)</f>
        <v>Gute</v>
      </c>
      <c r="I2998" s="6" t="str">
        <f>VLOOKUP(F2998,Customer,5,0)</f>
        <v>Shenzhen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302</v>
      </c>
      <c r="O2998" s="2">
        <v>30</v>
      </c>
      <c r="P2998" s="8">
        <f t="shared" si="232"/>
        <v>332</v>
      </c>
      <c r="Q2998" s="8">
        <f t="shared" si="233"/>
        <v>24</v>
      </c>
      <c r="R2998" s="2" t="s">
        <v>50</v>
      </c>
      <c r="S2998" s="24">
        <f t="shared" si="234"/>
        <v>0.02</v>
      </c>
    </row>
    <row r="2999" spans="1:19" x14ac:dyDescent="0.25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>VLOOKUP(F2999,'Customer Info'!$A:$B,2,0)</f>
        <v>Cari</v>
      </c>
      <c r="H2999" s="6" t="str">
        <f>VLOOKUP(F2999,'Customer Info'!$A$1:$C$501,3,0)</f>
        <v>Schnelling</v>
      </c>
      <c r="I2999" s="6" t="str">
        <f>VLOOKUP(F2999,Customer,5,0)</f>
        <v>Agra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49122</v>
      </c>
      <c r="O2999" s="2">
        <v>57</v>
      </c>
      <c r="P2999" s="8">
        <f t="shared" si="232"/>
        <v>49179</v>
      </c>
      <c r="Q2999" s="8">
        <f t="shared" si="233"/>
        <v>2328</v>
      </c>
      <c r="R2999" s="2" t="s">
        <v>28</v>
      </c>
      <c r="S2999" s="24">
        <f t="shared" si="234"/>
        <v>7.0000000000000007E-2</v>
      </c>
    </row>
    <row r="3000" spans="1:19" x14ac:dyDescent="0.25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>VLOOKUP(F3000,'Customer Info'!$A:$B,2,0)</f>
        <v>Rob</v>
      </c>
      <c r="H3000" s="6" t="str">
        <f>VLOOKUP(F3000,'Customer Info'!$A$1:$C$501,3,0)</f>
        <v>Williams</v>
      </c>
      <c r="I3000" s="6" t="str">
        <f>VLOOKUP(F3000,Customer,5,0)</f>
        <v>Wodonga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5920</v>
      </c>
      <c r="O3000" s="2">
        <v>86</v>
      </c>
      <c r="P3000" s="8">
        <f t="shared" si="232"/>
        <v>6006</v>
      </c>
      <c r="Q3000" s="8">
        <f t="shared" si="233"/>
        <v>650</v>
      </c>
      <c r="R3000" s="2" t="s">
        <v>28</v>
      </c>
      <c r="S3000" s="24">
        <f t="shared" si="234"/>
        <v>0.05</v>
      </c>
    </row>
    <row r="3001" spans="1:19" x14ac:dyDescent="0.25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>VLOOKUP(F3001,'Customer Info'!$A:$B,2,0)</f>
        <v>Jessica</v>
      </c>
      <c r="H3001" s="6" t="str">
        <f>VLOOKUP(F3001,'Customer Info'!$A$1:$C$501,3,0)</f>
        <v>Myrick</v>
      </c>
      <c r="I3001" s="6" t="str">
        <f>VLOOKUP(F3001,Customer,5,0)</f>
        <v>Krefeld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4974</v>
      </c>
      <c r="O3001" s="2">
        <v>67</v>
      </c>
      <c r="P3001" s="8">
        <f t="shared" si="232"/>
        <v>5041</v>
      </c>
      <c r="Q3001" s="8">
        <f t="shared" si="233"/>
        <v>408</v>
      </c>
      <c r="R3001" s="2" t="s">
        <v>26</v>
      </c>
      <c r="S3001" s="24">
        <f t="shared" si="234"/>
        <v>0.02</v>
      </c>
    </row>
    <row r="3002" spans="1:19" x14ac:dyDescent="0.25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>VLOOKUP(F3002,'Customer Info'!$A:$B,2,0)</f>
        <v>Monica</v>
      </c>
      <c r="H3002" s="6" t="str">
        <f>VLOOKUP(F3002,'Customer Info'!$A$1:$C$501,3,0)</f>
        <v>Federle</v>
      </c>
      <c r="I3002" s="6" t="str">
        <f>VLOOKUP(F3002,Customer,5,0)</f>
        <v>Lismore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11825</v>
      </c>
      <c r="O3002" s="2">
        <v>78</v>
      </c>
      <c r="P3002" s="8">
        <f t="shared" si="232"/>
        <v>11903</v>
      </c>
      <c r="Q3002" s="8">
        <f t="shared" si="233"/>
        <v>665</v>
      </c>
      <c r="R3002" s="2" t="s">
        <v>50</v>
      </c>
      <c r="S3002" s="24">
        <f t="shared" si="234"/>
        <v>0.05</v>
      </c>
    </row>
    <row r="3003" spans="1:19" x14ac:dyDescent="0.25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>VLOOKUP(F3003,'Customer Info'!$A:$B,2,0)</f>
        <v>Rick</v>
      </c>
      <c r="H3003" s="6" t="str">
        <f>VLOOKUP(F3003,'Customer Info'!$A$1:$C$501,3,0)</f>
        <v>Duston</v>
      </c>
      <c r="I3003" s="6" t="str">
        <f>VLOOKUP(F3003,Customer,5,0)</f>
        <v>Surakarta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3309</v>
      </c>
      <c r="O3003" s="2">
        <v>69</v>
      </c>
      <c r="P3003" s="8">
        <f t="shared" si="232"/>
        <v>3378</v>
      </c>
      <c r="Q3003" s="8">
        <f t="shared" si="233"/>
        <v>219</v>
      </c>
      <c r="R3003" s="2" t="s">
        <v>28</v>
      </c>
      <c r="S3003" s="24">
        <f t="shared" si="234"/>
        <v>0.02</v>
      </c>
    </row>
    <row r="3004" spans="1:19" x14ac:dyDescent="0.25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>VLOOKUP(F3004,'Customer Info'!$A:$B,2,0)</f>
        <v>Barry</v>
      </c>
      <c r="H3004" s="6" t="str">
        <f>VLOOKUP(F3004,'Customer Info'!$A$1:$C$501,3,0)</f>
        <v>Blumstein</v>
      </c>
      <c r="I3004" s="6" t="str">
        <f>VLOOKUP(F3004,Customer,5,0)</f>
        <v>Gold Coast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4906</v>
      </c>
      <c r="O3004" s="2">
        <v>35</v>
      </c>
      <c r="P3004" s="8">
        <f t="shared" si="232"/>
        <v>4941</v>
      </c>
      <c r="Q3004" s="8">
        <f t="shared" si="233"/>
        <v>234</v>
      </c>
      <c r="R3004" s="2" t="s">
        <v>28</v>
      </c>
      <c r="S3004" s="24">
        <f t="shared" si="234"/>
        <v>0.02</v>
      </c>
    </row>
    <row r="3005" spans="1:19" x14ac:dyDescent="0.25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>VLOOKUP(F3005,'Customer Info'!$A:$B,2,0)</f>
        <v>Dennis</v>
      </c>
      <c r="H3005" s="6" t="str">
        <f>VLOOKUP(F3005,'Customer Info'!$A$1:$C$501,3,0)</f>
        <v>Pardue</v>
      </c>
      <c r="I3005" s="6" t="str">
        <f>VLOOKUP(F3005,Customer,5,0)</f>
        <v>Townsville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10740</v>
      </c>
      <c r="O3005" s="2">
        <v>20</v>
      </c>
      <c r="P3005" s="8">
        <f t="shared" si="232"/>
        <v>10760</v>
      </c>
      <c r="Q3005" s="8">
        <f t="shared" si="233"/>
        <v>504</v>
      </c>
      <c r="R3005" s="2" t="s">
        <v>50</v>
      </c>
      <c r="S3005" s="24">
        <f t="shared" si="234"/>
        <v>0.05</v>
      </c>
    </row>
    <row r="3006" spans="1:19" x14ac:dyDescent="0.25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>VLOOKUP(F3006,'Customer Info'!$A:$B,2,0)</f>
        <v>Sam</v>
      </c>
      <c r="H3006" s="6" t="str">
        <f>VLOOKUP(F3006,'Customer Info'!$A$1:$C$501,3,0)</f>
        <v>Craven</v>
      </c>
      <c r="I3006" s="6" t="str">
        <f>VLOOKUP(F3006,Customer,5,0)</f>
        <v>Hyderabad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37370</v>
      </c>
      <c r="O3006" s="2">
        <v>21</v>
      </c>
      <c r="P3006" s="8">
        <f t="shared" si="232"/>
        <v>37391</v>
      </c>
      <c r="Q3006" s="8">
        <f t="shared" si="233"/>
        <v>3080</v>
      </c>
      <c r="R3006" s="2" t="s">
        <v>28</v>
      </c>
      <c r="S3006" s="24">
        <f t="shared" si="234"/>
        <v>7.0000000000000007E-2</v>
      </c>
    </row>
    <row r="3007" spans="1:19" x14ac:dyDescent="0.25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>VLOOKUP(F3007,'Customer Info'!$A:$B,2,0)</f>
        <v>Andy</v>
      </c>
      <c r="H3007" s="6" t="str">
        <f>VLOOKUP(F3007,'Customer Info'!$A$1:$C$501,3,0)</f>
        <v>Yotov</v>
      </c>
      <c r="I3007" s="6" t="str">
        <f>VLOOKUP(F3007,Customer,5,0)</f>
        <v>Samarinda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33596</v>
      </c>
      <c r="O3007" s="2">
        <v>36</v>
      </c>
      <c r="P3007" s="8">
        <f t="shared" si="232"/>
        <v>33632</v>
      </c>
      <c r="Q3007" s="8">
        <f t="shared" si="233"/>
        <v>1592</v>
      </c>
      <c r="R3007" s="2" t="s">
        <v>28</v>
      </c>
      <c r="S3007" s="24">
        <f t="shared" si="234"/>
        <v>7.0000000000000007E-2</v>
      </c>
    </row>
    <row r="3008" spans="1:19" x14ac:dyDescent="0.25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>VLOOKUP(F3008,'Customer Info'!$A:$B,2,0)</f>
        <v>Lindsay</v>
      </c>
      <c r="H3008" s="6" t="str">
        <f>VLOOKUP(F3008,'Customer Info'!$A$1:$C$501,3,0)</f>
        <v>Shagiari</v>
      </c>
      <c r="I3008" s="6" t="str">
        <f>VLOOKUP(F3008,Customer,5,0)</f>
        <v>Canberra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10440</v>
      </c>
      <c r="O3008" s="2">
        <v>78</v>
      </c>
      <c r="P3008" s="8">
        <f t="shared" si="232"/>
        <v>10518</v>
      </c>
      <c r="Q3008" s="8">
        <f t="shared" si="233"/>
        <v>590</v>
      </c>
      <c r="R3008" s="2" t="s">
        <v>50</v>
      </c>
      <c r="S3008" s="24">
        <f t="shared" si="234"/>
        <v>0.05</v>
      </c>
    </row>
    <row r="3009" spans="1:19" x14ac:dyDescent="0.25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>VLOOKUP(F3009,'Customer Info'!$A:$B,2,0)</f>
        <v>Steven</v>
      </c>
      <c r="H3009" s="6" t="str">
        <f>VLOOKUP(F3009,'Customer Info'!$A$1:$C$501,3,0)</f>
        <v>Cartwright</v>
      </c>
      <c r="I3009" s="6" t="str">
        <f>VLOOKUP(F3009,Customer,5,0)</f>
        <v>Newcastle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164</v>
      </c>
      <c r="O3009" s="2">
        <v>10</v>
      </c>
      <c r="P3009" s="8">
        <f t="shared" si="232"/>
        <v>174</v>
      </c>
      <c r="Q3009" s="8">
        <f t="shared" si="233"/>
        <v>6</v>
      </c>
      <c r="R3009" s="2" t="s">
        <v>28</v>
      </c>
      <c r="S3009" s="24">
        <f t="shared" si="234"/>
        <v>0.02</v>
      </c>
    </row>
    <row r="3010" spans="1:19" x14ac:dyDescent="0.25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>VLOOKUP(F3010,'Customer Info'!$A:$B,2,0)</f>
        <v>Brad</v>
      </c>
      <c r="H3010" s="6" t="str">
        <f>VLOOKUP(F3010,'Customer Info'!$A$1:$C$501,3,0)</f>
        <v>Eason</v>
      </c>
      <c r="I3010" s="6" t="str">
        <f>VLOOKUP(F3010,Customer,5,0)</f>
        <v>Bogor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44390</v>
      </c>
      <c r="O3010" s="2">
        <v>60</v>
      </c>
      <c r="P3010" s="8">
        <f t="shared" si="232"/>
        <v>44450</v>
      </c>
      <c r="Q3010" s="8">
        <f t="shared" si="233"/>
        <v>4820</v>
      </c>
      <c r="R3010" s="2" t="s">
        <v>28</v>
      </c>
      <c r="S3010" s="24">
        <f t="shared" si="234"/>
        <v>7.0000000000000007E-2</v>
      </c>
    </row>
    <row r="3011" spans="1:19" x14ac:dyDescent="0.25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>VLOOKUP(F3011,'Customer Info'!$A:$B,2,0)</f>
        <v>Shahid</v>
      </c>
      <c r="H3011" s="6" t="str">
        <f>VLOOKUP(F3011,'Customer Info'!$A$1:$C$501,3,0)</f>
        <v>Collister</v>
      </c>
      <c r="I3011" s="6" t="str">
        <f>VLOOKUP(F3011,Customer,5,0)</f>
        <v>Solapur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420</v>
      </c>
      <c r="O3011" s="2">
        <v>30</v>
      </c>
      <c r="P3011" s="8">
        <f t="shared" si="232"/>
        <v>450</v>
      </c>
      <c r="Q3011" s="8">
        <f t="shared" si="233"/>
        <v>9</v>
      </c>
      <c r="R3011" s="2" t="s">
        <v>26</v>
      </c>
      <c r="S3011" s="24">
        <f t="shared" si="234"/>
        <v>0.02</v>
      </c>
    </row>
    <row r="3012" spans="1:19" x14ac:dyDescent="0.25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>VLOOKUP(F3012,'Customer Info'!$A:$B,2,0)</f>
        <v>Alan</v>
      </c>
      <c r="H3012" s="6" t="str">
        <f>VLOOKUP(F3012,'Customer Info'!$A$1:$C$501,3,0)</f>
        <v>Schoenberger</v>
      </c>
      <c r="I3012" s="6" t="str">
        <f>VLOOKUP(F3012,Customer,5,0)</f>
        <v>Anshan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9408</v>
      </c>
      <c r="O3012" s="2">
        <v>43</v>
      </c>
      <c r="P3012" s="8">
        <f t="shared" si="232"/>
        <v>9451</v>
      </c>
      <c r="Q3012" s="8">
        <f t="shared" si="233"/>
        <v>686</v>
      </c>
      <c r="R3012" s="2" t="s">
        <v>28</v>
      </c>
      <c r="S3012" s="24">
        <f t="shared" si="234"/>
        <v>0.05</v>
      </c>
    </row>
    <row r="3013" spans="1:19" x14ac:dyDescent="0.25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>VLOOKUP(F3013,'Customer Info'!$A:$B,2,0)</f>
        <v>Anthony</v>
      </c>
      <c r="H3013" s="6" t="str">
        <f>VLOOKUP(F3013,'Customer Info'!$A$1:$C$501,3,0)</f>
        <v>O'Donnell</v>
      </c>
      <c r="I3013" s="6" t="str">
        <f>VLOOKUP(F3013,Customer,5,0)</f>
        <v>Berlin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4755</v>
      </c>
      <c r="O3013" s="2">
        <v>39</v>
      </c>
      <c r="P3013" s="8">
        <f t="shared" si="232"/>
        <v>4794</v>
      </c>
      <c r="Q3013" s="8">
        <f t="shared" si="233"/>
        <v>270</v>
      </c>
      <c r="R3013" s="2" t="s">
        <v>50</v>
      </c>
      <c r="S3013" s="24">
        <f t="shared" si="234"/>
        <v>0.02</v>
      </c>
    </row>
    <row r="3014" spans="1:19" x14ac:dyDescent="0.25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>VLOOKUP(F3014,'Customer Info'!$A:$B,2,0)</f>
        <v>Erica</v>
      </c>
      <c r="H3014" s="6" t="str">
        <f>VLOOKUP(F3014,'Customer Info'!$A$1:$C$501,3,0)</f>
        <v>Hackney</v>
      </c>
      <c r="I3014" s="6" t="str">
        <f>VLOOKUP(F3014,Customer,5,0)</f>
        <v>Adelaide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5432</v>
      </c>
      <c r="O3014" s="2">
        <v>26</v>
      </c>
      <c r="P3014" s="8">
        <f t="shared" si="232"/>
        <v>5458</v>
      </c>
      <c r="Q3014" s="8">
        <f t="shared" si="233"/>
        <v>404</v>
      </c>
      <c r="R3014" s="2" t="s">
        <v>50</v>
      </c>
      <c r="S3014" s="24">
        <f t="shared" si="234"/>
        <v>0.05</v>
      </c>
    </row>
    <row r="3015" spans="1:19" x14ac:dyDescent="0.25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>VLOOKUP(F3015,'Customer Info'!$A:$B,2,0)</f>
        <v>Dennis</v>
      </c>
      <c r="H3015" s="6" t="str">
        <f>VLOOKUP(F3015,'Customer Info'!$A$1:$C$501,3,0)</f>
        <v>Pardue</v>
      </c>
      <c r="I3015" s="6" t="str">
        <f>VLOOKUP(F3015,Customer,5,0)</f>
        <v>Townsville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23766</v>
      </c>
      <c r="O3015" s="2">
        <v>69</v>
      </c>
      <c r="P3015" s="8">
        <f t="shared" si="232"/>
        <v>23835</v>
      </c>
      <c r="Q3015" s="8">
        <f t="shared" si="233"/>
        <v>1782</v>
      </c>
      <c r="R3015" s="2" t="s">
        <v>28</v>
      </c>
      <c r="S3015" s="24">
        <f t="shared" si="234"/>
        <v>0.05</v>
      </c>
    </row>
    <row r="3016" spans="1:19" x14ac:dyDescent="0.25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>VLOOKUP(F3016,'Customer Info'!$A:$B,2,0)</f>
        <v>Kean</v>
      </c>
      <c r="H3016" s="6" t="str">
        <f>VLOOKUP(F3016,'Customer Info'!$A$1:$C$501,3,0)</f>
        <v>Thornton</v>
      </c>
      <c r="I3016" s="6" t="str">
        <f>VLOOKUP(F3016,Customer,5,0)</f>
        <v>Brisbane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13152</v>
      </c>
      <c r="O3016" s="2">
        <v>54</v>
      </c>
      <c r="P3016" s="8">
        <f t="shared" si="232"/>
        <v>13206</v>
      </c>
      <c r="Q3016" s="8">
        <f t="shared" si="233"/>
        <v>988</v>
      </c>
      <c r="R3016" s="2" t="s">
        <v>50</v>
      </c>
      <c r="S3016" s="24">
        <f t="shared" si="234"/>
        <v>0.05</v>
      </c>
    </row>
    <row r="3017" spans="1:19" x14ac:dyDescent="0.25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>VLOOKUP(F3017,'Customer Info'!$A:$B,2,0)</f>
        <v>Jessica</v>
      </c>
      <c r="H3017" s="6" t="str">
        <f>VLOOKUP(F3017,'Customer Info'!$A$1:$C$501,3,0)</f>
        <v>Myrick</v>
      </c>
      <c r="I3017" s="6" t="str">
        <f>VLOOKUP(F3017,Customer,5,0)</f>
        <v>Krefeld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1281</v>
      </c>
      <c r="O3017" s="2">
        <v>30</v>
      </c>
      <c r="P3017" s="8">
        <f t="shared" si="232"/>
        <v>1311</v>
      </c>
      <c r="Q3017" s="8">
        <f t="shared" si="233"/>
        <v>105</v>
      </c>
      <c r="R3017" s="2" t="s">
        <v>28</v>
      </c>
      <c r="S3017" s="24">
        <f t="shared" si="234"/>
        <v>0.02</v>
      </c>
    </row>
    <row r="3018" spans="1:19" x14ac:dyDescent="0.25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>VLOOKUP(F3018,'Customer Info'!$A:$B,2,0)</f>
        <v>Roland</v>
      </c>
      <c r="H3018" s="6" t="str">
        <f>VLOOKUP(F3018,'Customer Info'!$A$1:$C$501,3,0)</f>
        <v>Murray</v>
      </c>
      <c r="I3018" s="6" t="str">
        <f>VLOOKUP(F3018,Customer,5,0)</f>
        <v>Frankfurt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10308</v>
      </c>
      <c r="O3018" s="2">
        <v>32</v>
      </c>
      <c r="P3018" s="8">
        <f t="shared" si="232"/>
        <v>10340</v>
      </c>
      <c r="Q3018" s="8">
        <f t="shared" si="233"/>
        <v>1038</v>
      </c>
      <c r="R3018" s="2" t="s">
        <v>28</v>
      </c>
      <c r="S3018" s="24">
        <f t="shared" si="234"/>
        <v>0.05</v>
      </c>
    </row>
    <row r="3019" spans="1:19" x14ac:dyDescent="0.25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>VLOOKUP(F3019,'Customer Info'!$A:$B,2,0)</f>
        <v>Stuart</v>
      </c>
      <c r="H3019" s="6" t="str">
        <f>VLOOKUP(F3019,'Customer Info'!$A$1:$C$501,3,0)</f>
        <v>Calhoun</v>
      </c>
      <c r="I3019" s="6" t="str">
        <f>VLOOKUP(F3019,Customer,5,0)</f>
        <v>Bochum</v>
      </c>
      <c r="J3019" s="2">
        <v>1545</v>
      </c>
      <c r="K3019" s="2">
        <v>1486</v>
      </c>
      <c r="L3019" s="2">
        <v>2</v>
      </c>
      <c r="M3019" s="7">
        <f t="shared" ref="M3019:M3082" si="235">K3019*L3019</f>
        <v>2972</v>
      </c>
      <c r="N3019" s="7">
        <f t="shared" ref="N3019:N3082" si="236">J3019*L3019</f>
        <v>3090</v>
      </c>
      <c r="O3019" s="2">
        <v>92</v>
      </c>
      <c r="P3019" s="8">
        <f t="shared" ref="P3019:P3082" si="237">N3019+O3019</f>
        <v>3182</v>
      </c>
      <c r="Q3019" s="8">
        <f t="shared" ref="Q3019:Q3082" si="238">N3019-M3019</f>
        <v>118</v>
      </c>
      <c r="R3019" s="2" t="s">
        <v>26</v>
      </c>
      <c r="S3019" s="24">
        <f t="shared" ref="S3019:S3082" si="239">VLOOKUP(N3019,$T$1:$U$7,2,TRUE)</f>
        <v>0.02</v>
      </c>
    </row>
    <row r="3020" spans="1:19" x14ac:dyDescent="0.25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>VLOOKUP(F3020,'Customer Info'!$A:$B,2,0)</f>
        <v>Erin</v>
      </c>
      <c r="H3020" s="6" t="str">
        <f>VLOOKUP(F3020,'Customer Info'!$A$1:$C$501,3,0)</f>
        <v>Smith</v>
      </c>
      <c r="I3020" s="6" t="str">
        <f>VLOOKUP(F3020,Customer,5,0)</f>
        <v>Yuci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8">
        <f t="shared" si="237"/>
        <v>1755</v>
      </c>
      <c r="Q3020" s="8">
        <f t="shared" si="238"/>
        <v>32</v>
      </c>
      <c r="R3020" s="2" t="s">
        <v>28</v>
      </c>
      <c r="S3020" s="24">
        <f t="shared" si="239"/>
        <v>0.02</v>
      </c>
    </row>
    <row r="3021" spans="1:19" x14ac:dyDescent="0.25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>VLOOKUP(F3021,'Customer Info'!$A:$B,2,0)</f>
        <v>Laurel</v>
      </c>
      <c r="H3021" s="6" t="str">
        <f>VLOOKUP(F3021,'Customer Info'!$A$1:$C$501,3,0)</f>
        <v>Beltran</v>
      </c>
      <c r="I3021" s="6" t="str">
        <f>VLOOKUP(F3021,Customer,5,0)</f>
        <v>Bonn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8">
        <f t="shared" si="237"/>
        <v>3270</v>
      </c>
      <c r="Q3021" s="8">
        <f t="shared" si="238"/>
        <v>182</v>
      </c>
      <c r="R3021" s="2" t="s">
        <v>28</v>
      </c>
      <c r="S3021" s="24">
        <f t="shared" si="239"/>
        <v>0.02</v>
      </c>
    </row>
    <row r="3022" spans="1:19" x14ac:dyDescent="0.25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>VLOOKUP(F3022,'Customer Info'!$A:$B,2,0)</f>
        <v>Lisa</v>
      </c>
      <c r="H3022" s="6" t="str">
        <f>VLOOKUP(F3022,'Customer Info'!$A$1:$C$501,3,0)</f>
        <v>DeCherney</v>
      </c>
      <c r="I3022" s="6" t="str">
        <f>VLOOKUP(F3022,Customer,5,0)</f>
        <v>Ningbo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8">
        <f t="shared" si="237"/>
        <v>5658</v>
      </c>
      <c r="Q3022" s="8">
        <f t="shared" si="238"/>
        <v>264</v>
      </c>
      <c r="R3022" s="2" t="s">
        <v>28</v>
      </c>
      <c r="S3022" s="24">
        <f t="shared" si="239"/>
        <v>0.05</v>
      </c>
    </row>
    <row r="3023" spans="1:19" x14ac:dyDescent="0.25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>VLOOKUP(F3023,'Customer Info'!$A:$B,2,0)</f>
        <v>Sally</v>
      </c>
      <c r="H3023" s="6" t="str">
        <f>VLOOKUP(F3023,'Customer Info'!$A$1:$C$501,3,0)</f>
        <v>Hughsby</v>
      </c>
      <c r="I3023" s="6" t="str">
        <f>VLOOKUP(F3023,Customer,5,0)</f>
        <v>Depok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8">
        <f t="shared" si="237"/>
        <v>50879</v>
      </c>
      <c r="Q3023" s="8">
        <f t="shared" si="238"/>
        <v>4680</v>
      </c>
      <c r="R3023" s="2" t="s">
        <v>50</v>
      </c>
      <c r="S3023" s="24">
        <f t="shared" si="239"/>
        <v>0.09</v>
      </c>
    </row>
    <row r="3024" spans="1:19" x14ac:dyDescent="0.25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>VLOOKUP(F3024,'Customer Info'!$A:$B,2,0)</f>
        <v>Giulietta</v>
      </c>
      <c r="H3024" s="6" t="str">
        <f>VLOOKUP(F3024,'Customer Info'!$A$1:$C$501,3,0)</f>
        <v>Weimer</v>
      </c>
      <c r="I3024" s="6" t="str">
        <f>VLOOKUP(F3024,Customer,5,0)</f>
        <v>Suihua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4906</v>
      </c>
      <c r="O3024" s="2">
        <v>61</v>
      </c>
      <c r="P3024" s="8">
        <f t="shared" si="237"/>
        <v>4967</v>
      </c>
      <c r="Q3024" s="8">
        <f t="shared" si="238"/>
        <v>234</v>
      </c>
      <c r="R3024" s="2" t="s">
        <v>28</v>
      </c>
      <c r="S3024" s="24">
        <f t="shared" si="239"/>
        <v>0.02</v>
      </c>
    </row>
    <row r="3025" spans="1:19" x14ac:dyDescent="0.25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>VLOOKUP(F3025,'Customer Info'!$A:$B,2,0)</f>
        <v>Rick</v>
      </c>
      <c r="H3025" s="6" t="str">
        <f>VLOOKUP(F3025,'Customer Info'!$A$1:$C$501,3,0)</f>
        <v>Reed</v>
      </c>
      <c r="I3025" s="6" t="str">
        <f>VLOOKUP(F3025,Customer,5,0)</f>
        <v>Lucknow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5538</v>
      </c>
      <c r="O3025" s="2">
        <v>49</v>
      </c>
      <c r="P3025" s="8">
        <f t="shared" si="237"/>
        <v>5587</v>
      </c>
      <c r="Q3025" s="8">
        <f t="shared" si="238"/>
        <v>264</v>
      </c>
      <c r="R3025" s="2" t="s">
        <v>50</v>
      </c>
      <c r="S3025" s="24">
        <f t="shared" si="239"/>
        <v>0.05</v>
      </c>
    </row>
    <row r="3026" spans="1:19" x14ac:dyDescent="0.25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>VLOOKUP(F3026,'Customer Info'!$A:$B,2,0)</f>
        <v>Maureen</v>
      </c>
      <c r="H3026" s="6" t="str">
        <f>VLOOKUP(F3026,'Customer Info'!$A$1:$C$501,3,0)</f>
        <v>Fritzler</v>
      </c>
      <c r="I3026" s="6" t="str">
        <f>VLOOKUP(F3026,Customer,5,0)</f>
        <v>BadenBaden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45654</v>
      </c>
      <c r="O3026" s="2">
        <v>47</v>
      </c>
      <c r="P3026" s="8">
        <f t="shared" si="237"/>
        <v>45701</v>
      </c>
      <c r="Q3026" s="8">
        <f t="shared" si="238"/>
        <v>2166</v>
      </c>
      <c r="R3026" s="2" t="s">
        <v>28</v>
      </c>
      <c r="S3026" s="24">
        <f t="shared" si="239"/>
        <v>7.0000000000000007E-2</v>
      </c>
    </row>
    <row r="3027" spans="1:19" x14ac:dyDescent="0.25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>VLOOKUP(F3027,'Customer Info'!$A:$B,2,0)</f>
        <v>Lynn</v>
      </c>
      <c r="H3027" s="6" t="str">
        <f>VLOOKUP(F3027,'Customer Info'!$A$1:$C$501,3,0)</f>
        <v>Smith</v>
      </c>
      <c r="I3027" s="6" t="str">
        <f>VLOOKUP(F3027,Customer,5,0)</f>
        <v>Guiping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328</v>
      </c>
      <c r="O3027" s="2">
        <v>30</v>
      </c>
      <c r="P3027" s="8">
        <f t="shared" si="237"/>
        <v>358</v>
      </c>
      <c r="Q3027" s="8">
        <f t="shared" si="238"/>
        <v>24</v>
      </c>
      <c r="R3027" s="2" t="s">
        <v>28</v>
      </c>
      <c r="S3027" s="24">
        <f t="shared" si="239"/>
        <v>0.02</v>
      </c>
    </row>
    <row r="3028" spans="1:19" x14ac:dyDescent="0.25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>VLOOKUP(F3028,'Customer Info'!$A:$B,2,0)</f>
        <v>Victoria</v>
      </c>
      <c r="H3028" s="6" t="str">
        <f>VLOOKUP(F3028,'Customer Info'!$A$1:$C$501,3,0)</f>
        <v>Wilson</v>
      </c>
      <c r="I3028" s="6" t="str">
        <f>VLOOKUP(F3028,Customer,5,0)</f>
        <v>Berlin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5080</v>
      </c>
      <c r="O3028" s="2">
        <v>92</v>
      </c>
      <c r="P3028" s="8">
        <f t="shared" si="237"/>
        <v>5172</v>
      </c>
      <c r="Q3028" s="8">
        <f t="shared" si="238"/>
        <v>286</v>
      </c>
      <c r="R3028" s="2" t="s">
        <v>56</v>
      </c>
      <c r="S3028" s="24">
        <f t="shared" si="239"/>
        <v>0.05</v>
      </c>
    </row>
    <row r="3029" spans="1:19" x14ac:dyDescent="0.25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>VLOOKUP(F3029,'Customer Info'!$A:$B,2,0)</f>
        <v>Carl</v>
      </c>
      <c r="H3029" s="6" t="str">
        <f>VLOOKUP(F3029,'Customer Info'!$A$1:$C$501,3,0)</f>
        <v>Weiss</v>
      </c>
      <c r="I3029" s="6" t="str">
        <f>VLOOKUP(F3029,Customer,5,0)</f>
        <v>Tianjin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87</v>
      </c>
      <c r="O3029" s="2">
        <v>10</v>
      </c>
      <c r="P3029" s="8">
        <f t="shared" si="237"/>
        <v>97</v>
      </c>
      <c r="Q3029" s="8">
        <f t="shared" si="238"/>
        <v>7</v>
      </c>
      <c r="R3029" s="2" t="s">
        <v>28</v>
      </c>
      <c r="S3029" s="24">
        <f t="shared" si="239"/>
        <v>0.02</v>
      </c>
    </row>
    <row r="3030" spans="1:19" x14ac:dyDescent="0.25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>VLOOKUP(F3030,'Customer Info'!$A:$B,2,0)</f>
        <v>Roland</v>
      </c>
      <c r="H3030" s="6" t="str">
        <f>VLOOKUP(F3030,'Customer Info'!$A$1:$C$501,3,0)</f>
        <v>Murray</v>
      </c>
      <c r="I3030" s="6" t="str">
        <f>VLOOKUP(F3030,Customer,5,0)</f>
        <v>Frankfurt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2602</v>
      </c>
      <c r="O3030" s="2">
        <v>64</v>
      </c>
      <c r="P3030" s="8">
        <f t="shared" si="237"/>
        <v>2666</v>
      </c>
      <c r="Q3030" s="8">
        <f t="shared" si="238"/>
        <v>239</v>
      </c>
      <c r="R3030" s="2" t="s">
        <v>50</v>
      </c>
      <c r="S3030" s="24">
        <f t="shared" si="239"/>
        <v>0.02</v>
      </c>
    </row>
    <row r="3031" spans="1:19" x14ac:dyDescent="0.25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>VLOOKUP(F3031,'Customer Info'!$A:$B,2,0)</f>
        <v>Justin</v>
      </c>
      <c r="H3031" s="6" t="str">
        <f>VLOOKUP(F3031,'Customer Info'!$A$1:$C$501,3,0)</f>
        <v>Hirsh</v>
      </c>
      <c r="I3031" s="6" t="str">
        <f>VLOOKUP(F3031,Customer,5,0)</f>
        <v>Surakarta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6548</v>
      </c>
      <c r="O3031" s="2">
        <v>63</v>
      </c>
      <c r="P3031" s="8">
        <f t="shared" si="237"/>
        <v>6611</v>
      </c>
      <c r="Q3031" s="8">
        <f t="shared" si="238"/>
        <v>184</v>
      </c>
      <c r="R3031" s="2" t="s">
        <v>56</v>
      </c>
      <c r="S3031" s="24">
        <f t="shared" si="239"/>
        <v>0.05</v>
      </c>
    </row>
    <row r="3032" spans="1:19" x14ac:dyDescent="0.25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>VLOOKUP(F3032,'Customer Info'!$A:$B,2,0)</f>
        <v>Deanra</v>
      </c>
      <c r="H3032" s="6" t="str">
        <f>VLOOKUP(F3032,'Customer Info'!$A$1:$C$501,3,0)</f>
        <v>Eno</v>
      </c>
      <c r="I3032" s="6" t="str">
        <f>VLOOKUP(F3032,Customer,5,0)</f>
        <v>Langen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63</v>
      </c>
      <c r="O3032" s="2">
        <v>10</v>
      </c>
      <c r="P3032" s="8">
        <f t="shared" si="237"/>
        <v>73</v>
      </c>
      <c r="Q3032" s="8">
        <f t="shared" si="238"/>
        <v>4</v>
      </c>
      <c r="R3032" s="2" t="s">
        <v>50</v>
      </c>
      <c r="S3032" s="24">
        <f t="shared" si="239"/>
        <v>0.02</v>
      </c>
    </row>
    <row r="3033" spans="1:19" x14ac:dyDescent="0.25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>VLOOKUP(F3033,'Customer Info'!$A:$B,2,0)</f>
        <v>Toby</v>
      </c>
      <c r="H3033" s="6" t="str">
        <f>VLOOKUP(F3033,'Customer Info'!$A$1:$C$501,3,0)</f>
        <v>Braunhardt</v>
      </c>
      <c r="I3033" s="6" t="str">
        <f>VLOOKUP(F3033,Customer,5,0)</f>
        <v>Jiangyan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27072</v>
      </c>
      <c r="O3033" s="2">
        <v>38</v>
      </c>
      <c r="P3033" s="8">
        <f t="shared" si="237"/>
        <v>27110</v>
      </c>
      <c r="Q3033" s="8">
        <f t="shared" si="238"/>
        <v>1024</v>
      </c>
      <c r="R3033" s="2" t="s">
        <v>26</v>
      </c>
      <c r="S3033" s="24">
        <f t="shared" si="239"/>
        <v>7.0000000000000007E-2</v>
      </c>
    </row>
    <row r="3034" spans="1:19" x14ac:dyDescent="0.25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>VLOOKUP(F3034,'Customer Info'!$A:$B,2,0)</f>
        <v>Ivan</v>
      </c>
      <c r="H3034" s="6" t="str">
        <f>VLOOKUP(F3034,'Customer Info'!$A$1:$C$501,3,0)</f>
        <v>Gibson</v>
      </c>
      <c r="I3034" s="6" t="str">
        <f>VLOOKUP(F3034,Customer,5,0)</f>
        <v>Perth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79029</v>
      </c>
      <c r="O3034" s="2">
        <v>39</v>
      </c>
      <c r="P3034" s="8">
        <f t="shared" si="237"/>
        <v>79068</v>
      </c>
      <c r="Q3034" s="8">
        <f t="shared" si="238"/>
        <v>8577</v>
      </c>
      <c r="R3034" s="2" t="s">
        <v>28</v>
      </c>
      <c r="S3034" s="24">
        <f t="shared" si="239"/>
        <v>0.09</v>
      </c>
    </row>
    <row r="3035" spans="1:19" x14ac:dyDescent="0.25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>VLOOKUP(F3035,'Customer Info'!$A:$B,2,0)</f>
        <v>Brad</v>
      </c>
      <c r="H3035" s="6" t="str">
        <f>VLOOKUP(F3035,'Customer Info'!$A$1:$C$501,3,0)</f>
        <v>Eason</v>
      </c>
      <c r="I3035" s="6" t="str">
        <f>VLOOKUP(F3035,Customer,5,0)</f>
        <v>Bogor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9768</v>
      </c>
      <c r="O3035" s="2">
        <v>64</v>
      </c>
      <c r="P3035" s="8">
        <f t="shared" si="237"/>
        <v>9832</v>
      </c>
      <c r="Q3035" s="8">
        <f t="shared" si="238"/>
        <v>636</v>
      </c>
      <c r="R3035" s="2" t="s">
        <v>56</v>
      </c>
      <c r="S3035" s="24">
        <f t="shared" si="239"/>
        <v>0.05</v>
      </c>
    </row>
    <row r="3036" spans="1:19" x14ac:dyDescent="0.25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>VLOOKUP(F3036,'Customer Info'!$A:$B,2,0)</f>
        <v>Jack</v>
      </c>
      <c r="H3036" s="6" t="str">
        <f>VLOOKUP(F3036,'Customer Info'!$A$1:$C$501,3,0)</f>
        <v>O'Briant</v>
      </c>
      <c r="I3036" s="6" t="str">
        <f>VLOOKUP(F3036,Customer,5,0)</f>
        <v>Jammu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73818</v>
      </c>
      <c r="O3036" s="2">
        <v>57</v>
      </c>
      <c r="P3036" s="8">
        <f t="shared" si="237"/>
        <v>73875</v>
      </c>
      <c r="Q3036" s="8">
        <f t="shared" si="238"/>
        <v>5472</v>
      </c>
      <c r="R3036" s="2" t="s">
        <v>28</v>
      </c>
      <c r="S3036" s="24">
        <f t="shared" si="239"/>
        <v>0.09</v>
      </c>
    </row>
    <row r="3037" spans="1:19" x14ac:dyDescent="0.25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>VLOOKUP(F3037,'Customer Info'!$A:$B,2,0)</f>
        <v>Dennis</v>
      </c>
      <c r="H3037" s="6" t="str">
        <f>VLOOKUP(F3037,'Customer Info'!$A$1:$C$501,3,0)</f>
        <v>Pardue</v>
      </c>
      <c r="I3037" s="6" t="str">
        <f>VLOOKUP(F3037,Customer,5,0)</f>
        <v>Townsville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35325</v>
      </c>
      <c r="O3037" s="2">
        <v>65</v>
      </c>
      <c r="P3037" s="8">
        <f t="shared" si="237"/>
        <v>35390</v>
      </c>
      <c r="Q3037" s="8">
        <f t="shared" si="238"/>
        <v>2600</v>
      </c>
      <c r="R3037" s="2" t="s">
        <v>28</v>
      </c>
      <c r="S3037" s="24">
        <f t="shared" si="239"/>
        <v>7.0000000000000007E-2</v>
      </c>
    </row>
    <row r="3038" spans="1:19" x14ac:dyDescent="0.25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>VLOOKUP(F3038,'Customer Info'!$A:$B,2,0)</f>
        <v>Giulietta</v>
      </c>
      <c r="H3038" s="6" t="str">
        <f>VLOOKUP(F3038,'Customer Info'!$A$1:$C$501,3,0)</f>
        <v>Weimer</v>
      </c>
      <c r="I3038" s="6" t="str">
        <f>VLOOKUP(F3038,Customer,5,0)</f>
        <v>Suihua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234</v>
      </c>
      <c r="O3038" s="2">
        <v>10</v>
      </c>
      <c r="P3038" s="8">
        <f t="shared" si="237"/>
        <v>244</v>
      </c>
      <c r="Q3038" s="8">
        <f t="shared" si="238"/>
        <v>12</v>
      </c>
      <c r="R3038" s="2" t="s">
        <v>28</v>
      </c>
      <c r="S3038" s="24">
        <f t="shared" si="239"/>
        <v>0.02</v>
      </c>
    </row>
    <row r="3039" spans="1:19" x14ac:dyDescent="0.25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>VLOOKUP(F3039,'Customer Info'!$A:$B,2,0)</f>
        <v>Laurel</v>
      </c>
      <c r="H3039" s="6" t="str">
        <f>VLOOKUP(F3039,'Customer Info'!$A$1:$C$501,3,0)</f>
        <v>Elliston</v>
      </c>
      <c r="I3039" s="6" t="str">
        <f>VLOOKUP(F3039,Customer,5,0)</f>
        <v>Herten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9240</v>
      </c>
      <c r="O3039" s="2">
        <v>72</v>
      </c>
      <c r="P3039" s="8">
        <f t="shared" si="237"/>
        <v>9312</v>
      </c>
      <c r="Q3039" s="8">
        <f t="shared" si="238"/>
        <v>1080</v>
      </c>
      <c r="R3039" s="2" t="s">
        <v>28</v>
      </c>
      <c r="S3039" s="24">
        <f t="shared" si="239"/>
        <v>0.05</v>
      </c>
    </row>
    <row r="3040" spans="1:19" x14ac:dyDescent="0.25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>VLOOKUP(F3040,'Customer Info'!$A:$B,2,0)</f>
        <v>Giulietta</v>
      </c>
      <c r="H3040" s="6" t="str">
        <f>VLOOKUP(F3040,'Customer Info'!$A$1:$C$501,3,0)</f>
        <v>Weimer</v>
      </c>
      <c r="I3040" s="6" t="str">
        <f>VLOOKUP(F3040,Customer,5,0)</f>
        <v>Suihua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1158</v>
      </c>
      <c r="O3040" s="2">
        <v>30</v>
      </c>
      <c r="P3040" s="8">
        <f t="shared" si="237"/>
        <v>1188</v>
      </c>
      <c r="Q3040" s="8">
        <f t="shared" si="238"/>
        <v>120</v>
      </c>
      <c r="R3040" s="2" t="s">
        <v>28</v>
      </c>
      <c r="S3040" s="24">
        <f t="shared" si="239"/>
        <v>0.02</v>
      </c>
    </row>
    <row r="3041" spans="1:19" x14ac:dyDescent="0.25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>VLOOKUP(F3041,'Customer Info'!$A:$B,2,0)</f>
        <v>Brendan</v>
      </c>
      <c r="H3041" s="6" t="str">
        <f>VLOOKUP(F3041,'Customer Info'!$A$1:$C$501,3,0)</f>
        <v>Dodson</v>
      </c>
      <c r="I3041" s="6" t="str">
        <f>VLOOKUP(F3041,Customer,5,0)</f>
        <v>Adelaide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25408</v>
      </c>
      <c r="O3041" s="2">
        <v>70</v>
      </c>
      <c r="P3041" s="8">
        <f t="shared" si="237"/>
        <v>25478</v>
      </c>
      <c r="Q3041" s="8">
        <f t="shared" si="238"/>
        <v>480</v>
      </c>
      <c r="R3041" s="2" t="s">
        <v>50</v>
      </c>
      <c r="S3041" s="24">
        <f t="shared" si="239"/>
        <v>7.0000000000000007E-2</v>
      </c>
    </row>
    <row r="3042" spans="1:19" x14ac:dyDescent="0.25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>VLOOKUP(F3042,'Customer Info'!$A:$B,2,0)</f>
        <v>Mitch</v>
      </c>
      <c r="H3042" s="6" t="str">
        <f>VLOOKUP(F3042,'Customer Info'!$A$1:$C$501,3,0)</f>
        <v>Willingham</v>
      </c>
      <c r="I3042" s="6" t="str">
        <f>VLOOKUP(F3042,Customer,5,0)</f>
        <v>Berlin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7653</v>
      </c>
      <c r="O3042" s="2">
        <v>35</v>
      </c>
      <c r="P3042" s="8">
        <f t="shared" si="237"/>
        <v>7688</v>
      </c>
      <c r="Q3042" s="8">
        <f t="shared" si="238"/>
        <v>285</v>
      </c>
      <c r="R3042" s="2" t="s">
        <v>28</v>
      </c>
      <c r="S3042" s="24">
        <f t="shared" si="239"/>
        <v>0.05</v>
      </c>
    </row>
    <row r="3043" spans="1:19" x14ac:dyDescent="0.25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>VLOOKUP(F3043,'Customer Info'!$A:$B,2,0)</f>
        <v>Brooke</v>
      </c>
      <c r="H3043" s="6" t="str">
        <f>VLOOKUP(F3043,'Customer Info'!$A$1:$C$501,3,0)</f>
        <v>Gillingham</v>
      </c>
      <c r="I3043" s="6" t="str">
        <f>VLOOKUP(F3043,Customer,5,0)</f>
        <v>Mysore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11818</v>
      </c>
      <c r="O3043" s="2">
        <v>98</v>
      </c>
      <c r="P3043" s="8">
        <f t="shared" si="237"/>
        <v>11916</v>
      </c>
      <c r="Q3043" s="8">
        <f t="shared" si="238"/>
        <v>762</v>
      </c>
      <c r="R3043" s="2" t="s">
        <v>50</v>
      </c>
      <c r="S3043" s="24">
        <f t="shared" si="239"/>
        <v>0.05</v>
      </c>
    </row>
    <row r="3044" spans="1:19" x14ac:dyDescent="0.25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>VLOOKUP(F3044,'Customer Info'!$A:$B,2,0)</f>
        <v>Craig</v>
      </c>
      <c r="H3044" s="6" t="str">
        <f>VLOOKUP(F3044,'Customer Info'!$A$1:$C$501,3,0)</f>
        <v>Carroll</v>
      </c>
      <c r="I3044" s="6" t="str">
        <f>VLOOKUP(F3044,Customer,5,0)</f>
        <v>Augsburg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1358</v>
      </c>
      <c r="O3044" s="2">
        <v>33</v>
      </c>
      <c r="P3044" s="8">
        <f t="shared" si="237"/>
        <v>1391</v>
      </c>
      <c r="Q3044" s="8">
        <f t="shared" si="238"/>
        <v>64</v>
      </c>
      <c r="R3044" s="2" t="s">
        <v>28</v>
      </c>
      <c r="S3044" s="24">
        <f t="shared" si="239"/>
        <v>0.02</v>
      </c>
    </row>
    <row r="3045" spans="1:19" x14ac:dyDescent="0.25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>VLOOKUP(F3045,'Customer Info'!$A:$B,2,0)</f>
        <v>Emily</v>
      </c>
      <c r="H3045" s="6" t="str">
        <f>VLOOKUP(F3045,'Customer Info'!$A$1:$C$501,3,0)</f>
        <v>Ducich</v>
      </c>
      <c r="I3045" s="6" t="str">
        <f>VLOOKUP(F3045,Customer,5,0)</f>
        <v>Lohne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54216</v>
      </c>
      <c r="O3045" s="2">
        <v>78</v>
      </c>
      <c r="P3045" s="8">
        <f t="shared" si="237"/>
        <v>54294</v>
      </c>
      <c r="Q3045" s="8">
        <f t="shared" si="238"/>
        <v>5400</v>
      </c>
      <c r="R3045" s="2" t="s">
        <v>50</v>
      </c>
      <c r="S3045" s="24">
        <f t="shared" si="239"/>
        <v>0.09</v>
      </c>
    </row>
    <row r="3046" spans="1:19" x14ac:dyDescent="0.25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>VLOOKUP(F3046,'Customer Info'!$A:$B,2,0)</f>
        <v>Delfina</v>
      </c>
      <c r="H3046" s="6" t="str">
        <f>VLOOKUP(F3046,'Customer Info'!$A$1:$C$501,3,0)</f>
        <v>Latchford</v>
      </c>
      <c r="I3046" s="6" t="str">
        <f>VLOOKUP(F3046,Customer,5,0)</f>
        <v>Yogyakarta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9428</v>
      </c>
      <c r="O3046" s="2">
        <v>25</v>
      </c>
      <c r="P3046" s="8">
        <f t="shared" si="237"/>
        <v>9453</v>
      </c>
      <c r="Q3046" s="8">
        <f t="shared" si="238"/>
        <v>782</v>
      </c>
      <c r="R3046" s="2" t="s">
        <v>50</v>
      </c>
      <c r="S3046" s="24">
        <f t="shared" si="239"/>
        <v>0.05</v>
      </c>
    </row>
    <row r="3047" spans="1:19" x14ac:dyDescent="0.25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>VLOOKUP(F3047,'Customer Info'!$A:$B,2,0)</f>
        <v>Anthony</v>
      </c>
      <c r="H3047" s="6" t="str">
        <f>VLOOKUP(F3047,'Customer Info'!$A$1:$C$501,3,0)</f>
        <v>O'Donnell</v>
      </c>
      <c r="I3047" s="6" t="str">
        <f>VLOOKUP(F3047,Customer,5,0)</f>
        <v>Berlin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2844</v>
      </c>
      <c r="O3047" s="2">
        <v>68</v>
      </c>
      <c r="P3047" s="8">
        <f t="shared" si="237"/>
        <v>2912</v>
      </c>
      <c r="Q3047" s="8">
        <f t="shared" si="238"/>
        <v>186</v>
      </c>
      <c r="R3047" s="2" t="s">
        <v>28</v>
      </c>
      <c r="S3047" s="24">
        <f t="shared" si="239"/>
        <v>0.02</v>
      </c>
    </row>
    <row r="3048" spans="1:19" x14ac:dyDescent="0.25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>VLOOKUP(F3048,'Customer Info'!$A:$B,2,0)</f>
        <v>Jill</v>
      </c>
      <c r="H3048" s="6" t="str">
        <f>VLOOKUP(F3048,'Customer Info'!$A$1:$C$501,3,0)</f>
        <v>Stevenson</v>
      </c>
      <c r="I3048" s="6" t="str">
        <f>VLOOKUP(F3048,Customer,5,0)</f>
        <v>Bengbu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19044</v>
      </c>
      <c r="O3048" s="2">
        <v>71</v>
      </c>
      <c r="P3048" s="8">
        <f t="shared" si="237"/>
        <v>19115</v>
      </c>
      <c r="Q3048" s="8">
        <f t="shared" si="238"/>
        <v>1572</v>
      </c>
      <c r="R3048" s="2" t="s">
        <v>50</v>
      </c>
      <c r="S3048" s="24">
        <f t="shared" si="239"/>
        <v>0.05</v>
      </c>
    </row>
    <row r="3049" spans="1:19" x14ac:dyDescent="0.25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>VLOOKUP(F3049,'Customer Info'!$A:$B,2,0)</f>
        <v>Tim</v>
      </c>
      <c r="H3049" s="6" t="str">
        <f>VLOOKUP(F3049,'Customer Info'!$A$1:$C$501,3,0)</f>
        <v>Brockman</v>
      </c>
      <c r="I3049" s="6" t="str">
        <f>VLOOKUP(F3049,Customer,5,0)</f>
        <v>Toowoomba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63</v>
      </c>
      <c r="O3049" s="2">
        <v>10</v>
      </c>
      <c r="P3049" s="8">
        <f t="shared" si="237"/>
        <v>73</v>
      </c>
      <c r="Q3049" s="8">
        <f t="shared" si="238"/>
        <v>4</v>
      </c>
      <c r="R3049" s="2" t="s">
        <v>28</v>
      </c>
      <c r="S3049" s="24">
        <f t="shared" si="239"/>
        <v>0.02</v>
      </c>
    </row>
    <row r="3050" spans="1:19" x14ac:dyDescent="0.25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>VLOOKUP(F3050,'Customer Info'!$A:$B,2,0)</f>
        <v>Debra</v>
      </c>
      <c r="H3050" s="6" t="str">
        <f>VLOOKUP(F3050,'Customer Info'!$A$1:$C$501,3,0)</f>
        <v>Catini</v>
      </c>
      <c r="I3050" s="6" t="str">
        <f>VLOOKUP(F3050,Customer,5,0)</f>
        <v>Zhengzhou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2656</v>
      </c>
      <c r="O3050" s="2">
        <v>46</v>
      </c>
      <c r="P3050" s="8">
        <f t="shared" si="237"/>
        <v>2702</v>
      </c>
      <c r="Q3050" s="8">
        <f t="shared" si="238"/>
        <v>352</v>
      </c>
      <c r="R3050" s="2" t="s">
        <v>28</v>
      </c>
      <c r="S3050" s="24">
        <f t="shared" si="239"/>
        <v>0.02</v>
      </c>
    </row>
    <row r="3051" spans="1:19" x14ac:dyDescent="0.25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>VLOOKUP(F3051,'Customer Info'!$A:$B,2,0)</f>
        <v>Jim</v>
      </c>
      <c r="H3051" s="6" t="str">
        <f>VLOOKUP(F3051,'Customer Info'!$A$1:$C$501,3,0)</f>
        <v>Epp</v>
      </c>
      <c r="I3051" s="6" t="str">
        <f>VLOOKUP(F3051,Customer,5,0)</f>
        <v>Qingdao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199654</v>
      </c>
      <c r="O3051" s="2">
        <v>38</v>
      </c>
      <c r="P3051" s="8">
        <f t="shared" si="237"/>
        <v>199692</v>
      </c>
      <c r="Q3051" s="8">
        <f t="shared" si="238"/>
        <v>14966</v>
      </c>
      <c r="R3051" s="2" t="s">
        <v>28</v>
      </c>
      <c r="S3051" s="24">
        <f t="shared" si="239"/>
        <v>0.12</v>
      </c>
    </row>
    <row r="3052" spans="1:19" x14ac:dyDescent="0.25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>VLOOKUP(F3052,'Customer Info'!$A:$B,2,0)</f>
        <v>Rick</v>
      </c>
      <c r="H3052" s="6" t="str">
        <f>VLOOKUP(F3052,'Customer Info'!$A$1:$C$501,3,0)</f>
        <v>Duston</v>
      </c>
      <c r="I3052" s="6" t="str">
        <f>VLOOKUP(F3052,Customer,5,0)</f>
        <v>Surakarta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1654</v>
      </c>
      <c r="O3052" s="2">
        <v>78</v>
      </c>
      <c r="P3052" s="8">
        <f t="shared" si="237"/>
        <v>1732</v>
      </c>
      <c r="Q3052" s="8">
        <f t="shared" si="238"/>
        <v>77</v>
      </c>
      <c r="R3052" s="2" t="s">
        <v>50</v>
      </c>
      <c r="S3052" s="24">
        <f t="shared" si="239"/>
        <v>0.02</v>
      </c>
    </row>
    <row r="3053" spans="1:19" x14ac:dyDescent="0.25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>VLOOKUP(F3053,'Customer Info'!$A:$B,2,0)</f>
        <v>Cyra</v>
      </c>
      <c r="H3053" s="6" t="str">
        <f>VLOOKUP(F3053,'Customer Info'!$A$1:$C$501,3,0)</f>
        <v>Reiten</v>
      </c>
      <c r="I3053" s="6" t="str">
        <f>VLOOKUP(F3053,Customer,5,0)</f>
        <v>Srinagar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3455</v>
      </c>
      <c r="O3053" s="2">
        <v>79</v>
      </c>
      <c r="P3053" s="8">
        <f t="shared" si="237"/>
        <v>3534</v>
      </c>
      <c r="Q3053" s="8">
        <f t="shared" si="238"/>
        <v>320</v>
      </c>
      <c r="R3053" s="2" t="s">
        <v>28</v>
      </c>
      <c r="S3053" s="24">
        <f t="shared" si="239"/>
        <v>0.02</v>
      </c>
    </row>
    <row r="3054" spans="1:19" x14ac:dyDescent="0.25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>VLOOKUP(F3054,'Customer Info'!$A:$B,2,0)</f>
        <v>Harold</v>
      </c>
      <c r="H3054" s="6" t="str">
        <f>VLOOKUP(F3054,'Customer Info'!$A$1:$C$501,3,0)</f>
        <v>Dahlen</v>
      </c>
      <c r="I3054" s="6" t="str">
        <f>VLOOKUP(F3054,Customer,5,0)</f>
        <v>Jakarta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69</v>
      </c>
      <c r="O3054" s="2">
        <v>10</v>
      </c>
      <c r="P3054" s="8">
        <f t="shared" si="237"/>
        <v>79</v>
      </c>
      <c r="Q3054" s="8">
        <f t="shared" si="238"/>
        <v>5</v>
      </c>
      <c r="R3054" s="2" t="s">
        <v>28</v>
      </c>
      <c r="S3054" s="24">
        <f t="shared" si="239"/>
        <v>0.02</v>
      </c>
    </row>
    <row r="3055" spans="1:19" x14ac:dyDescent="0.25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>VLOOKUP(F3055,'Customer Info'!$A:$B,2,0)</f>
        <v>Ralph</v>
      </c>
      <c r="H3055" s="6" t="str">
        <f>VLOOKUP(F3055,'Customer Info'!$A$1:$C$501,3,0)</f>
        <v>Arnett</v>
      </c>
      <c r="I3055" s="6" t="str">
        <f>VLOOKUP(F3055,Customer,5,0)</f>
        <v>Jhansi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370</v>
      </c>
      <c r="O3055" s="2">
        <v>30</v>
      </c>
      <c r="P3055" s="8">
        <f t="shared" si="237"/>
        <v>400</v>
      </c>
      <c r="Q3055" s="8">
        <f t="shared" si="238"/>
        <v>28</v>
      </c>
      <c r="R3055" s="2" t="s">
        <v>28</v>
      </c>
      <c r="S3055" s="24">
        <f t="shared" si="239"/>
        <v>0.02</v>
      </c>
    </row>
    <row r="3056" spans="1:19" x14ac:dyDescent="0.25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>VLOOKUP(F3056,'Customer Info'!$A:$B,2,0)</f>
        <v>Scott</v>
      </c>
      <c r="H3056" s="6" t="str">
        <f>VLOOKUP(F3056,'Customer Info'!$A$1:$C$501,3,0)</f>
        <v>Cohen</v>
      </c>
      <c r="I3056" s="6" t="str">
        <f>VLOOKUP(F3056,Customer,5,0)</f>
        <v>Freiburg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2798</v>
      </c>
      <c r="O3056" s="2">
        <v>55</v>
      </c>
      <c r="P3056" s="8">
        <f t="shared" si="237"/>
        <v>2853</v>
      </c>
      <c r="Q3056" s="8">
        <f t="shared" si="238"/>
        <v>132</v>
      </c>
      <c r="R3056" s="2" t="s">
        <v>28</v>
      </c>
      <c r="S3056" s="24">
        <f t="shared" si="239"/>
        <v>0.02</v>
      </c>
    </row>
    <row r="3057" spans="1:19" x14ac:dyDescent="0.25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>VLOOKUP(F3057,'Customer Info'!$A:$B,2,0)</f>
        <v>Erin</v>
      </c>
      <c r="H3057" s="6" t="str">
        <f>VLOOKUP(F3057,'Customer Info'!$A$1:$C$501,3,0)</f>
        <v>Smith</v>
      </c>
      <c r="I3057" s="6" t="str">
        <f>VLOOKUP(F3057,Customer,5,0)</f>
        <v>Yuci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9408</v>
      </c>
      <c r="O3057" s="2">
        <v>96</v>
      </c>
      <c r="P3057" s="8">
        <f t="shared" si="237"/>
        <v>9504</v>
      </c>
      <c r="Q3057" s="8">
        <f t="shared" si="238"/>
        <v>686</v>
      </c>
      <c r="R3057" s="2" t="s">
        <v>50</v>
      </c>
      <c r="S3057" s="24">
        <f t="shared" si="239"/>
        <v>0.05</v>
      </c>
    </row>
    <row r="3058" spans="1:19" x14ac:dyDescent="0.25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>VLOOKUP(F3058,'Customer Info'!$A:$B,2,0)</f>
        <v>Sanjit</v>
      </c>
      <c r="H3058" s="6" t="str">
        <f>VLOOKUP(F3058,'Customer Info'!$A$1:$C$501,3,0)</f>
        <v>Jacobs</v>
      </c>
      <c r="I3058" s="6" t="str">
        <f>VLOOKUP(F3058,Customer,5,0)</f>
        <v>Munich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234</v>
      </c>
      <c r="O3058" s="2">
        <v>10</v>
      </c>
      <c r="P3058" s="8">
        <f t="shared" si="237"/>
        <v>244</v>
      </c>
      <c r="Q3058" s="8">
        <f t="shared" si="238"/>
        <v>12</v>
      </c>
      <c r="R3058" s="2" t="s">
        <v>28</v>
      </c>
      <c r="S3058" s="24">
        <f t="shared" si="239"/>
        <v>0.02</v>
      </c>
    </row>
    <row r="3059" spans="1:19" x14ac:dyDescent="0.25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>VLOOKUP(F3059,'Customer Info'!$A:$B,2,0)</f>
        <v>Cathy</v>
      </c>
      <c r="H3059" s="6" t="str">
        <f>VLOOKUP(F3059,'Customer Info'!$A$1:$C$501,3,0)</f>
        <v>Hwang</v>
      </c>
      <c r="I3059" s="6" t="str">
        <f>VLOOKUP(F3059,Customer,5,0)</f>
        <v>Trier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5874</v>
      </c>
      <c r="O3059" s="2">
        <v>95</v>
      </c>
      <c r="P3059" s="8">
        <f t="shared" si="237"/>
        <v>5969</v>
      </c>
      <c r="Q3059" s="8">
        <f t="shared" si="238"/>
        <v>336</v>
      </c>
      <c r="R3059" s="2" t="s">
        <v>28</v>
      </c>
      <c r="S3059" s="24">
        <f t="shared" si="239"/>
        <v>0.05</v>
      </c>
    </row>
    <row r="3060" spans="1:19" x14ac:dyDescent="0.25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>VLOOKUP(F3060,'Customer Info'!$A:$B,2,0)</f>
        <v>Jonathan</v>
      </c>
      <c r="H3060" s="6" t="str">
        <f>VLOOKUP(F3060,'Customer Info'!$A$1:$C$501,3,0)</f>
        <v>Howell</v>
      </c>
      <c r="I3060" s="6" t="str">
        <f>VLOOKUP(F3060,Customer,5,0)</f>
        <v>Guangshui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381</v>
      </c>
      <c r="O3060" s="2">
        <v>30</v>
      </c>
      <c r="P3060" s="8">
        <f t="shared" si="237"/>
        <v>411</v>
      </c>
      <c r="Q3060" s="8">
        <f t="shared" si="238"/>
        <v>33</v>
      </c>
      <c r="R3060" s="2" t="s">
        <v>50</v>
      </c>
      <c r="S3060" s="24">
        <f t="shared" si="239"/>
        <v>0.02</v>
      </c>
    </row>
    <row r="3061" spans="1:19" x14ac:dyDescent="0.25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>VLOOKUP(F3061,'Customer Info'!$A:$B,2,0)</f>
        <v>Rachel</v>
      </c>
      <c r="H3061" s="6" t="str">
        <f>VLOOKUP(F3061,'Customer Info'!$A$1:$C$501,3,0)</f>
        <v>Payne</v>
      </c>
      <c r="I3061" s="6" t="str">
        <f>VLOOKUP(F3061,Customer,5,0)</f>
        <v>Caloundra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560</v>
      </c>
      <c r="O3061" s="2">
        <v>30</v>
      </c>
      <c r="P3061" s="8">
        <f t="shared" si="237"/>
        <v>590</v>
      </c>
      <c r="Q3061" s="8">
        <f t="shared" si="238"/>
        <v>12</v>
      </c>
      <c r="R3061" s="2" t="s">
        <v>50</v>
      </c>
      <c r="S3061" s="24">
        <f t="shared" si="239"/>
        <v>0.02</v>
      </c>
    </row>
    <row r="3062" spans="1:19" x14ac:dyDescent="0.25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>VLOOKUP(F3062,'Customer Info'!$A:$B,2,0)</f>
        <v>Stuart</v>
      </c>
      <c r="H3062" s="6" t="str">
        <f>VLOOKUP(F3062,'Customer Info'!$A$1:$C$501,3,0)</f>
        <v>Calhoun</v>
      </c>
      <c r="I3062" s="6" t="str">
        <f>VLOOKUP(F3062,Customer,5,0)</f>
        <v>Pforzheim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9352</v>
      </c>
      <c r="O3062" s="2">
        <v>47</v>
      </c>
      <c r="P3062" s="8">
        <f t="shared" si="237"/>
        <v>9399</v>
      </c>
      <c r="Q3062" s="8">
        <f t="shared" si="238"/>
        <v>776</v>
      </c>
      <c r="R3062" s="2" t="s">
        <v>26</v>
      </c>
      <c r="S3062" s="24">
        <f t="shared" si="239"/>
        <v>0.05</v>
      </c>
    </row>
    <row r="3063" spans="1:19" x14ac:dyDescent="0.25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>VLOOKUP(F3063,'Customer Info'!$A:$B,2,0)</f>
        <v>Ruben</v>
      </c>
      <c r="H3063" s="6" t="str">
        <f>VLOOKUP(F3063,'Customer Info'!$A$1:$C$501,3,0)</f>
        <v>Ausman</v>
      </c>
      <c r="I3063" s="6" t="str">
        <f>VLOOKUP(F3063,Customer,5,0)</f>
        <v>Sonneberg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525</v>
      </c>
      <c r="O3063" s="2">
        <v>30</v>
      </c>
      <c r="P3063" s="8">
        <f t="shared" si="237"/>
        <v>555</v>
      </c>
      <c r="Q3063" s="8">
        <f t="shared" si="238"/>
        <v>39</v>
      </c>
      <c r="R3063" s="2" t="s">
        <v>28</v>
      </c>
      <c r="S3063" s="24">
        <f t="shared" si="239"/>
        <v>0.02</v>
      </c>
    </row>
    <row r="3064" spans="1:19" x14ac:dyDescent="0.25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>VLOOKUP(F3064,'Customer Info'!$A:$B,2,0)</f>
        <v>Steve</v>
      </c>
      <c r="H3064" s="6" t="str">
        <f>VLOOKUP(F3064,'Customer Info'!$A$1:$C$501,3,0)</f>
        <v>Carroll</v>
      </c>
      <c r="I3064" s="6" t="str">
        <f>VLOOKUP(F3064,Customer,5,0)</f>
        <v>Qingdao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167</v>
      </c>
      <c r="O3064" s="2">
        <v>30</v>
      </c>
      <c r="P3064" s="8">
        <f t="shared" si="237"/>
        <v>197</v>
      </c>
      <c r="Q3064" s="8">
        <f t="shared" si="238"/>
        <v>12</v>
      </c>
      <c r="R3064" s="2" t="s">
        <v>28</v>
      </c>
      <c r="S3064" s="24">
        <f t="shared" si="239"/>
        <v>0.02</v>
      </c>
    </row>
    <row r="3065" spans="1:19" x14ac:dyDescent="0.25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>VLOOKUP(F3065,'Customer Info'!$A:$B,2,0)</f>
        <v>Laurel</v>
      </c>
      <c r="H3065" s="6" t="str">
        <f>VLOOKUP(F3065,'Customer Info'!$A$1:$C$501,3,0)</f>
        <v>Elliston</v>
      </c>
      <c r="I3065" s="6" t="str">
        <f>VLOOKUP(F3065,Customer,5,0)</f>
        <v>Tasikmalaya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382</v>
      </c>
      <c r="O3065" s="2">
        <v>30</v>
      </c>
      <c r="P3065" s="8">
        <f t="shared" si="237"/>
        <v>412</v>
      </c>
      <c r="Q3065" s="8">
        <f t="shared" si="238"/>
        <v>42</v>
      </c>
      <c r="R3065" s="2" t="s">
        <v>28</v>
      </c>
      <c r="S3065" s="24">
        <f t="shared" si="239"/>
        <v>0.02</v>
      </c>
    </row>
    <row r="3066" spans="1:19" x14ac:dyDescent="0.25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>VLOOKUP(F3066,'Customer Info'!$A:$B,2,0)</f>
        <v>Justin</v>
      </c>
      <c r="H3066" s="6" t="str">
        <f>VLOOKUP(F3066,'Customer Info'!$A$1:$C$501,3,0)</f>
        <v>Hirsh</v>
      </c>
      <c r="I3066" s="6" t="str">
        <f>VLOOKUP(F3066,Customer,5,0)</f>
        <v>Surakarta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17302</v>
      </c>
      <c r="O3066" s="2">
        <v>54</v>
      </c>
      <c r="P3066" s="8">
        <f t="shared" si="237"/>
        <v>17356</v>
      </c>
      <c r="Q3066" s="8">
        <f t="shared" si="238"/>
        <v>1140</v>
      </c>
      <c r="R3066" s="2" t="s">
        <v>56</v>
      </c>
      <c r="S3066" s="24">
        <f t="shared" si="239"/>
        <v>0.05</v>
      </c>
    </row>
    <row r="3067" spans="1:19" x14ac:dyDescent="0.25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>VLOOKUP(F3067,'Customer Info'!$A:$B,2,0)</f>
        <v>Darren</v>
      </c>
      <c r="H3067" s="6" t="str">
        <f>VLOOKUP(F3067,'Customer Info'!$A$1:$C$501,3,0)</f>
        <v>Budd</v>
      </c>
      <c r="I3067" s="6" t="str">
        <f>VLOOKUP(F3067,Customer,5,0)</f>
        <v>Perth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3832</v>
      </c>
      <c r="O3067" s="2">
        <v>23</v>
      </c>
      <c r="P3067" s="8">
        <f t="shared" si="237"/>
        <v>3855</v>
      </c>
      <c r="Q3067" s="8">
        <f t="shared" si="238"/>
        <v>144</v>
      </c>
      <c r="R3067" s="2" t="s">
        <v>28</v>
      </c>
      <c r="S3067" s="24">
        <f t="shared" si="239"/>
        <v>0.02</v>
      </c>
    </row>
    <row r="3068" spans="1:19" x14ac:dyDescent="0.25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>VLOOKUP(F3068,'Customer Info'!$A:$B,2,0)</f>
        <v>Darrin</v>
      </c>
      <c r="H3068" s="6" t="str">
        <f>VLOOKUP(F3068,'Customer Info'!$A$1:$C$501,3,0)</f>
        <v>Sayre</v>
      </c>
      <c r="I3068" s="6" t="str">
        <f>VLOOKUP(F3068,Customer,5,0)</f>
        <v>Duisburg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1058</v>
      </c>
      <c r="O3068" s="2">
        <v>84</v>
      </c>
      <c r="P3068" s="8">
        <f t="shared" si="237"/>
        <v>1142</v>
      </c>
      <c r="Q3068" s="8">
        <f t="shared" si="238"/>
        <v>69</v>
      </c>
      <c r="R3068" s="2" t="s">
        <v>50</v>
      </c>
      <c r="S3068" s="24">
        <f t="shared" si="239"/>
        <v>0.02</v>
      </c>
    </row>
    <row r="3069" spans="1:19" x14ac:dyDescent="0.25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>VLOOKUP(F3069,'Customer Info'!$A:$B,2,0)</f>
        <v>Rick</v>
      </c>
      <c r="H3069" s="6" t="str">
        <f>VLOOKUP(F3069,'Customer Info'!$A$1:$C$501,3,0)</f>
        <v>Duston</v>
      </c>
      <c r="I3069" s="6" t="str">
        <f>VLOOKUP(F3069,Customer,5,0)</f>
        <v>Surakarta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92833</v>
      </c>
      <c r="O3069" s="2">
        <v>65</v>
      </c>
      <c r="P3069" s="8">
        <f t="shared" si="237"/>
        <v>92898</v>
      </c>
      <c r="Q3069" s="8">
        <f t="shared" si="238"/>
        <v>7800</v>
      </c>
      <c r="R3069" s="2" t="s">
        <v>50</v>
      </c>
      <c r="S3069" s="24">
        <f t="shared" si="239"/>
        <v>0.09</v>
      </c>
    </row>
    <row r="3070" spans="1:19" x14ac:dyDescent="0.25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>VLOOKUP(F3070,'Customer Info'!$A:$B,2,0)</f>
        <v>Mick</v>
      </c>
      <c r="H3070" s="6" t="str">
        <f>VLOOKUP(F3070,'Customer Info'!$A$1:$C$501,3,0)</f>
        <v>Crebagga</v>
      </c>
      <c r="I3070" s="6" t="str">
        <f>VLOOKUP(F3070,Customer,5,0)</f>
        <v>Banjarmasin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1686</v>
      </c>
      <c r="O3070" s="2">
        <v>79</v>
      </c>
      <c r="P3070" s="8">
        <f t="shared" si="237"/>
        <v>1765</v>
      </c>
      <c r="Q3070" s="8">
        <f t="shared" si="238"/>
        <v>95</v>
      </c>
      <c r="R3070" s="2" t="s">
        <v>50</v>
      </c>
      <c r="S3070" s="24">
        <f t="shared" si="239"/>
        <v>0.02</v>
      </c>
    </row>
    <row r="3071" spans="1:19" x14ac:dyDescent="0.25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>VLOOKUP(F3071,'Customer Info'!$A:$B,2,0)</f>
        <v>Sam</v>
      </c>
      <c r="H3071" s="6" t="str">
        <f>VLOOKUP(F3071,'Customer Info'!$A$1:$C$501,3,0)</f>
        <v>Zeldin</v>
      </c>
      <c r="I3071" s="6" t="str">
        <f>VLOOKUP(F3071,Customer,5,0)</f>
        <v>Yanji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3136</v>
      </c>
      <c r="O3071" s="2">
        <v>36</v>
      </c>
      <c r="P3071" s="8">
        <f t="shared" si="237"/>
        <v>3172</v>
      </c>
      <c r="Q3071" s="8">
        <f t="shared" si="238"/>
        <v>146</v>
      </c>
      <c r="R3071" s="2" t="s">
        <v>26</v>
      </c>
      <c r="S3071" s="24">
        <f t="shared" si="239"/>
        <v>0.02</v>
      </c>
    </row>
    <row r="3072" spans="1:19" x14ac:dyDescent="0.25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>VLOOKUP(F3072,'Customer Info'!$A:$B,2,0)</f>
        <v>Adam</v>
      </c>
      <c r="H3072" s="6" t="str">
        <f>VLOOKUP(F3072,'Customer Info'!$A$1:$C$501,3,0)</f>
        <v>Bellavance</v>
      </c>
      <c r="I3072" s="6" t="str">
        <f>VLOOKUP(F3072,Customer,5,0)</f>
        <v>Kaiyuan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29076</v>
      </c>
      <c r="O3072" s="2">
        <v>71</v>
      </c>
      <c r="P3072" s="8">
        <f t="shared" si="237"/>
        <v>29147</v>
      </c>
      <c r="Q3072" s="8">
        <f t="shared" si="238"/>
        <v>2124</v>
      </c>
      <c r="R3072" s="2" t="s">
        <v>28</v>
      </c>
      <c r="S3072" s="24">
        <f t="shared" si="239"/>
        <v>7.0000000000000007E-2</v>
      </c>
    </row>
    <row r="3073" spans="1:19" x14ac:dyDescent="0.25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>VLOOKUP(F3073,'Customer Info'!$A:$B,2,0)</f>
        <v>Jill</v>
      </c>
      <c r="H3073" s="6" t="str">
        <f>VLOOKUP(F3073,'Customer Info'!$A$1:$C$501,3,0)</f>
        <v>Fjeld</v>
      </c>
      <c r="I3073" s="6" t="str">
        <f>VLOOKUP(F3073,Customer,5,0)</f>
        <v>Wollongong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507</v>
      </c>
      <c r="O3073" s="2">
        <v>30</v>
      </c>
      <c r="P3073" s="8">
        <f t="shared" si="237"/>
        <v>537</v>
      </c>
      <c r="Q3073" s="8">
        <f t="shared" si="238"/>
        <v>27</v>
      </c>
      <c r="R3073" s="2" t="s">
        <v>26</v>
      </c>
      <c r="S3073" s="24">
        <f t="shared" si="239"/>
        <v>0.02</v>
      </c>
    </row>
    <row r="3074" spans="1:19" x14ac:dyDescent="0.25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>VLOOKUP(F3074,'Customer Info'!$A:$B,2,0)</f>
        <v>Marina</v>
      </c>
      <c r="H3074" s="6" t="str">
        <f>VLOOKUP(F3074,'Customer Info'!$A$1:$C$501,3,0)</f>
        <v>Lichtenstein</v>
      </c>
      <c r="I3074" s="6" t="str">
        <f>VLOOKUP(F3074,Customer,5,0)</f>
        <v>Denpasar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1482</v>
      </c>
      <c r="O3074" s="2">
        <v>25</v>
      </c>
      <c r="P3074" s="8">
        <f t="shared" si="237"/>
        <v>1507</v>
      </c>
      <c r="Q3074" s="8">
        <f t="shared" si="238"/>
        <v>29</v>
      </c>
      <c r="R3074" s="2" t="s">
        <v>28</v>
      </c>
      <c r="S3074" s="24">
        <f t="shared" si="239"/>
        <v>0.02</v>
      </c>
    </row>
    <row r="3075" spans="1:19" x14ac:dyDescent="0.25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>VLOOKUP(F3075,'Customer Info'!$A:$B,2,0)</f>
        <v>Katrina</v>
      </c>
      <c r="H3075" s="6" t="str">
        <f>VLOOKUP(F3075,'Customer Info'!$A$1:$C$501,3,0)</f>
        <v>Bavinger</v>
      </c>
      <c r="I3075" s="6" t="str">
        <f>VLOOKUP(F3075,Customer,5,0)</f>
        <v>Melbourne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129</v>
      </c>
      <c r="O3075" s="2">
        <v>30</v>
      </c>
      <c r="P3075" s="8">
        <f t="shared" si="237"/>
        <v>159</v>
      </c>
      <c r="Q3075" s="8">
        <f t="shared" si="238"/>
        <v>11</v>
      </c>
      <c r="R3075" s="2" t="s">
        <v>50</v>
      </c>
      <c r="S3075" s="24">
        <f t="shared" si="239"/>
        <v>0.02</v>
      </c>
    </row>
    <row r="3076" spans="1:19" x14ac:dyDescent="0.25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>VLOOKUP(F3076,'Customer Info'!$A:$B,2,0)</f>
        <v>Dennis</v>
      </c>
      <c r="H3076" s="6" t="str">
        <f>VLOOKUP(F3076,'Customer Info'!$A$1:$C$501,3,0)</f>
        <v>Pardue</v>
      </c>
      <c r="I3076" s="6" t="str">
        <f>VLOOKUP(F3076,Customer,5,0)</f>
        <v>Wollongong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26922</v>
      </c>
      <c r="O3076" s="2">
        <v>20</v>
      </c>
      <c r="P3076" s="8">
        <f t="shared" si="237"/>
        <v>26942</v>
      </c>
      <c r="Q3076" s="8">
        <f t="shared" si="238"/>
        <v>1716</v>
      </c>
      <c r="R3076" s="2" t="s">
        <v>50</v>
      </c>
      <c r="S3076" s="24">
        <f t="shared" si="239"/>
        <v>7.0000000000000007E-2</v>
      </c>
    </row>
    <row r="3077" spans="1:19" x14ac:dyDescent="0.25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>VLOOKUP(F3077,'Customer Info'!$A:$B,2,0)</f>
        <v>Shirley</v>
      </c>
      <c r="H3077" s="6" t="str">
        <f>VLOOKUP(F3077,'Customer Info'!$A$1:$C$501,3,0)</f>
        <v>Schmidt</v>
      </c>
      <c r="I3077" s="6" t="str">
        <f>VLOOKUP(F3077,Customer,5,0)</f>
        <v>Bijapur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10135</v>
      </c>
      <c r="O3077" s="2">
        <v>42</v>
      </c>
      <c r="P3077" s="8">
        <f t="shared" si="237"/>
        <v>10177</v>
      </c>
      <c r="Q3077" s="8">
        <f t="shared" si="238"/>
        <v>570</v>
      </c>
      <c r="R3077" s="2" t="s">
        <v>28</v>
      </c>
      <c r="S3077" s="24">
        <f t="shared" si="239"/>
        <v>0.05</v>
      </c>
    </row>
    <row r="3078" spans="1:19" x14ac:dyDescent="0.25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>VLOOKUP(F3078,'Customer Info'!$A:$B,2,0)</f>
        <v>Hunter</v>
      </c>
      <c r="H3078" s="6" t="str">
        <f>VLOOKUP(F3078,'Customer Info'!$A$1:$C$501,3,0)</f>
        <v>Glantz</v>
      </c>
      <c r="I3078" s="6" t="str">
        <f>VLOOKUP(F3078,Customer,5,0)</f>
        <v>Panihati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370</v>
      </c>
      <c r="O3078" s="2">
        <v>30</v>
      </c>
      <c r="P3078" s="8">
        <f t="shared" si="237"/>
        <v>400</v>
      </c>
      <c r="Q3078" s="8">
        <f t="shared" si="238"/>
        <v>22</v>
      </c>
      <c r="R3078" s="2" t="s">
        <v>26</v>
      </c>
      <c r="S3078" s="24">
        <f t="shared" si="239"/>
        <v>0.02</v>
      </c>
    </row>
    <row r="3079" spans="1:19" x14ac:dyDescent="0.25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>VLOOKUP(F3079,'Customer Info'!$A:$B,2,0)</f>
        <v>Tom</v>
      </c>
      <c r="H3079" s="6" t="str">
        <f>VLOOKUP(F3079,'Customer Info'!$A$1:$C$501,3,0)</f>
        <v>Stivers</v>
      </c>
      <c r="I3079" s="6" t="str">
        <f>VLOOKUP(F3079,Customer,5,0)</f>
        <v>Guangzhou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11036</v>
      </c>
      <c r="O3079" s="2">
        <v>21</v>
      </c>
      <c r="P3079" s="8">
        <f t="shared" si="237"/>
        <v>11057</v>
      </c>
      <c r="Q3079" s="8">
        <f t="shared" si="238"/>
        <v>524</v>
      </c>
      <c r="R3079" s="2" t="s">
        <v>28</v>
      </c>
      <c r="S3079" s="24">
        <f t="shared" si="239"/>
        <v>0.05</v>
      </c>
    </row>
    <row r="3080" spans="1:19" x14ac:dyDescent="0.25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>VLOOKUP(F3080,'Customer Info'!$A:$B,2,0)</f>
        <v>Joel</v>
      </c>
      <c r="H3080" s="6" t="str">
        <f>VLOOKUP(F3080,'Customer Info'!$A$1:$C$501,3,0)</f>
        <v>Eaton</v>
      </c>
      <c r="I3080" s="6" t="str">
        <f>VLOOKUP(F3080,Customer,5,0)</f>
        <v>Nuremberg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4443</v>
      </c>
      <c r="O3080" s="2">
        <v>73</v>
      </c>
      <c r="P3080" s="8">
        <f t="shared" si="237"/>
        <v>4516</v>
      </c>
      <c r="Q3080" s="8">
        <f t="shared" si="238"/>
        <v>364</v>
      </c>
      <c r="R3080" s="2" t="s">
        <v>28</v>
      </c>
      <c r="S3080" s="24">
        <f t="shared" si="239"/>
        <v>0.02</v>
      </c>
    </row>
    <row r="3081" spans="1:19" x14ac:dyDescent="0.25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>VLOOKUP(F3081,'Customer Info'!$A:$B,2,0)</f>
        <v>Jessica</v>
      </c>
      <c r="H3081" s="6" t="str">
        <f>VLOOKUP(F3081,'Customer Info'!$A$1:$C$501,3,0)</f>
        <v>Myrick</v>
      </c>
      <c r="I3081" s="6" t="str">
        <f>VLOOKUP(F3081,Customer,5,0)</f>
        <v>Jakarta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35088</v>
      </c>
      <c r="O3081" s="2">
        <v>55</v>
      </c>
      <c r="P3081" s="8">
        <f t="shared" si="237"/>
        <v>35143</v>
      </c>
      <c r="Q3081" s="8">
        <f t="shared" si="238"/>
        <v>3804</v>
      </c>
      <c r="R3081" s="2" t="s">
        <v>28</v>
      </c>
      <c r="S3081" s="24">
        <f t="shared" si="239"/>
        <v>7.0000000000000007E-2</v>
      </c>
    </row>
    <row r="3082" spans="1:19" x14ac:dyDescent="0.25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>VLOOKUP(F3082,'Customer Info'!$A:$B,2,0)</f>
        <v>Brad</v>
      </c>
      <c r="H3082" s="6" t="str">
        <f>VLOOKUP(F3082,'Customer Info'!$A$1:$C$501,3,0)</f>
        <v>Thomas</v>
      </c>
      <c r="I3082" s="6" t="str">
        <f>VLOOKUP(F3082,Customer,5,0)</f>
        <v>Udaipur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1110</v>
      </c>
      <c r="O3082" s="2">
        <v>74</v>
      </c>
      <c r="P3082" s="8">
        <f t="shared" si="237"/>
        <v>1184</v>
      </c>
      <c r="Q3082" s="8">
        <f t="shared" si="238"/>
        <v>90</v>
      </c>
      <c r="R3082" s="2" t="s">
        <v>50</v>
      </c>
      <c r="S3082" s="24">
        <f t="shared" si="239"/>
        <v>0.02</v>
      </c>
    </row>
    <row r="3083" spans="1:19" x14ac:dyDescent="0.25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>VLOOKUP(F3083,'Customer Info'!$A:$B,2,0)</f>
        <v>Darren</v>
      </c>
      <c r="H3083" s="6" t="str">
        <f>VLOOKUP(F3083,'Customer Info'!$A$1:$C$501,3,0)</f>
        <v>Koutras</v>
      </c>
      <c r="I3083" s="6" t="str">
        <f>VLOOKUP(F3083,Customer,5,0)</f>
        <v>Pune</v>
      </c>
      <c r="J3083" s="2">
        <v>2602</v>
      </c>
      <c r="K3083" s="2">
        <v>2363</v>
      </c>
      <c r="L3083" s="2">
        <v>7</v>
      </c>
      <c r="M3083" s="7">
        <f t="shared" ref="M3083:M3146" si="240">K3083*L3083</f>
        <v>16541</v>
      </c>
      <c r="N3083" s="7">
        <f t="shared" ref="N3083:N3146" si="241">J3083*L3083</f>
        <v>18214</v>
      </c>
      <c r="O3083" s="2">
        <v>73</v>
      </c>
      <c r="P3083" s="8">
        <f t="shared" ref="P3083:P3146" si="242">N3083+O3083</f>
        <v>18287</v>
      </c>
      <c r="Q3083" s="8">
        <f t="shared" ref="Q3083:Q3146" si="243">N3083-M3083</f>
        <v>1673</v>
      </c>
      <c r="R3083" s="2" t="s">
        <v>28</v>
      </c>
      <c r="S3083" s="24">
        <f t="shared" ref="S3083:S3146" si="244">VLOOKUP(N3083,$T$1:$U$7,2,TRUE)</f>
        <v>0.05</v>
      </c>
    </row>
    <row r="3084" spans="1:19" x14ac:dyDescent="0.25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>VLOOKUP(F3084,'Customer Info'!$A:$B,2,0)</f>
        <v>Rick</v>
      </c>
      <c r="H3084" s="6" t="str">
        <f>VLOOKUP(F3084,'Customer Info'!$A$1:$C$501,3,0)</f>
        <v>Reed</v>
      </c>
      <c r="I3084" s="6" t="str">
        <f>VLOOKUP(F3084,Customer,5,0)</f>
        <v>Lucknow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8">
        <f t="shared" si="242"/>
        <v>2648</v>
      </c>
      <c r="Q3084" s="8">
        <f t="shared" si="243"/>
        <v>320</v>
      </c>
      <c r="R3084" s="2" t="s">
        <v>28</v>
      </c>
      <c r="S3084" s="24">
        <f t="shared" si="244"/>
        <v>0.02</v>
      </c>
    </row>
    <row r="3085" spans="1:19" x14ac:dyDescent="0.25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>VLOOKUP(F3085,'Customer Info'!$A:$B,2,0)</f>
        <v>Brad</v>
      </c>
      <c r="H3085" s="6" t="str">
        <f>VLOOKUP(F3085,'Customer Info'!$A$1:$C$501,3,0)</f>
        <v>Thomas</v>
      </c>
      <c r="I3085" s="6" t="str">
        <f>VLOOKUP(F3085,Customer,5,0)</f>
        <v>Udaipur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8">
        <f t="shared" si="242"/>
        <v>32138</v>
      </c>
      <c r="Q3085" s="8">
        <f t="shared" si="243"/>
        <v>1816</v>
      </c>
      <c r="R3085" s="2" t="s">
        <v>56</v>
      </c>
      <c r="S3085" s="24">
        <f t="shared" si="244"/>
        <v>7.0000000000000007E-2</v>
      </c>
    </row>
    <row r="3086" spans="1:19" x14ac:dyDescent="0.25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>VLOOKUP(F3086,'Customer Info'!$A:$B,2,0)</f>
        <v>Robert</v>
      </c>
      <c r="H3086" s="6" t="str">
        <f>VLOOKUP(F3086,'Customer Info'!$A$1:$C$501,3,0)</f>
        <v>Dilbeck</v>
      </c>
      <c r="I3086" s="6" t="str">
        <f>VLOOKUP(F3086,Customer,5,0)</f>
        <v>Bihar Sharif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8">
        <f t="shared" si="242"/>
        <v>1989</v>
      </c>
      <c r="Q3086" s="8">
        <f t="shared" si="243"/>
        <v>126</v>
      </c>
      <c r="R3086" s="2" t="s">
        <v>28</v>
      </c>
      <c r="S3086" s="24">
        <f t="shared" si="244"/>
        <v>0.02</v>
      </c>
    </row>
    <row r="3087" spans="1:19" x14ac:dyDescent="0.25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>VLOOKUP(F3087,'Customer Info'!$A:$B,2,0)</f>
        <v>Hunter</v>
      </c>
      <c r="H3087" s="6" t="str">
        <f>VLOOKUP(F3087,'Customer Info'!$A$1:$C$501,3,0)</f>
        <v>Lopez</v>
      </c>
      <c r="I3087" s="6" t="str">
        <f>VLOOKUP(F3087,Customer,5,0)</f>
        <v>Wollongong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8">
        <f t="shared" si="242"/>
        <v>2816</v>
      </c>
      <c r="Q3087" s="8">
        <f t="shared" si="243"/>
        <v>156</v>
      </c>
      <c r="R3087" s="2" t="s">
        <v>28</v>
      </c>
      <c r="S3087" s="24">
        <f t="shared" si="244"/>
        <v>0.02</v>
      </c>
    </row>
    <row r="3088" spans="1:19" x14ac:dyDescent="0.25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>VLOOKUP(F3088,'Customer Info'!$A:$B,2,0)</f>
        <v>Toby</v>
      </c>
      <c r="H3088" s="6" t="str">
        <f>VLOOKUP(F3088,'Customer Info'!$A$1:$C$501,3,0)</f>
        <v>Braunhardt</v>
      </c>
      <c r="I3088" s="6" t="str">
        <f>VLOOKUP(F3088,Customer,5,0)</f>
        <v>Perth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69</v>
      </c>
      <c r="O3088" s="2">
        <v>10</v>
      </c>
      <c r="P3088" s="8">
        <f t="shared" si="242"/>
        <v>79</v>
      </c>
      <c r="Q3088" s="8">
        <f t="shared" si="243"/>
        <v>5</v>
      </c>
      <c r="R3088" s="2" t="s">
        <v>28</v>
      </c>
      <c r="S3088" s="24">
        <f t="shared" si="244"/>
        <v>0.02</v>
      </c>
    </row>
    <row r="3089" spans="1:19" x14ac:dyDescent="0.25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>VLOOKUP(F3089,'Customer Info'!$A:$B,2,0)</f>
        <v>Liz</v>
      </c>
      <c r="H3089" s="6" t="str">
        <f>VLOOKUP(F3089,'Customer Info'!$A$1:$C$501,3,0)</f>
        <v>Pelletier</v>
      </c>
      <c r="I3089" s="6" t="str">
        <f>VLOOKUP(F3089,Customer,5,0)</f>
        <v>Zigong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7021</v>
      </c>
      <c r="O3089" s="2">
        <v>83</v>
      </c>
      <c r="P3089" s="8">
        <f t="shared" si="242"/>
        <v>7104</v>
      </c>
      <c r="Q3089" s="8">
        <f t="shared" si="243"/>
        <v>335</v>
      </c>
      <c r="R3089" s="2" t="s">
        <v>56</v>
      </c>
      <c r="S3089" s="24">
        <f t="shared" si="244"/>
        <v>0.05</v>
      </c>
    </row>
    <row r="3090" spans="1:19" x14ac:dyDescent="0.25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>VLOOKUP(F3090,'Customer Info'!$A:$B,2,0)</f>
        <v>Thomas</v>
      </c>
      <c r="H3090" s="6" t="str">
        <f>VLOOKUP(F3090,'Customer Info'!$A$1:$C$501,3,0)</f>
        <v>Boland</v>
      </c>
      <c r="I3090" s="6" t="str">
        <f>VLOOKUP(F3090,Customer,5,0)</f>
        <v>Newcastle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14496</v>
      </c>
      <c r="O3090" s="2">
        <v>82</v>
      </c>
      <c r="P3090" s="8">
        <f t="shared" si="242"/>
        <v>14578</v>
      </c>
      <c r="Q3090" s="8">
        <f t="shared" si="243"/>
        <v>807</v>
      </c>
      <c r="R3090" s="2" t="s">
        <v>50</v>
      </c>
      <c r="S3090" s="24">
        <f t="shared" si="244"/>
        <v>0.05</v>
      </c>
    </row>
    <row r="3091" spans="1:19" x14ac:dyDescent="0.25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>VLOOKUP(F3091,'Customer Info'!$A:$B,2,0)</f>
        <v>Stuart</v>
      </c>
      <c r="H3091" s="6" t="str">
        <f>VLOOKUP(F3091,'Customer Info'!$A$1:$C$501,3,0)</f>
        <v>Calhoun</v>
      </c>
      <c r="I3091" s="6" t="str">
        <f>VLOOKUP(F3091,Customer,5,0)</f>
        <v>Pforzheim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412</v>
      </c>
      <c r="O3091" s="2">
        <v>30</v>
      </c>
      <c r="P3091" s="8">
        <f t="shared" si="242"/>
        <v>442</v>
      </c>
      <c r="Q3091" s="8">
        <f t="shared" si="243"/>
        <v>34</v>
      </c>
      <c r="R3091" s="2" t="s">
        <v>28</v>
      </c>
      <c r="S3091" s="24">
        <f t="shared" si="244"/>
        <v>0.02</v>
      </c>
    </row>
    <row r="3092" spans="1:19" x14ac:dyDescent="0.25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>VLOOKUP(F3092,'Customer Info'!$A:$B,2,0)</f>
        <v>Gary</v>
      </c>
      <c r="H3092" s="6" t="str">
        <f>VLOOKUP(F3092,'Customer Info'!$A$1:$C$501,3,0)</f>
        <v>Mitchum</v>
      </c>
      <c r="I3092" s="6" t="str">
        <f>VLOOKUP(F3092,Customer,5,0)</f>
        <v>Mildura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773</v>
      </c>
      <c r="O3092" s="2">
        <v>42</v>
      </c>
      <c r="P3092" s="8">
        <f t="shared" si="242"/>
        <v>815</v>
      </c>
      <c r="Q3092" s="8">
        <f t="shared" si="243"/>
        <v>65</v>
      </c>
      <c r="R3092" s="2" t="s">
        <v>50</v>
      </c>
      <c r="S3092" s="24">
        <f t="shared" si="244"/>
        <v>0.02</v>
      </c>
    </row>
    <row r="3093" spans="1:19" x14ac:dyDescent="0.25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>VLOOKUP(F3093,'Customer Info'!$A:$B,2,0)</f>
        <v>Roland</v>
      </c>
      <c r="H3093" s="6" t="str">
        <f>VLOOKUP(F3093,'Customer Info'!$A$1:$C$501,3,0)</f>
        <v>Murray</v>
      </c>
      <c r="I3093" s="6" t="str">
        <f>VLOOKUP(F3093,Customer,5,0)</f>
        <v>Frankfurt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9154</v>
      </c>
      <c r="O3093" s="2">
        <v>84</v>
      </c>
      <c r="P3093" s="8">
        <f t="shared" si="242"/>
        <v>9238</v>
      </c>
      <c r="Q3093" s="8">
        <f t="shared" si="243"/>
        <v>584</v>
      </c>
      <c r="R3093" s="2" t="s">
        <v>50</v>
      </c>
      <c r="S3093" s="24">
        <f t="shared" si="244"/>
        <v>0.05</v>
      </c>
    </row>
    <row r="3094" spans="1:19" x14ac:dyDescent="0.25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>VLOOKUP(F3094,'Customer Info'!$A:$B,2,0)</f>
        <v>Jas</v>
      </c>
      <c r="H3094" s="6" t="str">
        <f>VLOOKUP(F3094,'Customer Info'!$A$1:$C$501,3,0)</f>
        <v>O'Carroll</v>
      </c>
      <c r="I3094" s="6" t="str">
        <f>VLOOKUP(F3094,Customer,5,0)</f>
        <v>Essen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2083</v>
      </c>
      <c r="O3094" s="2">
        <v>35</v>
      </c>
      <c r="P3094" s="8">
        <f t="shared" si="242"/>
        <v>2118</v>
      </c>
      <c r="Q3094" s="8">
        <f t="shared" si="243"/>
        <v>79</v>
      </c>
      <c r="R3094" s="2" t="s">
        <v>28</v>
      </c>
      <c r="S3094" s="24">
        <f t="shared" si="244"/>
        <v>0.02</v>
      </c>
    </row>
    <row r="3095" spans="1:19" x14ac:dyDescent="0.25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>VLOOKUP(F3095,'Customer Info'!$A:$B,2,0)</f>
        <v>Trudy</v>
      </c>
      <c r="H3095" s="6" t="str">
        <f>VLOOKUP(F3095,'Customer Info'!$A$1:$C$501,3,0)</f>
        <v>Glocke</v>
      </c>
      <c r="I3095" s="6" t="str">
        <f>VLOOKUP(F3095,Customer,5,0)</f>
        <v>Brisbane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492</v>
      </c>
      <c r="O3095" s="2">
        <v>30</v>
      </c>
      <c r="P3095" s="8">
        <f t="shared" si="242"/>
        <v>522</v>
      </c>
      <c r="Q3095" s="8">
        <f t="shared" si="243"/>
        <v>36</v>
      </c>
      <c r="R3095" s="2" t="s">
        <v>50</v>
      </c>
      <c r="S3095" s="24">
        <f t="shared" si="244"/>
        <v>0.02</v>
      </c>
    </row>
    <row r="3096" spans="1:19" x14ac:dyDescent="0.25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>VLOOKUP(F3096,'Customer Info'!$A:$B,2,0)</f>
        <v>Julie</v>
      </c>
      <c r="H3096" s="6" t="str">
        <f>VLOOKUP(F3096,'Customer Info'!$A$1:$C$501,3,0)</f>
        <v>Creighton</v>
      </c>
      <c r="I3096" s="6" t="str">
        <f>VLOOKUP(F3096,Customer,5,0)</f>
        <v>Ballarat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576</v>
      </c>
      <c r="O3096" s="2">
        <v>64</v>
      </c>
      <c r="P3096" s="8">
        <f t="shared" si="242"/>
        <v>640</v>
      </c>
      <c r="Q3096" s="8">
        <f t="shared" si="243"/>
        <v>48</v>
      </c>
      <c r="R3096" s="2" t="s">
        <v>28</v>
      </c>
      <c r="S3096" s="24">
        <f t="shared" si="244"/>
        <v>0.02</v>
      </c>
    </row>
    <row r="3097" spans="1:19" x14ac:dyDescent="0.25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>VLOOKUP(F3097,'Customer Info'!$A:$B,2,0)</f>
        <v>Kean</v>
      </c>
      <c r="H3097" s="6" t="str">
        <f>VLOOKUP(F3097,'Customer Info'!$A$1:$C$501,3,0)</f>
        <v>Thornton</v>
      </c>
      <c r="I3097" s="6" t="str">
        <f>VLOOKUP(F3097,Customer,5,0)</f>
        <v>Melbourne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6816</v>
      </c>
      <c r="O3097" s="2">
        <v>57</v>
      </c>
      <c r="P3097" s="8">
        <f t="shared" si="242"/>
        <v>6873</v>
      </c>
      <c r="Q3097" s="8">
        <f t="shared" si="243"/>
        <v>386</v>
      </c>
      <c r="R3097" s="2" t="s">
        <v>28</v>
      </c>
      <c r="S3097" s="24">
        <f t="shared" si="244"/>
        <v>0.05</v>
      </c>
    </row>
    <row r="3098" spans="1:19" x14ac:dyDescent="0.25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>VLOOKUP(F3098,'Customer Info'!$A:$B,2,0)</f>
        <v>Bobby</v>
      </c>
      <c r="H3098" s="6" t="str">
        <f>VLOOKUP(F3098,'Customer Info'!$A$1:$C$501,3,0)</f>
        <v>Odegard</v>
      </c>
      <c r="I3098" s="6" t="str">
        <f>VLOOKUP(F3098,Customer,5,0)</f>
        <v>Adelaide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15316</v>
      </c>
      <c r="O3098" s="2">
        <v>23</v>
      </c>
      <c r="P3098" s="8">
        <f t="shared" si="242"/>
        <v>15339</v>
      </c>
      <c r="Q3098" s="8">
        <f t="shared" si="243"/>
        <v>1264</v>
      </c>
      <c r="R3098" s="2" t="s">
        <v>50</v>
      </c>
      <c r="S3098" s="24">
        <f t="shared" si="244"/>
        <v>0.05</v>
      </c>
    </row>
    <row r="3099" spans="1:19" x14ac:dyDescent="0.25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>VLOOKUP(F3099,'Customer Info'!$A:$B,2,0)</f>
        <v>Cyra</v>
      </c>
      <c r="H3099" s="6" t="str">
        <f>VLOOKUP(F3099,'Customer Info'!$A$1:$C$501,3,0)</f>
        <v>Reiten</v>
      </c>
      <c r="I3099" s="6" t="str">
        <f>VLOOKUP(F3099,Customer,5,0)</f>
        <v>Samarinda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5764</v>
      </c>
      <c r="O3099" s="2">
        <v>77</v>
      </c>
      <c r="P3099" s="8">
        <f t="shared" si="242"/>
        <v>5841</v>
      </c>
      <c r="Q3099" s="8">
        <f t="shared" si="243"/>
        <v>324</v>
      </c>
      <c r="R3099" s="2" t="s">
        <v>28</v>
      </c>
      <c r="S3099" s="24">
        <f t="shared" si="244"/>
        <v>0.05</v>
      </c>
    </row>
    <row r="3100" spans="1:19" x14ac:dyDescent="0.25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>VLOOKUP(F3100,'Customer Info'!$A:$B,2,0)</f>
        <v>Nat</v>
      </c>
      <c r="H3100" s="6" t="str">
        <f>VLOOKUP(F3100,'Customer Info'!$A$1:$C$501,3,0)</f>
        <v>Carroll</v>
      </c>
      <c r="I3100" s="6" t="str">
        <f>VLOOKUP(F3100,Customer,5,0)</f>
        <v>Shanghai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8592</v>
      </c>
      <c r="O3100" s="2">
        <v>33</v>
      </c>
      <c r="P3100" s="8">
        <f t="shared" si="242"/>
        <v>8625</v>
      </c>
      <c r="Q3100" s="8">
        <f t="shared" si="243"/>
        <v>330</v>
      </c>
      <c r="R3100" s="2" t="s">
        <v>26</v>
      </c>
      <c r="S3100" s="24">
        <f t="shared" si="244"/>
        <v>0.05</v>
      </c>
    </row>
    <row r="3101" spans="1:19" x14ac:dyDescent="0.25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>VLOOKUP(F3101,'Customer Info'!$A:$B,2,0)</f>
        <v>Nick</v>
      </c>
      <c r="H3101" s="6" t="str">
        <f>VLOOKUP(F3101,'Customer Info'!$A$1:$C$501,3,0)</f>
        <v>Zandusky</v>
      </c>
      <c r="I3101" s="6" t="str">
        <f>VLOOKUP(F3101,Customer,5,0)</f>
        <v>Surabaya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4635</v>
      </c>
      <c r="O3101" s="2">
        <v>82</v>
      </c>
      <c r="P3101" s="8">
        <f t="shared" si="242"/>
        <v>4717</v>
      </c>
      <c r="Q3101" s="8">
        <f t="shared" si="243"/>
        <v>177</v>
      </c>
      <c r="R3101" s="2" t="s">
        <v>28</v>
      </c>
      <c r="S3101" s="24">
        <f t="shared" si="244"/>
        <v>0.02</v>
      </c>
    </row>
    <row r="3102" spans="1:19" x14ac:dyDescent="0.25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>VLOOKUP(F3102,'Customer Info'!$A:$B,2,0)</f>
        <v>Eileen</v>
      </c>
      <c r="H3102" s="6" t="str">
        <f>VLOOKUP(F3102,'Customer Info'!$A$1:$C$501,3,0)</f>
        <v>Kiefer</v>
      </c>
      <c r="I3102" s="6" t="str">
        <f>VLOOKUP(F3102,Customer,5,0)</f>
        <v>Hamm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940</v>
      </c>
      <c r="O3102" s="2">
        <v>30</v>
      </c>
      <c r="P3102" s="8">
        <f t="shared" si="242"/>
        <v>970</v>
      </c>
      <c r="Q3102" s="8">
        <f t="shared" si="243"/>
        <v>75</v>
      </c>
      <c r="R3102" s="2" t="s">
        <v>28</v>
      </c>
      <c r="S3102" s="24">
        <f t="shared" si="244"/>
        <v>0.02</v>
      </c>
    </row>
    <row r="3103" spans="1:19" x14ac:dyDescent="0.25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>VLOOKUP(F3103,'Customer Info'!$A:$B,2,0)</f>
        <v>Alex</v>
      </c>
      <c r="H3103" s="6" t="str">
        <f>VLOOKUP(F3103,'Customer Info'!$A$1:$C$501,3,0)</f>
        <v>Avila</v>
      </c>
      <c r="I3103" s="6" t="str">
        <f>VLOOKUP(F3103,Customer,5,0)</f>
        <v>Newcastle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15382</v>
      </c>
      <c r="O3103" s="2">
        <v>34</v>
      </c>
      <c r="P3103" s="8">
        <f t="shared" si="242"/>
        <v>15416</v>
      </c>
      <c r="Q3103" s="8">
        <f t="shared" si="243"/>
        <v>872</v>
      </c>
      <c r="R3103" s="2" t="s">
        <v>28</v>
      </c>
      <c r="S3103" s="24">
        <f t="shared" si="244"/>
        <v>0.05</v>
      </c>
    </row>
    <row r="3104" spans="1:19" x14ac:dyDescent="0.25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>VLOOKUP(F3104,'Customer Info'!$A:$B,2,0)</f>
        <v>Roy</v>
      </c>
      <c r="H3104" s="6" t="str">
        <f>VLOOKUP(F3104,'Customer Info'!$A$1:$C$501,3,0)</f>
        <v>Skaria</v>
      </c>
      <c r="I3104" s="6" t="str">
        <f>VLOOKUP(F3104,Customer,5,0)</f>
        <v>Bogor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4412</v>
      </c>
      <c r="O3104" s="2">
        <v>65</v>
      </c>
      <c r="P3104" s="8">
        <f t="shared" si="242"/>
        <v>4477</v>
      </c>
      <c r="Q3104" s="8">
        <f t="shared" si="243"/>
        <v>292</v>
      </c>
      <c r="R3104" s="2" t="s">
        <v>26</v>
      </c>
      <c r="S3104" s="24">
        <f t="shared" si="244"/>
        <v>0.02</v>
      </c>
    </row>
    <row r="3105" spans="1:19" x14ac:dyDescent="0.25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>VLOOKUP(F3105,'Customer Info'!$A:$B,2,0)</f>
        <v>Thomas</v>
      </c>
      <c r="H3105" s="6" t="str">
        <f>VLOOKUP(F3105,'Customer Info'!$A$1:$C$501,3,0)</f>
        <v>Brumley</v>
      </c>
      <c r="I3105" s="6" t="str">
        <f>VLOOKUP(F3105,Customer,5,0)</f>
        <v>Jinan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3202</v>
      </c>
      <c r="O3105" s="2">
        <v>28</v>
      </c>
      <c r="P3105" s="8">
        <f t="shared" si="242"/>
        <v>3230</v>
      </c>
      <c r="Q3105" s="8">
        <f t="shared" si="243"/>
        <v>182</v>
      </c>
      <c r="R3105" s="2" t="s">
        <v>50</v>
      </c>
      <c r="S3105" s="24">
        <f t="shared" si="244"/>
        <v>0.02</v>
      </c>
    </row>
    <row r="3106" spans="1:19" x14ac:dyDescent="0.25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>VLOOKUP(F3106,'Customer Info'!$A:$B,2,0)</f>
        <v>Cari</v>
      </c>
      <c r="H3106" s="6" t="str">
        <f>VLOOKUP(F3106,'Customer Info'!$A$1:$C$501,3,0)</f>
        <v>MacIntyre</v>
      </c>
      <c r="I3106" s="6" t="str">
        <f>VLOOKUP(F3106,Customer,5,0)</f>
        <v>Suzhou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294</v>
      </c>
      <c r="O3106" s="2">
        <v>30</v>
      </c>
      <c r="P3106" s="8">
        <f t="shared" si="242"/>
        <v>324</v>
      </c>
      <c r="Q3106" s="8">
        <f t="shared" si="243"/>
        <v>18</v>
      </c>
      <c r="R3106" s="2" t="s">
        <v>50</v>
      </c>
      <c r="S3106" s="24">
        <f t="shared" si="244"/>
        <v>0.02</v>
      </c>
    </row>
    <row r="3107" spans="1:19" x14ac:dyDescent="0.25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>VLOOKUP(F3107,'Customer Info'!$A:$B,2,0)</f>
        <v>Tom</v>
      </c>
      <c r="H3107" s="6" t="str">
        <f>VLOOKUP(F3107,'Customer Info'!$A$1:$C$501,3,0)</f>
        <v>Boeckenhauer</v>
      </c>
      <c r="I3107" s="6" t="str">
        <f>VLOOKUP(F3107,Customer,5,0)</f>
        <v>Neunkirchen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2796</v>
      </c>
      <c r="O3107" s="2">
        <v>81</v>
      </c>
      <c r="P3107" s="8">
        <f t="shared" si="242"/>
        <v>2877</v>
      </c>
      <c r="Q3107" s="8">
        <f t="shared" si="243"/>
        <v>282</v>
      </c>
      <c r="R3107" s="2" t="s">
        <v>28</v>
      </c>
      <c r="S3107" s="24">
        <f t="shared" si="244"/>
        <v>0.02</v>
      </c>
    </row>
    <row r="3108" spans="1:19" x14ac:dyDescent="0.25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>VLOOKUP(F3108,'Customer Info'!$A:$B,2,0)</f>
        <v>Tamara</v>
      </c>
      <c r="H3108" s="6" t="str">
        <f>VLOOKUP(F3108,'Customer Info'!$A$1:$C$501,3,0)</f>
        <v>Willingham</v>
      </c>
      <c r="I3108" s="6" t="str">
        <f>VLOOKUP(F3108,Customer,5,0)</f>
        <v>Perth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1358</v>
      </c>
      <c r="O3108" s="2">
        <v>56</v>
      </c>
      <c r="P3108" s="8">
        <f t="shared" si="242"/>
        <v>1414</v>
      </c>
      <c r="Q3108" s="8">
        <f t="shared" si="243"/>
        <v>64</v>
      </c>
      <c r="R3108" s="2" t="s">
        <v>28</v>
      </c>
      <c r="S3108" s="24">
        <f t="shared" si="244"/>
        <v>0.02</v>
      </c>
    </row>
    <row r="3109" spans="1:19" x14ac:dyDescent="0.25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>VLOOKUP(F3109,'Customer Info'!$A:$B,2,0)</f>
        <v>Annie</v>
      </c>
      <c r="H3109" s="6" t="str">
        <f>VLOOKUP(F3109,'Customer Info'!$A$1:$C$501,3,0)</f>
        <v>Thurman</v>
      </c>
      <c r="I3109" s="6" t="str">
        <f>VLOOKUP(F3109,Customer,5,0)</f>
        <v>Sydney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5300</v>
      </c>
      <c r="O3109" s="2">
        <v>69</v>
      </c>
      <c r="P3109" s="8">
        <f t="shared" si="242"/>
        <v>5369</v>
      </c>
      <c r="Q3109" s="8">
        <f t="shared" si="243"/>
        <v>480</v>
      </c>
      <c r="R3109" s="2" t="s">
        <v>50</v>
      </c>
      <c r="S3109" s="24">
        <f t="shared" si="244"/>
        <v>0.05</v>
      </c>
    </row>
    <row r="3110" spans="1:19" x14ac:dyDescent="0.25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>VLOOKUP(F3110,'Customer Info'!$A:$B,2,0)</f>
        <v>Sonia</v>
      </c>
      <c r="H3110" s="6" t="str">
        <f>VLOOKUP(F3110,'Customer Info'!$A$1:$C$501,3,0)</f>
        <v>Sunley</v>
      </c>
      <c r="I3110" s="6" t="str">
        <f>VLOOKUP(F3110,Customer,5,0)</f>
        <v>Canberra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26080</v>
      </c>
      <c r="O3110" s="2">
        <v>21</v>
      </c>
      <c r="P3110" s="8">
        <f t="shared" si="242"/>
        <v>26101</v>
      </c>
      <c r="Q3110" s="8">
        <f t="shared" si="243"/>
        <v>2140</v>
      </c>
      <c r="R3110" s="2" t="s">
        <v>50</v>
      </c>
      <c r="S3110" s="24">
        <f t="shared" si="244"/>
        <v>7.0000000000000007E-2</v>
      </c>
    </row>
    <row r="3111" spans="1:19" x14ac:dyDescent="0.25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>VLOOKUP(F3111,'Customer Info'!$A:$B,2,0)</f>
        <v>Troy</v>
      </c>
      <c r="H3111" s="6" t="str">
        <f>VLOOKUP(F3111,'Customer Info'!$A$1:$C$501,3,0)</f>
        <v>Staebel</v>
      </c>
      <c r="I3111" s="6" t="str">
        <f>VLOOKUP(F3111,Customer,5,0)</f>
        <v>Canberra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17260</v>
      </c>
      <c r="O3111" s="2">
        <v>98</v>
      </c>
      <c r="P3111" s="8">
        <f t="shared" si="242"/>
        <v>17358</v>
      </c>
      <c r="Q3111" s="8">
        <f t="shared" si="243"/>
        <v>654</v>
      </c>
      <c r="R3111" s="2" t="s">
        <v>28</v>
      </c>
      <c r="S3111" s="24">
        <f t="shared" si="244"/>
        <v>0.05</v>
      </c>
    </row>
    <row r="3112" spans="1:19" x14ac:dyDescent="0.25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>VLOOKUP(F3112,'Customer Info'!$A:$B,2,0)</f>
        <v>Pamela</v>
      </c>
      <c r="H3112" s="6" t="str">
        <f>VLOOKUP(F3112,'Customer Info'!$A$1:$C$501,3,0)</f>
        <v>Coakley</v>
      </c>
      <c r="I3112" s="6" t="str">
        <f>VLOOKUP(F3112,Customer,5,0)</f>
        <v>Jakarta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1936</v>
      </c>
      <c r="O3112" s="2">
        <v>28</v>
      </c>
      <c r="P3112" s="8">
        <f t="shared" si="242"/>
        <v>1964</v>
      </c>
      <c r="Q3112" s="8">
        <f t="shared" si="243"/>
        <v>110</v>
      </c>
      <c r="R3112" s="2" t="s">
        <v>28</v>
      </c>
      <c r="S3112" s="24">
        <f t="shared" si="244"/>
        <v>0.02</v>
      </c>
    </row>
    <row r="3113" spans="1:19" x14ac:dyDescent="0.25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>VLOOKUP(F3113,'Customer Info'!$A:$B,2,0)</f>
        <v>Valerie</v>
      </c>
      <c r="H3113" s="6" t="str">
        <f>VLOOKUP(F3113,'Customer Info'!$A$1:$C$501,3,0)</f>
        <v>Mitchum</v>
      </c>
      <c r="I3113" s="6" t="str">
        <f>VLOOKUP(F3113,Customer,5,0)</f>
        <v>Chengdu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2338</v>
      </c>
      <c r="O3113" s="2">
        <v>87</v>
      </c>
      <c r="P3113" s="8">
        <f t="shared" si="242"/>
        <v>2425</v>
      </c>
      <c r="Q3113" s="8">
        <f t="shared" si="243"/>
        <v>194</v>
      </c>
      <c r="R3113" s="2" t="s">
        <v>28</v>
      </c>
      <c r="S3113" s="24">
        <f t="shared" si="244"/>
        <v>0.02</v>
      </c>
    </row>
    <row r="3114" spans="1:19" x14ac:dyDescent="0.25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>VLOOKUP(F3114,'Customer Info'!$A:$B,2,0)</f>
        <v>Alan</v>
      </c>
      <c r="H3114" s="6" t="str">
        <f>VLOOKUP(F3114,'Customer Info'!$A$1:$C$501,3,0)</f>
        <v>Schoenberger</v>
      </c>
      <c r="I3114" s="6" t="str">
        <f>VLOOKUP(F3114,Customer,5,0)</f>
        <v>Anshan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5112</v>
      </c>
      <c r="O3114" s="2">
        <v>52</v>
      </c>
      <c r="P3114" s="8">
        <f t="shared" si="242"/>
        <v>5164</v>
      </c>
      <c r="Q3114" s="8">
        <f t="shared" si="243"/>
        <v>240</v>
      </c>
      <c r="R3114" s="2" t="s">
        <v>28</v>
      </c>
      <c r="S3114" s="24">
        <f t="shared" si="244"/>
        <v>0.05</v>
      </c>
    </row>
    <row r="3115" spans="1:19" x14ac:dyDescent="0.25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>VLOOKUP(F3115,'Customer Info'!$A:$B,2,0)</f>
        <v>Dave</v>
      </c>
      <c r="H3115" s="6" t="str">
        <f>VLOOKUP(F3115,'Customer Info'!$A$1:$C$501,3,0)</f>
        <v>Hallsten</v>
      </c>
      <c r="I3115" s="6" t="str">
        <f>VLOOKUP(F3115,Customer,5,0)</f>
        <v>Coimbatore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7490</v>
      </c>
      <c r="O3115" s="2">
        <v>58</v>
      </c>
      <c r="P3115" s="8">
        <f t="shared" si="242"/>
        <v>7548</v>
      </c>
      <c r="Q3115" s="8">
        <f t="shared" si="243"/>
        <v>815</v>
      </c>
      <c r="R3115" s="2" t="s">
        <v>50</v>
      </c>
      <c r="S3115" s="24">
        <f t="shared" si="244"/>
        <v>0.05</v>
      </c>
    </row>
    <row r="3116" spans="1:19" x14ac:dyDescent="0.25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>VLOOKUP(F3116,'Customer Info'!$A:$B,2,0)</f>
        <v>Dianna</v>
      </c>
      <c r="H3116" s="6" t="str">
        <f>VLOOKUP(F3116,'Customer Info'!$A$1:$C$501,3,0)</f>
        <v>Vittorini</v>
      </c>
      <c r="I3116" s="6" t="str">
        <f>VLOOKUP(F3116,Customer,5,0)</f>
        <v>Cottbus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1060</v>
      </c>
      <c r="O3116" s="2">
        <v>29</v>
      </c>
      <c r="P3116" s="8">
        <f t="shared" si="242"/>
        <v>1089</v>
      </c>
      <c r="Q3116" s="8">
        <f t="shared" si="243"/>
        <v>96</v>
      </c>
      <c r="R3116" s="2" t="s">
        <v>28</v>
      </c>
      <c r="S3116" s="24">
        <f t="shared" si="244"/>
        <v>0.02</v>
      </c>
    </row>
    <row r="3117" spans="1:19" x14ac:dyDescent="0.25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>VLOOKUP(F3117,'Customer Info'!$A:$B,2,0)</f>
        <v>Kean</v>
      </c>
      <c r="H3117" s="6" t="str">
        <f>VLOOKUP(F3117,'Customer Info'!$A$1:$C$501,3,0)</f>
        <v>Thornton</v>
      </c>
      <c r="I3117" s="6" t="str">
        <f>VLOOKUP(F3117,Customer,5,0)</f>
        <v>Melbourne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2826</v>
      </c>
      <c r="O3117" s="2">
        <v>58</v>
      </c>
      <c r="P3117" s="8">
        <f t="shared" si="242"/>
        <v>2884</v>
      </c>
      <c r="Q3117" s="8">
        <f t="shared" si="243"/>
        <v>158</v>
      </c>
      <c r="R3117" s="2" t="s">
        <v>28</v>
      </c>
      <c r="S3117" s="24">
        <f t="shared" si="244"/>
        <v>0.02</v>
      </c>
    </row>
    <row r="3118" spans="1:19" x14ac:dyDescent="0.25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>VLOOKUP(F3118,'Customer Info'!$A:$B,2,0)</f>
        <v>Pamela</v>
      </c>
      <c r="H3118" s="6" t="str">
        <f>VLOOKUP(F3118,'Customer Info'!$A$1:$C$501,3,0)</f>
        <v>Stobb</v>
      </c>
      <c r="I3118" s="6" t="str">
        <f>VLOOKUP(F3118,Customer,5,0)</f>
        <v>Berlin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120</v>
      </c>
      <c r="O3118" s="2">
        <v>10</v>
      </c>
      <c r="P3118" s="8">
        <f t="shared" si="242"/>
        <v>130</v>
      </c>
      <c r="Q3118" s="8">
        <f t="shared" si="243"/>
        <v>6</v>
      </c>
      <c r="R3118" s="2" t="s">
        <v>50</v>
      </c>
      <c r="S3118" s="24">
        <f t="shared" si="244"/>
        <v>0.02</v>
      </c>
    </row>
    <row r="3119" spans="1:19" x14ac:dyDescent="0.25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>VLOOKUP(F3119,'Customer Info'!$A:$B,2,0)</f>
        <v>Julia</v>
      </c>
      <c r="H3119" s="6" t="str">
        <f>VLOOKUP(F3119,'Customer Info'!$A$1:$C$501,3,0)</f>
        <v>Dunbar</v>
      </c>
      <c r="I3119" s="6" t="str">
        <f>VLOOKUP(F3119,Customer,5,0)</f>
        <v>Melbourne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11578</v>
      </c>
      <c r="O3119" s="2">
        <v>90</v>
      </c>
      <c r="P3119" s="8">
        <f t="shared" si="242"/>
        <v>11668</v>
      </c>
      <c r="Q3119" s="8">
        <f t="shared" si="243"/>
        <v>539</v>
      </c>
      <c r="R3119" s="2" t="s">
        <v>50</v>
      </c>
      <c r="S3119" s="24">
        <f t="shared" si="244"/>
        <v>0.05</v>
      </c>
    </row>
    <row r="3120" spans="1:19" x14ac:dyDescent="0.25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>VLOOKUP(F3120,'Customer Info'!$A:$B,2,0)</f>
        <v>Jennifer</v>
      </c>
      <c r="H3120" s="6" t="str">
        <f>VLOOKUP(F3120,'Customer Info'!$A$1:$C$501,3,0)</f>
        <v>Halladay</v>
      </c>
      <c r="I3120" s="6" t="str">
        <f>VLOOKUP(F3120,Customer,5,0)</f>
        <v>Krefeld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69</v>
      </c>
      <c r="O3120" s="2">
        <v>10</v>
      </c>
      <c r="P3120" s="8">
        <f t="shared" si="242"/>
        <v>79</v>
      </c>
      <c r="Q3120" s="8">
        <f t="shared" si="243"/>
        <v>5</v>
      </c>
      <c r="R3120" s="2" t="s">
        <v>28</v>
      </c>
      <c r="S3120" s="24">
        <f t="shared" si="244"/>
        <v>0.02</v>
      </c>
    </row>
    <row r="3121" spans="1:19" x14ac:dyDescent="0.25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>VLOOKUP(F3121,'Customer Info'!$A:$B,2,0)</f>
        <v>Denny</v>
      </c>
      <c r="H3121" s="6" t="str">
        <f>VLOOKUP(F3121,'Customer Info'!$A$1:$C$501,3,0)</f>
        <v>Ordway</v>
      </c>
      <c r="I3121" s="6" t="str">
        <f>VLOOKUP(F3121,Customer,5,0)</f>
        <v>Berlin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510</v>
      </c>
      <c r="O3121" s="2">
        <v>30</v>
      </c>
      <c r="P3121" s="8">
        <f t="shared" si="242"/>
        <v>540</v>
      </c>
      <c r="Q3121" s="8">
        <f t="shared" si="243"/>
        <v>51</v>
      </c>
      <c r="R3121" s="2" t="s">
        <v>28</v>
      </c>
      <c r="S3121" s="24">
        <f t="shared" si="244"/>
        <v>0.02</v>
      </c>
    </row>
    <row r="3122" spans="1:19" x14ac:dyDescent="0.25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>VLOOKUP(F3122,'Customer Info'!$A:$B,2,0)</f>
        <v>Craig</v>
      </c>
      <c r="H3122" s="6" t="str">
        <f>VLOOKUP(F3122,'Customer Info'!$A$1:$C$501,3,0)</f>
        <v>Carroll</v>
      </c>
      <c r="I3122" s="6" t="str">
        <f>VLOOKUP(F3122,Customer,5,0)</f>
        <v>Augsburg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288456</v>
      </c>
      <c r="O3122" s="2">
        <v>24</v>
      </c>
      <c r="P3122" s="8">
        <f t="shared" si="242"/>
        <v>288480</v>
      </c>
      <c r="Q3122" s="8">
        <f t="shared" si="243"/>
        <v>16232</v>
      </c>
      <c r="R3122" s="2" t="s">
        <v>26</v>
      </c>
      <c r="S3122" s="24">
        <f t="shared" si="244"/>
        <v>0.15</v>
      </c>
    </row>
    <row r="3123" spans="1:19" x14ac:dyDescent="0.25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>VLOOKUP(F3123,'Customer Info'!$A:$B,2,0)</f>
        <v>Cari</v>
      </c>
      <c r="H3123" s="6" t="str">
        <f>VLOOKUP(F3123,'Customer Info'!$A$1:$C$501,3,0)</f>
        <v>Sayre</v>
      </c>
      <c r="I3123" s="6" t="str">
        <f>VLOOKUP(F3123,Customer,5,0)</f>
        <v>Recklinghausen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9505</v>
      </c>
      <c r="O3123" s="2">
        <v>100</v>
      </c>
      <c r="P3123" s="8">
        <f t="shared" si="242"/>
        <v>9605</v>
      </c>
      <c r="Q3123" s="8">
        <f t="shared" si="243"/>
        <v>455</v>
      </c>
      <c r="R3123" s="2" t="s">
        <v>28</v>
      </c>
      <c r="S3123" s="24">
        <f t="shared" si="244"/>
        <v>0.05</v>
      </c>
    </row>
    <row r="3124" spans="1:19" x14ac:dyDescent="0.25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>VLOOKUP(F3124,'Customer Info'!$A:$B,2,0)</f>
        <v>Vivek</v>
      </c>
      <c r="H3124" s="6" t="str">
        <f>VLOOKUP(F3124,'Customer Info'!$A$1:$C$501,3,0)</f>
        <v>Sundaresam</v>
      </c>
      <c r="I3124" s="6" t="str">
        <f>VLOOKUP(F3124,Customer,5,0)</f>
        <v>Hamburg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5289</v>
      </c>
      <c r="O3124" s="2">
        <v>44</v>
      </c>
      <c r="P3124" s="8">
        <f t="shared" si="242"/>
        <v>5333</v>
      </c>
      <c r="Q3124" s="8">
        <f t="shared" si="243"/>
        <v>483</v>
      </c>
      <c r="R3124" s="2" t="s">
        <v>26</v>
      </c>
      <c r="S3124" s="24">
        <f t="shared" si="244"/>
        <v>0.05</v>
      </c>
    </row>
    <row r="3125" spans="1:19" x14ac:dyDescent="0.25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>VLOOKUP(F3125,'Customer Info'!$A:$B,2,0)</f>
        <v>Neil</v>
      </c>
      <c r="H3125" s="6" t="str">
        <f>VLOOKUP(F3125,'Customer Info'!$A$1:$C$501,3,0)</f>
        <v>Knudson</v>
      </c>
      <c r="I3125" s="6" t="str">
        <f>VLOOKUP(F3125,Customer,5,0)</f>
        <v>Malang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13270</v>
      </c>
      <c r="O3125" s="2">
        <v>85</v>
      </c>
      <c r="P3125" s="8">
        <f t="shared" si="242"/>
        <v>13355</v>
      </c>
      <c r="Q3125" s="8">
        <f t="shared" si="243"/>
        <v>628</v>
      </c>
      <c r="R3125" s="2" t="s">
        <v>50</v>
      </c>
      <c r="S3125" s="24">
        <f t="shared" si="244"/>
        <v>0.05</v>
      </c>
    </row>
    <row r="3126" spans="1:19" x14ac:dyDescent="0.25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>VLOOKUP(F3126,'Customer Info'!$A:$B,2,0)</f>
        <v>Brad</v>
      </c>
      <c r="H3126" s="6" t="str">
        <f>VLOOKUP(F3126,'Customer Info'!$A$1:$C$501,3,0)</f>
        <v>Thomas</v>
      </c>
      <c r="I3126" s="6" t="str">
        <f>VLOOKUP(F3126,Customer,5,0)</f>
        <v>Udaipur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372</v>
      </c>
      <c r="O3126" s="2">
        <v>10</v>
      </c>
      <c r="P3126" s="8">
        <f t="shared" si="242"/>
        <v>382</v>
      </c>
      <c r="Q3126" s="8">
        <f t="shared" si="243"/>
        <v>24</v>
      </c>
      <c r="R3126" s="2" t="s">
        <v>50</v>
      </c>
      <c r="S3126" s="24">
        <f t="shared" si="244"/>
        <v>0.02</v>
      </c>
    </row>
    <row r="3127" spans="1:19" x14ac:dyDescent="0.25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>VLOOKUP(F3127,'Customer Info'!$A:$B,2,0)</f>
        <v>Heather</v>
      </c>
      <c r="H3127" s="6" t="str">
        <f>VLOOKUP(F3127,'Customer Info'!$A$1:$C$501,3,0)</f>
        <v>Kirkland</v>
      </c>
      <c r="I3127" s="6" t="str">
        <f>VLOOKUP(F3127,Customer,5,0)</f>
        <v>Luoyang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25792</v>
      </c>
      <c r="O3127" s="2">
        <v>26</v>
      </c>
      <c r="P3127" s="8">
        <f t="shared" si="242"/>
        <v>25818</v>
      </c>
      <c r="Q3127" s="8">
        <f t="shared" si="243"/>
        <v>2584</v>
      </c>
      <c r="R3127" s="2" t="s">
        <v>28</v>
      </c>
      <c r="S3127" s="24">
        <f t="shared" si="244"/>
        <v>7.0000000000000007E-2</v>
      </c>
    </row>
    <row r="3128" spans="1:19" x14ac:dyDescent="0.25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>VLOOKUP(F3128,'Customer Info'!$A:$B,2,0)</f>
        <v>Philisse</v>
      </c>
      <c r="H3128" s="6" t="str">
        <f>VLOOKUP(F3128,'Customer Info'!$A$1:$C$501,3,0)</f>
        <v>Overcash</v>
      </c>
      <c r="I3128" s="6" t="str">
        <f>VLOOKUP(F3128,Customer,5,0)</f>
        <v>Potsdam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7725</v>
      </c>
      <c r="O3128" s="2">
        <v>29</v>
      </c>
      <c r="P3128" s="8">
        <f t="shared" si="242"/>
        <v>7754</v>
      </c>
      <c r="Q3128" s="8">
        <f t="shared" si="243"/>
        <v>295</v>
      </c>
      <c r="R3128" s="2" t="s">
        <v>28</v>
      </c>
      <c r="S3128" s="24">
        <f t="shared" si="244"/>
        <v>0.05</v>
      </c>
    </row>
    <row r="3129" spans="1:19" x14ac:dyDescent="0.25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>VLOOKUP(F3129,'Customer Info'!$A:$B,2,0)</f>
        <v>Philisse</v>
      </c>
      <c r="H3129" s="6" t="str">
        <f>VLOOKUP(F3129,'Customer Info'!$A$1:$C$501,3,0)</f>
        <v>Overcash</v>
      </c>
      <c r="I3129" s="6" t="str">
        <f>VLOOKUP(F3129,Customer,5,0)</f>
        <v>Devonport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23528</v>
      </c>
      <c r="O3129" s="2">
        <v>93</v>
      </c>
      <c r="P3129" s="8">
        <f t="shared" si="242"/>
        <v>23621</v>
      </c>
      <c r="Q3129" s="8">
        <f t="shared" si="243"/>
        <v>676</v>
      </c>
      <c r="R3129" s="2" t="s">
        <v>28</v>
      </c>
      <c r="S3129" s="24">
        <f t="shared" si="244"/>
        <v>0.05</v>
      </c>
    </row>
    <row r="3130" spans="1:19" x14ac:dyDescent="0.25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>VLOOKUP(F3130,'Customer Info'!$A:$B,2,0)</f>
        <v>Tim</v>
      </c>
      <c r="H3130" s="6" t="str">
        <f>VLOOKUP(F3130,'Customer Info'!$A$1:$C$501,3,0)</f>
        <v>Brockman</v>
      </c>
      <c r="I3130" s="6" t="str">
        <f>VLOOKUP(F3130,Customer,5,0)</f>
        <v>Toowoomba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77</v>
      </c>
      <c r="O3130" s="2">
        <v>10</v>
      </c>
      <c r="P3130" s="8">
        <f t="shared" si="242"/>
        <v>87</v>
      </c>
      <c r="Q3130" s="8">
        <f t="shared" si="243"/>
        <v>4</v>
      </c>
      <c r="R3130" s="2" t="s">
        <v>28</v>
      </c>
      <c r="S3130" s="24">
        <f t="shared" si="244"/>
        <v>0.02</v>
      </c>
    </row>
    <row r="3131" spans="1:19" x14ac:dyDescent="0.25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>VLOOKUP(F3131,'Customer Info'!$A:$B,2,0)</f>
        <v>Barry</v>
      </c>
      <c r="H3131" s="6" t="str">
        <f>VLOOKUP(F3131,'Customer Info'!$A$1:$C$501,3,0)</f>
        <v>Franzšsisch</v>
      </c>
      <c r="I3131" s="6" t="str">
        <f>VLOOKUP(F3131,Customer,5,0)</f>
        <v>Canberra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2916</v>
      </c>
      <c r="O3131" s="2">
        <v>44</v>
      </c>
      <c r="P3131" s="8">
        <f t="shared" si="242"/>
        <v>2960</v>
      </c>
      <c r="Q3131" s="8">
        <f t="shared" si="243"/>
        <v>160</v>
      </c>
      <c r="R3131" s="2" t="s">
        <v>50</v>
      </c>
      <c r="S3131" s="24">
        <f t="shared" si="244"/>
        <v>0.02</v>
      </c>
    </row>
    <row r="3132" spans="1:19" x14ac:dyDescent="0.25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>VLOOKUP(F3132,'Customer Info'!$A:$B,2,0)</f>
        <v>Ralph</v>
      </c>
      <c r="H3132" s="6" t="str">
        <f>VLOOKUP(F3132,'Customer Info'!$A$1:$C$501,3,0)</f>
        <v>Arnett</v>
      </c>
      <c r="I3132" s="6" t="str">
        <f>VLOOKUP(F3132,Customer,5,0)</f>
        <v>Suzhou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1328</v>
      </c>
      <c r="O3132" s="2">
        <v>41</v>
      </c>
      <c r="P3132" s="8">
        <f t="shared" si="242"/>
        <v>1369</v>
      </c>
      <c r="Q3132" s="8">
        <f t="shared" si="243"/>
        <v>176</v>
      </c>
      <c r="R3132" s="2" t="s">
        <v>56</v>
      </c>
      <c r="S3132" s="24">
        <f t="shared" si="244"/>
        <v>0.02</v>
      </c>
    </row>
    <row r="3133" spans="1:19" x14ac:dyDescent="0.25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>VLOOKUP(F3133,'Customer Info'!$A:$B,2,0)</f>
        <v>Lisa</v>
      </c>
      <c r="H3133" s="6" t="str">
        <f>VLOOKUP(F3133,'Customer Info'!$A$1:$C$501,3,0)</f>
        <v>DeCherney</v>
      </c>
      <c r="I3133" s="6" t="str">
        <f>VLOOKUP(F3133,Customer,5,0)</f>
        <v>Ningbo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51990</v>
      </c>
      <c r="O3133" s="2">
        <v>24</v>
      </c>
      <c r="P3133" s="8">
        <f t="shared" si="242"/>
        <v>52014</v>
      </c>
      <c r="Q3133" s="8">
        <f t="shared" si="243"/>
        <v>5652</v>
      </c>
      <c r="R3133" s="2" t="s">
        <v>26</v>
      </c>
      <c r="S3133" s="24">
        <f t="shared" si="244"/>
        <v>0.09</v>
      </c>
    </row>
    <row r="3134" spans="1:19" x14ac:dyDescent="0.25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>VLOOKUP(F3134,'Customer Info'!$A:$B,2,0)</f>
        <v>Barry</v>
      </c>
      <c r="H3134" s="6" t="str">
        <f>VLOOKUP(F3134,'Customer Info'!$A$1:$C$501,3,0)</f>
        <v>Blumstein</v>
      </c>
      <c r="I3134" s="6" t="str">
        <f>VLOOKUP(F3134,Customer,5,0)</f>
        <v>Gold Coast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3144</v>
      </c>
      <c r="O3134" s="2">
        <v>56</v>
      </c>
      <c r="P3134" s="8">
        <f t="shared" si="242"/>
        <v>3200</v>
      </c>
      <c r="Q3134" s="8">
        <f t="shared" si="243"/>
        <v>152</v>
      </c>
      <c r="R3134" s="2" t="s">
        <v>50</v>
      </c>
      <c r="S3134" s="24">
        <f t="shared" si="244"/>
        <v>0.02</v>
      </c>
    </row>
    <row r="3135" spans="1:19" x14ac:dyDescent="0.25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>VLOOKUP(F3135,'Customer Info'!$A:$B,2,0)</f>
        <v>Fred</v>
      </c>
      <c r="H3135" s="6" t="str">
        <f>VLOOKUP(F3135,'Customer Info'!$A$1:$C$501,3,0)</f>
        <v>Wasserman</v>
      </c>
      <c r="I3135" s="6" t="str">
        <f>VLOOKUP(F3135,Customer,5,0)</f>
        <v>Willich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14464</v>
      </c>
      <c r="O3135" s="2">
        <v>90</v>
      </c>
      <c r="P3135" s="8">
        <f t="shared" si="242"/>
        <v>14554</v>
      </c>
      <c r="Q3135" s="8">
        <f t="shared" si="243"/>
        <v>958</v>
      </c>
      <c r="R3135" s="2" t="s">
        <v>50</v>
      </c>
      <c r="S3135" s="24">
        <f t="shared" si="244"/>
        <v>0.05</v>
      </c>
    </row>
    <row r="3136" spans="1:19" x14ac:dyDescent="0.25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>VLOOKUP(F3136,'Customer Info'!$A:$B,2,0)</f>
        <v>Vivek</v>
      </c>
      <c r="H3136" s="6" t="str">
        <f>VLOOKUP(F3136,'Customer Info'!$A$1:$C$501,3,0)</f>
        <v>Sundaresam</v>
      </c>
      <c r="I3136" s="6" t="str">
        <f>VLOOKUP(F3136,Customer,5,0)</f>
        <v>Hamburg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4676</v>
      </c>
      <c r="O3136" s="2">
        <v>84</v>
      </c>
      <c r="P3136" s="8">
        <f t="shared" si="242"/>
        <v>4760</v>
      </c>
      <c r="Q3136" s="8">
        <f t="shared" si="243"/>
        <v>264</v>
      </c>
      <c r="R3136" s="2" t="s">
        <v>28</v>
      </c>
      <c r="S3136" s="24">
        <f t="shared" si="244"/>
        <v>0.02</v>
      </c>
    </row>
    <row r="3137" spans="1:19" x14ac:dyDescent="0.25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>VLOOKUP(F3137,'Customer Info'!$A:$B,2,0)</f>
        <v>Resi</v>
      </c>
      <c r="H3137" s="6" t="str">
        <f>VLOOKUP(F3137,'Customer Info'!$A$1:$C$501,3,0)</f>
        <v>Pšlking</v>
      </c>
      <c r="I3137" s="6" t="str">
        <f>VLOOKUP(F3137,Customer,5,0)</f>
        <v>Gelsenkirchen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8773</v>
      </c>
      <c r="O3137" s="2">
        <v>90</v>
      </c>
      <c r="P3137" s="8">
        <f t="shared" si="242"/>
        <v>8863</v>
      </c>
      <c r="Q3137" s="8">
        <f t="shared" si="243"/>
        <v>658</v>
      </c>
      <c r="R3137" s="2" t="s">
        <v>50</v>
      </c>
      <c r="S3137" s="24">
        <f t="shared" si="244"/>
        <v>0.05</v>
      </c>
    </row>
    <row r="3138" spans="1:19" x14ac:dyDescent="0.25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>VLOOKUP(F3138,'Customer Info'!$A:$B,2,0)</f>
        <v>Kean</v>
      </c>
      <c r="H3138" s="6" t="str">
        <f>VLOOKUP(F3138,'Customer Info'!$A$1:$C$501,3,0)</f>
        <v>Thornton</v>
      </c>
      <c r="I3138" s="6" t="str">
        <f>VLOOKUP(F3138,Customer,5,0)</f>
        <v>Melbourne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2600</v>
      </c>
      <c r="O3138" s="2">
        <v>73</v>
      </c>
      <c r="P3138" s="8">
        <f t="shared" si="242"/>
        <v>2673</v>
      </c>
      <c r="Q3138" s="8">
        <f t="shared" si="243"/>
        <v>215</v>
      </c>
      <c r="R3138" s="2" t="s">
        <v>50</v>
      </c>
      <c r="S3138" s="24">
        <f t="shared" si="244"/>
        <v>0.02</v>
      </c>
    </row>
    <row r="3139" spans="1:19" x14ac:dyDescent="0.25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>VLOOKUP(F3139,'Customer Info'!$A:$B,2,0)</f>
        <v>Cathy</v>
      </c>
      <c r="H3139" s="6" t="str">
        <f>VLOOKUP(F3139,'Customer Info'!$A$1:$C$501,3,0)</f>
        <v>Hwang</v>
      </c>
      <c r="I3139" s="6" t="str">
        <f>VLOOKUP(F3139,Customer,5,0)</f>
        <v>Ballarat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4960</v>
      </c>
      <c r="O3139" s="2">
        <v>34</v>
      </c>
      <c r="P3139" s="8">
        <f t="shared" si="242"/>
        <v>4994</v>
      </c>
      <c r="Q3139" s="8">
        <f t="shared" si="243"/>
        <v>320</v>
      </c>
      <c r="R3139" s="2" t="s">
        <v>28</v>
      </c>
      <c r="S3139" s="24">
        <f t="shared" si="244"/>
        <v>0.02</v>
      </c>
    </row>
    <row r="3140" spans="1:19" x14ac:dyDescent="0.25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>VLOOKUP(F3140,'Customer Info'!$A:$B,2,0)</f>
        <v>Thomas</v>
      </c>
      <c r="H3140" s="6" t="str">
        <f>VLOOKUP(F3140,'Customer Info'!$A$1:$C$501,3,0)</f>
        <v>Brumley</v>
      </c>
      <c r="I3140" s="6" t="str">
        <f>VLOOKUP(F3140,Customer,5,0)</f>
        <v>Jinan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4660</v>
      </c>
      <c r="O3140" s="2">
        <v>96</v>
      </c>
      <c r="P3140" s="8">
        <f t="shared" si="242"/>
        <v>4756</v>
      </c>
      <c r="Q3140" s="8">
        <f t="shared" si="243"/>
        <v>470</v>
      </c>
      <c r="R3140" s="2" t="s">
        <v>50</v>
      </c>
      <c r="S3140" s="24">
        <f t="shared" si="244"/>
        <v>0.02</v>
      </c>
    </row>
    <row r="3141" spans="1:19" x14ac:dyDescent="0.25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>VLOOKUP(F3141,'Customer Info'!$A:$B,2,0)</f>
        <v>Jack</v>
      </c>
      <c r="H3141" s="6" t="str">
        <f>VLOOKUP(F3141,'Customer Info'!$A$1:$C$501,3,0)</f>
        <v>Garza</v>
      </c>
      <c r="I3141" s="6" t="str">
        <f>VLOOKUP(F3141,Customer,5,0)</f>
        <v>Oldenburg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3236</v>
      </c>
      <c r="O3141" s="2">
        <v>80</v>
      </c>
      <c r="P3141" s="8">
        <f t="shared" si="242"/>
        <v>3316</v>
      </c>
      <c r="Q3141" s="8">
        <f t="shared" si="243"/>
        <v>156</v>
      </c>
      <c r="R3141" s="2" t="s">
        <v>50</v>
      </c>
      <c r="S3141" s="24">
        <f t="shared" si="244"/>
        <v>0.02</v>
      </c>
    </row>
    <row r="3142" spans="1:19" x14ac:dyDescent="0.25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>VLOOKUP(F3142,'Customer Info'!$A:$B,2,0)</f>
        <v>Brooke</v>
      </c>
      <c r="H3142" s="6" t="str">
        <f>VLOOKUP(F3142,'Customer Info'!$A$1:$C$501,3,0)</f>
        <v>Gillingham</v>
      </c>
      <c r="I3142" s="6" t="str">
        <f>VLOOKUP(F3142,Customer,5,0)</f>
        <v>Sunbury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8361</v>
      </c>
      <c r="O3142" s="2">
        <v>82</v>
      </c>
      <c r="P3142" s="8">
        <f t="shared" si="242"/>
        <v>8443</v>
      </c>
      <c r="Q3142" s="8">
        <f t="shared" si="243"/>
        <v>318</v>
      </c>
      <c r="R3142" s="2" t="s">
        <v>50</v>
      </c>
      <c r="S3142" s="24">
        <f t="shared" si="244"/>
        <v>0.05</v>
      </c>
    </row>
    <row r="3143" spans="1:19" x14ac:dyDescent="0.25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>VLOOKUP(F3143,'Customer Info'!$A:$B,2,0)</f>
        <v>Fred</v>
      </c>
      <c r="H3143" s="6" t="str">
        <f>VLOOKUP(F3143,'Customer Info'!$A$1:$C$501,3,0)</f>
        <v>Wasserman</v>
      </c>
      <c r="I3143" s="6" t="str">
        <f>VLOOKUP(F3143,Customer,5,0)</f>
        <v>Willich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25600</v>
      </c>
      <c r="O3143" s="2">
        <v>88</v>
      </c>
      <c r="P3143" s="8">
        <f t="shared" si="242"/>
        <v>25688</v>
      </c>
      <c r="Q3143" s="8">
        <f t="shared" si="243"/>
        <v>-4</v>
      </c>
      <c r="R3143" s="2" t="s">
        <v>28</v>
      </c>
      <c r="S3143" s="24">
        <f t="shared" si="244"/>
        <v>7.0000000000000007E-2</v>
      </c>
    </row>
    <row r="3144" spans="1:19" x14ac:dyDescent="0.25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>VLOOKUP(F3144,'Customer Info'!$A:$B,2,0)</f>
        <v>Cari</v>
      </c>
      <c r="H3144" s="6" t="str">
        <f>VLOOKUP(F3144,'Customer Info'!$A$1:$C$501,3,0)</f>
        <v>MacIntyre</v>
      </c>
      <c r="I3144" s="6" t="str">
        <f>VLOOKUP(F3144,Customer,5,0)</f>
        <v>Freiburg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6108</v>
      </c>
      <c r="O3144" s="2">
        <v>69</v>
      </c>
      <c r="P3144" s="8">
        <f t="shared" si="242"/>
        <v>6177</v>
      </c>
      <c r="Q3144" s="8">
        <f t="shared" si="243"/>
        <v>666</v>
      </c>
      <c r="R3144" s="2" t="s">
        <v>50</v>
      </c>
      <c r="S3144" s="24">
        <f t="shared" si="244"/>
        <v>0.05</v>
      </c>
    </row>
    <row r="3145" spans="1:19" x14ac:dyDescent="0.25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>VLOOKUP(F3145,'Customer Info'!$A:$B,2,0)</f>
        <v>Brenda</v>
      </c>
      <c r="H3145" s="6" t="str">
        <f>VLOOKUP(F3145,'Customer Info'!$A$1:$C$501,3,0)</f>
        <v>Bowman</v>
      </c>
      <c r="I3145" s="6" t="str">
        <f>VLOOKUP(F3145,Customer,5,0)</f>
        <v>Perth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23478</v>
      </c>
      <c r="O3145" s="2">
        <v>43</v>
      </c>
      <c r="P3145" s="8">
        <f t="shared" si="242"/>
        <v>23521</v>
      </c>
      <c r="Q3145" s="8">
        <f t="shared" si="243"/>
        <v>1764</v>
      </c>
      <c r="R3145" s="2" t="s">
        <v>28</v>
      </c>
      <c r="S3145" s="24">
        <f t="shared" si="244"/>
        <v>0.05</v>
      </c>
    </row>
    <row r="3146" spans="1:19" x14ac:dyDescent="0.25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>VLOOKUP(F3146,'Customer Info'!$A:$B,2,0)</f>
        <v>Alex</v>
      </c>
      <c r="H3146" s="6" t="str">
        <f>VLOOKUP(F3146,'Customer Info'!$A$1:$C$501,3,0)</f>
        <v>Avila</v>
      </c>
      <c r="I3146" s="6" t="str">
        <f>VLOOKUP(F3146,Customer,5,0)</f>
        <v>Agra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23592</v>
      </c>
      <c r="O3146" s="2">
        <v>32</v>
      </c>
      <c r="P3146" s="8">
        <f t="shared" si="242"/>
        <v>23624</v>
      </c>
      <c r="Q3146" s="8">
        <f t="shared" si="243"/>
        <v>903</v>
      </c>
      <c r="R3146" s="2" t="s">
        <v>50</v>
      </c>
      <c r="S3146" s="24">
        <f t="shared" si="244"/>
        <v>0.05</v>
      </c>
    </row>
    <row r="3147" spans="1:19" x14ac:dyDescent="0.25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>VLOOKUP(F3147,'Customer Info'!$A:$B,2,0)</f>
        <v>Tim</v>
      </c>
      <c r="H3147" s="6" t="str">
        <f>VLOOKUP(F3147,'Customer Info'!$A$1:$C$501,3,0)</f>
        <v>Brockman</v>
      </c>
      <c r="I3147" s="6" t="str">
        <f>VLOOKUP(F3147,Customer,5,0)</f>
        <v>Toowoomba</v>
      </c>
      <c r="J3147" s="2">
        <v>224</v>
      </c>
      <c r="K3147" s="2">
        <v>210</v>
      </c>
      <c r="L3147" s="2">
        <v>3</v>
      </c>
      <c r="M3147" s="7">
        <f t="shared" ref="M3147:M3210" si="245">K3147*L3147</f>
        <v>630</v>
      </c>
      <c r="N3147" s="7">
        <f t="shared" ref="N3147:N3210" si="246">J3147*L3147</f>
        <v>672</v>
      </c>
      <c r="O3147" s="2">
        <v>41</v>
      </c>
      <c r="P3147" s="8">
        <f t="shared" ref="P3147:P3210" si="247">N3147+O3147</f>
        <v>713</v>
      </c>
      <c r="Q3147" s="8">
        <f t="shared" ref="Q3147:Q3210" si="248">N3147-M3147</f>
        <v>42</v>
      </c>
      <c r="R3147" s="2" t="s">
        <v>26</v>
      </c>
      <c r="S3147" s="24">
        <f t="shared" ref="S3147:S3210" si="249">VLOOKUP(N3147,$T$1:$U$7,2,TRUE)</f>
        <v>0.02</v>
      </c>
    </row>
    <row r="3148" spans="1:19" x14ac:dyDescent="0.25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>VLOOKUP(F3148,'Customer Info'!$A:$B,2,0)</f>
        <v>Steven</v>
      </c>
      <c r="H3148" s="6" t="str">
        <f>VLOOKUP(F3148,'Customer Info'!$A$1:$C$501,3,0)</f>
        <v>Roelle</v>
      </c>
      <c r="I3148" s="6" t="str">
        <f>VLOOKUP(F3148,Customer,5,0)</f>
        <v>Bonn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8">
        <f t="shared" si="247"/>
        <v>290</v>
      </c>
      <c r="Q3148" s="8">
        <f t="shared" si="248"/>
        <v>16</v>
      </c>
      <c r="R3148" s="2" t="s">
        <v>28</v>
      </c>
      <c r="S3148" s="24">
        <f t="shared" si="249"/>
        <v>0.02</v>
      </c>
    </row>
    <row r="3149" spans="1:19" x14ac:dyDescent="0.25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>VLOOKUP(F3149,'Customer Info'!$A:$B,2,0)</f>
        <v>Shirley</v>
      </c>
      <c r="H3149" s="6" t="str">
        <f>VLOOKUP(F3149,'Customer Info'!$A$1:$C$501,3,0)</f>
        <v>Jackson</v>
      </c>
      <c r="I3149" s="6" t="str">
        <f>VLOOKUP(F3149,Customer,5,0)</f>
        <v>Gold Coast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8">
        <f t="shared" si="247"/>
        <v>3915</v>
      </c>
      <c r="Q3149" s="8">
        <f t="shared" si="248"/>
        <v>182</v>
      </c>
      <c r="R3149" s="2" t="s">
        <v>26</v>
      </c>
      <c r="S3149" s="24">
        <f t="shared" si="249"/>
        <v>0.02</v>
      </c>
    </row>
    <row r="3150" spans="1:19" x14ac:dyDescent="0.25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>VLOOKUP(F3150,'Customer Info'!$A:$B,2,0)</f>
        <v>Peter</v>
      </c>
      <c r="H3150" s="6" t="str">
        <f>VLOOKUP(F3150,'Customer Info'!$A$1:$C$501,3,0)</f>
        <v>BŸhler</v>
      </c>
      <c r="I3150" s="6" t="str">
        <f>VLOOKUP(F3150,Customer,5,0)</f>
        <v>Wolfsburg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8">
        <f t="shared" si="247"/>
        <v>238</v>
      </c>
      <c r="Q3150" s="8">
        <f t="shared" si="248"/>
        <v>17</v>
      </c>
      <c r="R3150" s="2" t="s">
        <v>28</v>
      </c>
      <c r="S3150" s="24">
        <f t="shared" si="249"/>
        <v>0.02</v>
      </c>
    </row>
    <row r="3151" spans="1:19" x14ac:dyDescent="0.25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>VLOOKUP(F3151,'Customer Info'!$A:$B,2,0)</f>
        <v>Michael</v>
      </c>
      <c r="H3151" s="6" t="str">
        <f>VLOOKUP(F3151,'Customer Info'!$A$1:$C$501,3,0)</f>
        <v>Nguyen</v>
      </c>
      <c r="I3151" s="6" t="str">
        <f>VLOOKUP(F3151,Customer,5,0)</f>
        <v>Berlin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8">
        <f t="shared" si="247"/>
        <v>3260</v>
      </c>
      <c r="Q3151" s="8">
        <f t="shared" si="248"/>
        <v>207</v>
      </c>
      <c r="R3151" s="2" t="s">
        <v>28</v>
      </c>
      <c r="S3151" s="24">
        <f t="shared" si="249"/>
        <v>0.02</v>
      </c>
    </row>
    <row r="3152" spans="1:19" x14ac:dyDescent="0.25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>VLOOKUP(F3152,'Customer Info'!$A:$B,2,0)</f>
        <v>Alejandro</v>
      </c>
      <c r="H3152" s="6" t="str">
        <f>VLOOKUP(F3152,'Customer Info'!$A$1:$C$501,3,0)</f>
        <v>Ballentine</v>
      </c>
      <c r="I3152" s="6" t="str">
        <f>VLOOKUP(F3152,Customer,5,0)</f>
        <v>Mannheim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2088</v>
      </c>
      <c r="O3152" s="2">
        <v>31</v>
      </c>
      <c r="P3152" s="8">
        <f t="shared" si="247"/>
        <v>2119</v>
      </c>
      <c r="Q3152" s="8">
        <f t="shared" si="248"/>
        <v>118</v>
      </c>
      <c r="R3152" s="2" t="s">
        <v>28</v>
      </c>
      <c r="S3152" s="24">
        <f t="shared" si="249"/>
        <v>0.02</v>
      </c>
    </row>
    <row r="3153" spans="1:19" x14ac:dyDescent="0.25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>VLOOKUP(F3153,'Customer Info'!$A:$B,2,0)</f>
        <v>Toby</v>
      </c>
      <c r="H3153" s="6" t="str">
        <f>VLOOKUP(F3153,'Customer Info'!$A$1:$C$501,3,0)</f>
        <v>Swindell</v>
      </c>
      <c r="I3153" s="6" t="str">
        <f>VLOOKUP(F3153,Customer,5,0)</f>
        <v>Ninghai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17234</v>
      </c>
      <c r="O3153" s="2">
        <v>99</v>
      </c>
      <c r="P3153" s="8">
        <f t="shared" si="247"/>
        <v>17333</v>
      </c>
      <c r="Q3153" s="8">
        <f t="shared" si="248"/>
        <v>1434</v>
      </c>
      <c r="R3153" s="2" t="s">
        <v>28</v>
      </c>
      <c r="S3153" s="24">
        <f t="shared" si="249"/>
        <v>0.05</v>
      </c>
    </row>
    <row r="3154" spans="1:19" x14ac:dyDescent="0.25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>VLOOKUP(F3154,'Customer Info'!$A:$B,2,0)</f>
        <v>Tom</v>
      </c>
      <c r="H3154" s="6" t="str">
        <f>VLOOKUP(F3154,'Customer Info'!$A$1:$C$501,3,0)</f>
        <v>Prescott</v>
      </c>
      <c r="I3154" s="6" t="str">
        <f>VLOOKUP(F3154,Customer,5,0)</f>
        <v>Bokaro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1578</v>
      </c>
      <c r="O3154" s="2">
        <v>76</v>
      </c>
      <c r="P3154" s="8">
        <f t="shared" si="247"/>
        <v>1654</v>
      </c>
      <c r="Q3154" s="8">
        <f t="shared" si="248"/>
        <v>100</v>
      </c>
      <c r="R3154" s="2" t="s">
        <v>26</v>
      </c>
      <c r="S3154" s="24">
        <f t="shared" si="249"/>
        <v>0.02</v>
      </c>
    </row>
    <row r="3155" spans="1:19" x14ac:dyDescent="0.25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>VLOOKUP(F3155,'Customer Info'!$A:$B,2,0)</f>
        <v>Tamara</v>
      </c>
      <c r="H3155" s="6" t="str">
        <f>VLOOKUP(F3155,'Customer Info'!$A$1:$C$501,3,0)</f>
        <v>Willingham</v>
      </c>
      <c r="I3155" s="6" t="str">
        <f>VLOOKUP(F3155,Customer,5,0)</f>
        <v>Perth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1316</v>
      </c>
      <c r="O3155" s="2">
        <v>51</v>
      </c>
      <c r="P3155" s="8">
        <f t="shared" si="247"/>
        <v>1367</v>
      </c>
      <c r="Q3155" s="8">
        <f t="shared" si="248"/>
        <v>86</v>
      </c>
      <c r="R3155" s="2" t="s">
        <v>50</v>
      </c>
      <c r="S3155" s="24">
        <f t="shared" si="249"/>
        <v>0.02</v>
      </c>
    </row>
    <row r="3156" spans="1:19" x14ac:dyDescent="0.25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>VLOOKUP(F3156,'Customer Info'!$A:$B,2,0)</f>
        <v>Daniel</v>
      </c>
      <c r="H3156" s="6" t="str">
        <f>VLOOKUP(F3156,'Customer Info'!$A$1:$C$501,3,0)</f>
        <v>Raglin</v>
      </c>
      <c r="I3156" s="6" t="str">
        <f>VLOOKUP(F3156,Customer,5,0)</f>
        <v>Gold Coast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4620</v>
      </c>
      <c r="O3156" s="2">
        <v>58</v>
      </c>
      <c r="P3156" s="8">
        <f t="shared" si="247"/>
        <v>4678</v>
      </c>
      <c r="Q3156" s="8">
        <f t="shared" si="248"/>
        <v>540</v>
      </c>
      <c r="R3156" s="2" t="s">
        <v>28</v>
      </c>
      <c r="S3156" s="24">
        <f t="shared" si="249"/>
        <v>0.02</v>
      </c>
    </row>
    <row r="3157" spans="1:19" x14ac:dyDescent="0.25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>VLOOKUP(F3157,'Customer Info'!$A:$B,2,0)</f>
        <v>Andrew</v>
      </c>
      <c r="H3157" s="6" t="str">
        <f>VLOOKUP(F3157,'Customer Info'!$A$1:$C$501,3,0)</f>
        <v>Gjertsen</v>
      </c>
      <c r="I3157" s="6" t="str">
        <f>VLOOKUP(F3157,Customer,5,0)</f>
        <v>Hamburg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14825</v>
      </c>
      <c r="O3157" s="2">
        <v>46</v>
      </c>
      <c r="P3157" s="8">
        <f t="shared" si="247"/>
        <v>14871</v>
      </c>
      <c r="Q3157" s="8">
        <f t="shared" si="248"/>
        <v>1355</v>
      </c>
      <c r="R3157" s="2" t="s">
        <v>50</v>
      </c>
      <c r="S3157" s="24">
        <f t="shared" si="249"/>
        <v>0.05</v>
      </c>
    </row>
    <row r="3158" spans="1:19" x14ac:dyDescent="0.25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>VLOOKUP(F3158,'Customer Info'!$A:$B,2,0)</f>
        <v>Tony</v>
      </c>
      <c r="H3158" s="6" t="str">
        <f>VLOOKUP(F3158,'Customer Info'!$A$1:$C$501,3,0)</f>
        <v>Sayre</v>
      </c>
      <c r="I3158" s="6" t="str">
        <f>VLOOKUP(F3158,Customer,5,0)</f>
        <v>Jakarta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6812</v>
      </c>
      <c r="O3158" s="2">
        <v>24</v>
      </c>
      <c r="P3158" s="8">
        <f t="shared" si="247"/>
        <v>6836</v>
      </c>
      <c r="Q3158" s="8">
        <f t="shared" si="248"/>
        <v>256</v>
      </c>
      <c r="R3158" s="2" t="s">
        <v>28</v>
      </c>
      <c r="S3158" s="24">
        <f t="shared" si="249"/>
        <v>0.05</v>
      </c>
    </row>
    <row r="3159" spans="1:19" x14ac:dyDescent="0.25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>VLOOKUP(F3159,'Customer Info'!$A:$B,2,0)</f>
        <v>Duane</v>
      </c>
      <c r="H3159" s="6" t="str">
        <f>VLOOKUP(F3159,'Customer Info'!$A$1:$C$501,3,0)</f>
        <v>Benoit</v>
      </c>
      <c r="I3159" s="6" t="str">
        <f>VLOOKUP(F3159,Customer,5,0)</f>
        <v>Tamworth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1181</v>
      </c>
      <c r="O3159" s="2">
        <v>41</v>
      </c>
      <c r="P3159" s="8">
        <f t="shared" si="247"/>
        <v>1222</v>
      </c>
      <c r="Q3159" s="8">
        <f t="shared" si="248"/>
        <v>45</v>
      </c>
      <c r="R3159" s="2" t="s">
        <v>28</v>
      </c>
      <c r="S3159" s="24">
        <f t="shared" si="249"/>
        <v>0.02</v>
      </c>
    </row>
    <row r="3160" spans="1:19" x14ac:dyDescent="0.25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>VLOOKUP(F3160,'Customer Info'!$A:$B,2,0)</f>
        <v>Eugene</v>
      </c>
      <c r="H3160" s="6" t="str">
        <f>VLOOKUP(F3160,'Customer Info'!$A$1:$C$501,3,0)</f>
        <v>Hildebrand</v>
      </c>
      <c r="I3160" s="6" t="str">
        <f>VLOOKUP(F3160,Customer,5,0)</f>
        <v>Sindelfingen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332</v>
      </c>
      <c r="O3160" s="2">
        <v>30</v>
      </c>
      <c r="P3160" s="8">
        <f t="shared" si="247"/>
        <v>362</v>
      </c>
      <c r="Q3160" s="8">
        <f t="shared" si="248"/>
        <v>34</v>
      </c>
      <c r="R3160" s="2" t="s">
        <v>26</v>
      </c>
      <c r="S3160" s="24">
        <f t="shared" si="249"/>
        <v>0.02</v>
      </c>
    </row>
    <row r="3161" spans="1:19" x14ac:dyDescent="0.25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>VLOOKUP(F3161,'Customer Info'!$A:$B,2,0)</f>
        <v>Michael</v>
      </c>
      <c r="H3161" s="6" t="str">
        <f>VLOOKUP(F3161,'Customer Info'!$A$1:$C$501,3,0)</f>
        <v>Moore</v>
      </c>
      <c r="I3161" s="6" t="str">
        <f>VLOOKUP(F3161,Customer,5,0)</f>
        <v>Geelong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7327</v>
      </c>
      <c r="O3161" s="2">
        <v>63</v>
      </c>
      <c r="P3161" s="8">
        <f t="shared" si="247"/>
        <v>7390</v>
      </c>
      <c r="Q3161" s="8">
        <f t="shared" si="248"/>
        <v>669</v>
      </c>
      <c r="R3161" s="2" t="s">
        <v>50</v>
      </c>
      <c r="S3161" s="24">
        <f t="shared" si="249"/>
        <v>0.05</v>
      </c>
    </row>
    <row r="3162" spans="1:19" x14ac:dyDescent="0.25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>VLOOKUP(F3162,'Customer Info'!$A:$B,2,0)</f>
        <v>Laura</v>
      </c>
      <c r="H3162" s="6" t="str">
        <f>VLOOKUP(F3162,'Customer Info'!$A$1:$C$501,3,0)</f>
        <v>Armstrong</v>
      </c>
      <c r="I3162" s="6" t="str">
        <f>VLOOKUP(F3162,Customer,5,0)</f>
        <v>Torquay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630</v>
      </c>
      <c r="O3162" s="2">
        <v>56</v>
      </c>
      <c r="P3162" s="8">
        <f t="shared" si="247"/>
        <v>686</v>
      </c>
      <c r="Q3162" s="8">
        <f t="shared" si="248"/>
        <v>57</v>
      </c>
      <c r="R3162" s="2" t="s">
        <v>28</v>
      </c>
      <c r="S3162" s="24">
        <f t="shared" si="249"/>
        <v>0.02</v>
      </c>
    </row>
    <row r="3163" spans="1:19" x14ac:dyDescent="0.25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>VLOOKUP(F3163,'Customer Info'!$A:$B,2,0)</f>
        <v>Laurel</v>
      </c>
      <c r="H3163" s="6" t="str">
        <f>VLOOKUP(F3163,'Customer Info'!$A$1:$C$501,3,0)</f>
        <v>Workman</v>
      </c>
      <c r="I3163" s="6" t="str">
        <f>VLOOKUP(F3163,Customer,5,0)</f>
        <v>Dongguan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6312</v>
      </c>
      <c r="O3163" s="2">
        <v>79</v>
      </c>
      <c r="P3163" s="8">
        <f t="shared" si="247"/>
        <v>6391</v>
      </c>
      <c r="Q3163" s="8">
        <f t="shared" si="248"/>
        <v>400</v>
      </c>
      <c r="R3163" s="2" t="s">
        <v>28</v>
      </c>
      <c r="S3163" s="24">
        <f t="shared" si="249"/>
        <v>0.05</v>
      </c>
    </row>
    <row r="3164" spans="1:19" x14ac:dyDescent="0.25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>VLOOKUP(F3164,'Customer Info'!$A:$B,2,0)</f>
        <v>Jennifer</v>
      </c>
      <c r="H3164" s="6" t="str">
        <f>VLOOKUP(F3164,'Customer Info'!$A$1:$C$501,3,0)</f>
        <v>Halladay</v>
      </c>
      <c r="I3164" s="6" t="str">
        <f>VLOOKUP(F3164,Customer,5,0)</f>
        <v>Krefeld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42168</v>
      </c>
      <c r="O3164" s="2">
        <v>36</v>
      </c>
      <c r="P3164" s="8">
        <f t="shared" si="247"/>
        <v>42204</v>
      </c>
      <c r="Q3164" s="8">
        <f t="shared" si="248"/>
        <v>4200</v>
      </c>
      <c r="R3164" s="2" t="s">
        <v>28</v>
      </c>
      <c r="S3164" s="24">
        <f t="shared" si="249"/>
        <v>7.0000000000000007E-2</v>
      </c>
    </row>
    <row r="3165" spans="1:19" x14ac:dyDescent="0.25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>VLOOKUP(F3165,'Customer Info'!$A:$B,2,0)</f>
        <v>Katherine</v>
      </c>
      <c r="H3165" s="6" t="str">
        <f>VLOOKUP(F3165,'Customer Info'!$A$1:$C$501,3,0)</f>
        <v>Murray</v>
      </c>
      <c r="I3165" s="6" t="str">
        <f>VLOOKUP(F3165,Customer,5,0)</f>
        <v>Sydney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1772</v>
      </c>
      <c r="O3165" s="2">
        <v>27</v>
      </c>
      <c r="P3165" s="8">
        <f t="shared" si="247"/>
        <v>1799</v>
      </c>
      <c r="Q3165" s="8">
        <f t="shared" si="248"/>
        <v>116</v>
      </c>
      <c r="R3165" s="2" t="s">
        <v>50</v>
      </c>
      <c r="S3165" s="24">
        <f t="shared" si="249"/>
        <v>0.02</v>
      </c>
    </row>
    <row r="3166" spans="1:19" x14ac:dyDescent="0.25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>VLOOKUP(F3166,'Customer Info'!$A:$B,2,0)</f>
        <v>Darrin</v>
      </c>
      <c r="H3166" s="6" t="str">
        <f>VLOOKUP(F3166,'Customer Info'!$A$1:$C$501,3,0)</f>
        <v>Martin</v>
      </c>
      <c r="I3166" s="6" t="str">
        <f>VLOOKUP(F3166,Customer,5,0)</f>
        <v>Berlin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2862</v>
      </c>
      <c r="O3166" s="2">
        <v>46</v>
      </c>
      <c r="P3166" s="8">
        <f t="shared" si="247"/>
        <v>2908</v>
      </c>
      <c r="Q3166" s="8">
        <f t="shared" si="248"/>
        <v>159</v>
      </c>
      <c r="R3166" s="2" t="s">
        <v>28</v>
      </c>
      <c r="S3166" s="24">
        <f t="shared" si="249"/>
        <v>0.02</v>
      </c>
    </row>
    <row r="3167" spans="1:19" x14ac:dyDescent="0.25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>VLOOKUP(F3167,'Customer Info'!$A:$B,2,0)</f>
        <v>John</v>
      </c>
      <c r="H3167" s="6" t="str">
        <f>VLOOKUP(F3167,'Customer Info'!$A$1:$C$501,3,0)</f>
        <v>Lucas</v>
      </c>
      <c r="I3167" s="6" t="str">
        <f>VLOOKUP(F3167,Customer,5,0)</f>
        <v>Beijing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288456</v>
      </c>
      <c r="O3167" s="2">
        <v>22</v>
      </c>
      <c r="P3167" s="8">
        <f t="shared" si="247"/>
        <v>288478</v>
      </c>
      <c r="Q3167" s="8">
        <f t="shared" si="248"/>
        <v>16232</v>
      </c>
      <c r="R3167" s="2" t="s">
        <v>50</v>
      </c>
      <c r="S3167" s="24">
        <f t="shared" si="249"/>
        <v>0.15</v>
      </c>
    </row>
    <row r="3168" spans="1:19" x14ac:dyDescent="0.25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>VLOOKUP(F3168,'Customer Info'!$A:$B,2,0)</f>
        <v>Tamara</v>
      </c>
      <c r="H3168" s="6" t="str">
        <f>VLOOKUP(F3168,'Customer Info'!$A$1:$C$501,3,0)</f>
        <v>Chand</v>
      </c>
      <c r="I3168" s="6" t="str">
        <f>VLOOKUP(F3168,Customer,5,0)</f>
        <v>Yogyakarta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13608</v>
      </c>
      <c r="O3168" s="2">
        <v>64</v>
      </c>
      <c r="P3168" s="8">
        <f t="shared" si="247"/>
        <v>13672</v>
      </c>
      <c r="Q3168" s="8">
        <f t="shared" si="248"/>
        <v>135</v>
      </c>
      <c r="R3168" s="2" t="s">
        <v>28</v>
      </c>
      <c r="S3168" s="24">
        <f t="shared" si="249"/>
        <v>0.05</v>
      </c>
    </row>
    <row r="3169" spans="1:19" x14ac:dyDescent="0.25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>VLOOKUP(F3169,'Customer Info'!$A:$B,2,0)</f>
        <v>Vivek</v>
      </c>
      <c r="H3169" s="6" t="str">
        <f>VLOOKUP(F3169,'Customer Info'!$A$1:$C$501,3,0)</f>
        <v>Gonzalez</v>
      </c>
      <c r="I3169" s="6" t="str">
        <f>VLOOKUP(F3169,Customer,5,0)</f>
        <v>Nanyang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42165</v>
      </c>
      <c r="O3169" s="2">
        <v>86</v>
      </c>
      <c r="P3169" s="8">
        <f t="shared" si="247"/>
        <v>42251</v>
      </c>
      <c r="Q3169" s="8">
        <f t="shared" si="248"/>
        <v>3160</v>
      </c>
      <c r="R3169" s="2" t="s">
        <v>50</v>
      </c>
      <c r="S3169" s="24">
        <f t="shared" si="249"/>
        <v>7.0000000000000007E-2</v>
      </c>
    </row>
    <row r="3170" spans="1:19" x14ac:dyDescent="0.25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>VLOOKUP(F3170,'Customer Info'!$A:$B,2,0)</f>
        <v>Steve</v>
      </c>
      <c r="H3170" s="6" t="str">
        <f>VLOOKUP(F3170,'Customer Info'!$A$1:$C$501,3,0)</f>
        <v>Carroll</v>
      </c>
      <c r="I3170" s="6" t="str">
        <f>VLOOKUP(F3170,Customer,5,0)</f>
        <v>Qingdao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1846</v>
      </c>
      <c r="O3170" s="2">
        <v>74</v>
      </c>
      <c r="P3170" s="8">
        <f t="shared" si="247"/>
        <v>1920</v>
      </c>
      <c r="Q3170" s="8">
        <f t="shared" si="248"/>
        <v>88</v>
      </c>
      <c r="R3170" s="2" t="s">
        <v>28</v>
      </c>
      <c r="S3170" s="24">
        <f t="shared" si="249"/>
        <v>0.02</v>
      </c>
    </row>
    <row r="3171" spans="1:19" x14ac:dyDescent="0.25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>VLOOKUP(F3171,'Customer Info'!$A:$B,2,0)</f>
        <v>Dana</v>
      </c>
      <c r="H3171" s="6" t="str">
        <f>VLOOKUP(F3171,'Customer Info'!$A$1:$C$501,3,0)</f>
        <v>Kaydos</v>
      </c>
      <c r="I3171" s="6" t="str">
        <f>VLOOKUP(F3171,Customer,5,0)</f>
        <v>Nagercoil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11684</v>
      </c>
      <c r="O3171" s="2">
        <v>57</v>
      </c>
      <c r="P3171" s="8">
        <f t="shared" si="247"/>
        <v>11741</v>
      </c>
      <c r="Q3171" s="8">
        <f t="shared" si="248"/>
        <v>448</v>
      </c>
      <c r="R3171" s="2" t="s">
        <v>28</v>
      </c>
      <c r="S3171" s="24">
        <f t="shared" si="249"/>
        <v>0.05</v>
      </c>
    </row>
    <row r="3172" spans="1:19" x14ac:dyDescent="0.25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>VLOOKUP(F3172,'Customer Info'!$A:$B,2,0)</f>
        <v>Ted</v>
      </c>
      <c r="H3172" s="6" t="str">
        <f>VLOOKUP(F3172,'Customer Info'!$A$1:$C$501,3,0)</f>
        <v>Trevino</v>
      </c>
      <c r="I3172" s="6" t="str">
        <f>VLOOKUP(F3172,Customer,5,0)</f>
        <v>Bendigo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4310</v>
      </c>
      <c r="O3172" s="2">
        <v>33</v>
      </c>
      <c r="P3172" s="8">
        <f t="shared" si="247"/>
        <v>4343</v>
      </c>
      <c r="Q3172" s="8">
        <f t="shared" si="248"/>
        <v>282</v>
      </c>
      <c r="R3172" s="2" t="s">
        <v>50</v>
      </c>
      <c r="S3172" s="24">
        <f t="shared" si="249"/>
        <v>0.02</v>
      </c>
    </row>
    <row r="3173" spans="1:19" x14ac:dyDescent="0.25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>VLOOKUP(F3173,'Customer Info'!$A:$B,2,0)</f>
        <v>Matt</v>
      </c>
      <c r="H3173" s="6" t="str">
        <f>VLOOKUP(F3173,'Customer Info'!$A$1:$C$501,3,0)</f>
        <v>Collins</v>
      </c>
      <c r="I3173" s="6" t="str">
        <f>VLOOKUP(F3173,Customer,5,0)</f>
        <v>Mumbai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671</v>
      </c>
      <c r="O3173" s="2">
        <v>62</v>
      </c>
      <c r="P3173" s="8">
        <f t="shared" si="247"/>
        <v>733</v>
      </c>
      <c r="Q3173" s="8">
        <f t="shared" si="248"/>
        <v>44</v>
      </c>
      <c r="R3173" s="2" t="s">
        <v>28</v>
      </c>
      <c r="S3173" s="24">
        <f t="shared" si="249"/>
        <v>0.02</v>
      </c>
    </row>
    <row r="3174" spans="1:19" x14ac:dyDescent="0.25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>VLOOKUP(F3174,'Customer Info'!$A:$B,2,0)</f>
        <v>Alex</v>
      </c>
      <c r="H3174" s="6" t="str">
        <f>VLOOKUP(F3174,'Customer Info'!$A$1:$C$501,3,0)</f>
        <v>Avila</v>
      </c>
      <c r="I3174" s="6" t="str">
        <f>VLOOKUP(F3174,Customer,5,0)</f>
        <v>Agra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9692</v>
      </c>
      <c r="O3174" s="2">
        <v>73</v>
      </c>
      <c r="P3174" s="8">
        <f t="shared" si="247"/>
        <v>9765</v>
      </c>
      <c r="Q3174" s="8">
        <f t="shared" si="248"/>
        <v>708</v>
      </c>
      <c r="R3174" s="2" t="s">
        <v>50</v>
      </c>
      <c r="S3174" s="24">
        <f t="shared" si="249"/>
        <v>0.05</v>
      </c>
    </row>
    <row r="3175" spans="1:19" x14ac:dyDescent="0.25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>VLOOKUP(F3175,'Customer Info'!$A:$B,2,0)</f>
        <v>Gary</v>
      </c>
      <c r="H3175" s="6" t="str">
        <f>VLOOKUP(F3175,'Customer Info'!$A$1:$C$501,3,0)</f>
        <v>Zandusky</v>
      </c>
      <c r="I3175" s="6" t="str">
        <f>VLOOKUP(F3175,Customer,5,0)</f>
        <v>Gold Coast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444</v>
      </c>
      <c r="O3175" s="2">
        <v>39</v>
      </c>
      <c r="P3175" s="8">
        <f t="shared" si="247"/>
        <v>483</v>
      </c>
      <c r="Q3175" s="8">
        <f t="shared" si="248"/>
        <v>36</v>
      </c>
      <c r="R3175" s="2" t="s">
        <v>50</v>
      </c>
      <c r="S3175" s="24">
        <f t="shared" si="249"/>
        <v>0.02</v>
      </c>
    </row>
    <row r="3176" spans="1:19" x14ac:dyDescent="0.25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>VLOOKUP(F3176,'Customer Info'!$A:$B,2,0)</f>
        <v>Aaron</v>
      </c>
      <c r="H3176" s="6" t="str">
        <f>VLOOKUP(F3176,'Customer Info'!$A$1:$C$501,3,0)</f>
        <v>Smayling</v>
      </c>
      <c r="I3176" s="6" t="str">
        <f>VLOOKUP(F3176,Customer,5,0)</f>
        <v>Port Macquarie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119</v>
      </c>
      <c r="O3176" s="2">
        <v>30</v>
      </c>
      <c r="P3176" s="8">
        <f t="shared" si="247"/>
        <v>149</v>
      </c>
      <c r="Q3176" s="8">
        <f t="shared" si="248"/>
        <v>7</v>
      </c>
      <c r="R3176" s="2" t="s">
        <v>56</v>
      </c>
      <c r="S3176" s="24">
        <f t="shared" si="249"/>
        <v>0.02</v>
      </c>
    </row>
    <row r="3177" spans="1:19" x14ac:dyDescent="0.25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>VLOOKUP(F3177,'Customer Info'!$A:$B,2,0)</f>
        <v>Nick</v>
      </c>
      <c r="H3177" s="6" t="str">
        <f>VLOOKUP(F3177,'Customer Info'!$A$1:$C$501,3,0)</f>
        <v>Zandusky</v>
      </c>
      <c r="I3177" s="6" t="str">
        <f>VLOOKUP(F3177,Customer,5,0)</f>
        <v>Surabaya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4592</v>
      </c>
      <c r="O3177" s="2">
        <v>100</v>
      </c>
      <c r="P3177" s="8">
        <f t="shared" si="247"/>
        <v>4692</v>
      </c>
      <c r="Q3177" s="8">
        <f t="shared" si="248"/>
        <v>300</v>
      </c>
      <c r="R3177" s="2" t="s">
        <v>50</v>
      </c>
      <c r="S3177" s="24">
        <f t="shared" si="249"/>
        <v>0.02</v>
      </c>
    </row>
    <row r="3178" spans="1:19" x14ac:dyDescent="0.25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>VLOOKUP(F3178,'Customer Info'!$A:$B,2,0)</f>
        <v>Harold</v>
      </c>
      <c r="H3178" s="6" t="str">
        <f>VLOOKUP(F3178,'Customer Info'!$A$1:$C$501,3,0)</f>
        <v>Pawlan</v>
      </c>
      <c r="I3178" s="6" t="str">
        <f>VLOOKUP(F3178,Customer,5,0)</f>
        <v>Banda Aceh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19755</v>
      </c>
      <c r="O3178" s="2">
        <v>55</v>
      </c>
      <c r="P3178" s="8">
        <f t="shared" si="247"/>
        <v>19810</v>
      </c>
      <c r="Q3178" s="8">
        <f t="shared" si="248"/>
        <v>1440</v>
      </c>
      <c r="R3178" s="2" t="s">
        <v>50</v>
      </c>
      <c r="S3178" s="24">
        <f t="shared" si="249"/>
        <v>0.05</v>
      </c>
    </row>
    <row r="3179" spans="1:19" x14ac:dyDescent="0.25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>VLOOKUP(F3179,'Customer Info'!$A:$B,2,0)</f>
        <v>Toby</v>
      </c>
      <c r="H3179" s="6" t="str">
        <f>VLOOKUP(F3179,'Customer Info'!$A$1:$C$501,3,0)</f>
        <v>Swindell</v>
      </c>
      <c r="I3179" s="6" t="str">
        <f>VLOOKUP(F3179,Customer,5,0)</f>
        <v>Ninghai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1335</v>
      </c>
      <c r="O3179" s="2">
        <v>61</v>
      </c>
      <c r="P3179" s="8">
        <f t="shared" si="247"/>
        <v>1396</v>
      </c>
      <c r="Q3179" s="8">
        <f t="shared" si="248"/>
        <v>90</v>
      </c>
      <c r="R3179" s="2" t="s">
        <v>50</v>
      </c>
      <c r="S3179" s="24">
        <f t="shared" si="249"/>
        <v>0.02</v>
      </c>
    </row>
    <row r="3180" spans="1:19" x14ac:dyDescent="0.25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>VLOOKUP(F3180,'Customer Info'!$A:$B,2,0)</f>
        <v>Roger</v>
      </c>
      <c r="H3180" s="6" t="str">
        <f>VLOOKUP(F3180,'Customer Info'!$A$1:$C$501,3,0)</f>
        <v>Barcio</v>
      </c>
      <c r="I3180" s="6" t="str">
        <f>VLOOKUP(F3180,Customer,5,0)</f>
        <v>Bremen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9808</v>
      </c>
      <c r="O3180" s="2">
        <v>74</v>
      </c>
      <c r="P3180" s="8">
        <f t="shared" si="247"/>
        <v>9882</v>
      </c>
      <c r="Q3180" s="8">
        <f t="shared" si="248"/>
        <v>810</v>
      </c>
      <c r="R3180" s="2" t="s">
        <v>28</v>
      </c>
      <c r="S3180" s="24">
        <f t="shared" si="249"/>
        <v>0.05</v>
      </c>
    </row>
    <row r="3181" spans="1:19" x14ac:dyDescent="0.25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>VLOOKUP(F3181,'Customer Info'!$A:$B,2,0)</f>
        <v>Michelle</v>
      </c>
      <c r="H3181" s="6" t="str">
        <f>VLOOKUP(F3181,'Customer Info'!$A$1:$C$501,3,0)</f>
        <v>Arnett</v>
      </c>
      <c r="I3181" s="6" t="str">
        <f>VLOOKUP(F3181,Customer,5,0)</f>
        <v>Palembang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6604</v>
      </c>
      <c r="O3181" s="2">
        <v>42</v>
      </c>
      <c r="P3181" s="8">
        <f t="shared" si="247"/>
        <v>6646</v>
      </c>
      <c r="Q3181" s="8">
        <f t="shared" si="248"/>
        <v>188</v>
      </c>
      <c r="R3181" s="2" t="s">
        <v>50</v>
      </c>
      <c r="S3181" s="24">
        <f t="shared" si="249"/>
        <v>0.05</v>
      </c>
    </row>
    <row r="3182" spans="1:19" x14ac:dyDescent="0.25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>VLOOKUP(F3182,'Customer Info'!$A:$B,2,0)</f>
        <v>Dave</v>
      </c>
      <c r="H3182" s="6" t="str">
        <f>VLOOKUP(F3182,'Customer Info'!$A$1:$C$501,3,0)</f>
        <v>Hallsten</v>
      </c>
      <c r="I3182" s="6" t="str">
        <f>VLOOKUP(F3182,Customer,5,0)</f>
        <v>Coimbatore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712</v>
      </c>
      <c r="O3182" s="2">
        <v>36</v>
      </c>
      <c r="P3182" s="8">
        <f t="shared" si="247"/>
        <v>748</v>
      </c>
      <c r="Q3182" s="8">
        <f t="shared" si="248"/>
        <v>72</v>
      </c>
      <c r="R3182" s="2" t="s">
        <v>50</v>
      </c>
      <c r="S3182" s="24">
        <f t="shared" si="249"/>
        <v>0.02</v>
      </c>
    </row>
    <row r="3183" spans="1:19" x14ac:dyDescent="0.25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>VLOOKUP(F3183,'Customer Info'!$A:$B,2,0)</f>
        <v>Bill</v>
      </c>
      <c r="H3183" s="6" t="str">
        <f>VLOOKUP(F3183,'Customer Info'!$A$1:$C$501,3,0)</f>
        <v>Stewart</v>
      </c>
      <c r="I3183" s="6" t="str">
        <f>VLOOKUP(F3183,Customer,5,0)</f>
        <v>Wenling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6612</v>
      </c>
      <c r="O3183" s="2">
        <v>93</v>
      </c>
      <c r="P3183" s="8">
        <f t="shared" si="247"/>
        <v>6705</v>
      </c>
      <c r="Q3183" s="8">
        <f t="shared" si="248"/>
        <v>372</v>
      </c>
      <c r="R3183" s="2" t="s">
        <v>28</v>
      </c>
      <c r="S3183" s="24">
        <f t="shared" si="249"/>
        <v>0.05</v>
      </c>
    </row>
    <row r="3184" spans="1:19" x14ac:dyDescent="0.25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>VLOOKUP(F3184,'Customer Info'!$A:$B,2,0)</f>
        <v>Andy</v>
      </c>
      <c r="H3184" s="6" t="str">
        <f>VLOOKUP(F3184,'Customer Info'!$A$1:$C$501,3,0)</f>
        <v>Yotov</v>
      </c>
      <c r="I3184" s="6" t="str">
        <f>VLOOKUP(F3184,Customer,5,0)</f>
        <v>Samarinda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414</v>
      </c>
      <c r="O3184" s="2">
        <v>30</v>
      </c>
      <c r="P3184" s="8">
        <f t="shared" si="247"/>
        <v>444</v>
      </c>
      <c r="Q3184" s="8">
        <f t="shared" si="248"/>
        <v>30</v>
      </c>
      <c r="R3184" s="2" t="s">
        <v>50</v>
      </c>
      <c r="S3184" s="24">
        <f t="shared" si="249"/>
        <v>0.02</v>
      </c>
    </row>
    <row r="3185" spans="1:19" x14ac:dyDescent="0.25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>VLOOKUP(F3185,'Customer Info'!$A:$B,2,0)</f>
        <v>Mark</v>
      </c>
      <c r="H3185" s="6" t="str">
        <f>VLOOKUP(F3185,'Customer Info'!$A$1:$C$501,3,0)</f>
        <v>Packer</v>
      </c>
      <c r="I3185" s="6" t="str">
        <f>VLOOKUP(F3185,Customer,5,0)</f>
        <v>Perth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3375</v>
      </c>
      <c r="O3185" s="2">
        <v>43</v>
      </c>
      <c r="P3185" s="8">
        <f t="shared" si="247"/>
        <v>3418</v>
      </c>
      <c r="Q3185" s="8">
        <f t="shared" si="248"/>
        <v>255</v>
      </c>
      <c r="R3185" s="2" t="s">
        <v>50</v>
      </c>
      <c r="S3185" s="24">
        <f t="shared" si="249"/>
        <v>0.02</v>
      </c>
    </row>
    <row r="3186" spans="1:19" x14ac:dyDescent="0.25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>VLOOKUP(F3186,'Customer Info'!$A:$B,2,0)</f>
        <v>Candace</v>
      </c>
      <c r="H3186" s="6" t="str">
        <f>VLOOKUP(F3186,'Customer Info'!$A$1:$C$501,3,0)</f>
        <v>McMahon</v>
      </c>
      <c r="I3186" s="6" t="str">
        <f>VLOOKUP(F3186,Customer,5,0)</f>
        <v>Canberra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184</v>
      </c>
      <c r="O3186" s="2">
        <v>30</v>
      </c>
      <c r="P3186" s="8">
        <f t="shared" si="247"/>
        <v>214</v>
      </c>
      <c r="Q3186" s="8">
        <f t="shared" si="248"/>
        <v>8</v>
      </c>
      <c r="R3186" s="2" t="s">
        <v>56</v>
      </c>
      <c r="S3186" s="24">
        <f t="shared" si="249"/>
        <v>0.02</v>
      </c>
    </row>
    <row r="3187" spans="1:19" x14ac:dyDescent="0.25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>VLOOKUP(F3187,'Customer Info'!$A:$B,2,0)</f>
        <v>Rob</v>
      </c>
      <c r="H3187" s="6" t="str">
        <f>VLOOKUP(F3187,'Customer Info'!$A$1:$C$501,3,0)</f>
        <v>Haberlin</v>
      </c>
      <c r="I3187" s="6" t="str">
        <f>VLOOKUP(F3187,Customer,5,0)</f>
        <v>Harbin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280</v>
      </c>
      <c r="O3187" s="2">
        <v>30</v>
      </c>
      <c r="P3187" s="8">
        <f t="shared" si="247"/>
        <v>310</v>
      </c>
      <c r="Q3187" s="8">
        <f t="shared" si="248"/>
        <v>6</v>
      </c>
      <c r="R3187" s="2" t="s">
        <v>28</v>
      </c>
      <c r="S3187" s="24">
        <f t="shared" si="249"/>
        <v>0.02</v>
      </c>
    </row>
    <row r="3188" spans="1:19" x14ac:dyDescent="0.25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>VLOOKUP(F3188,'Customer Info'!$A:$B,2,0)</f>
        <v>Fred</v>
      </c>
      <c r="H3188" s="6" t="str">
        <f>VLOOKUP(F3188,'Customer Info'!$A$1:$C$501,3,0)</f>
        <v>Hopkins</v>
      </c>
      <c r="I3188" s="6" t="str">
        <f>VLOOKUP(F3188,Customer,5,0)</f>
        <v>Sydney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8160</v>
      </c>
      <c r="O3188" s="2">
        <v>91</v>
      </c>
      <c r="P3188" s="8">
        <f t="shared" si="247"/>
        <v>8251</v>
      </c>
      <c r="Q3188" s="8">
        <f t="shared" si="248"/>
        <v>685</v>
      </c>
      <c r="R3188" s="2" t="s">
        <v>28</v>
      </c>
      <c r="S3188" s="24">
        <f t="shared" si="249"/>
        <v>0.05</v>
      </c>
    </row>
    <row r="3189" spans="1:19" x14ac:dyDescent="0.25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>VLOOKUP(F3189,'Customer Info'!$A:$B,2,0)</f>
        <v>Thea</v>
      </c>
      <c r="H3189" s="6" t="str">
        <f>VLOOKUP(F3189,'Customer Info'!$A$1:$C$501,3,0)</f>
        <v>Hudgings</v>
      </c>
      <c r="I3189" s="6" t="str">
        <f>VLOOKUP(F3189,Customer,5,0)</f>
        <v>Anshan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5355</v>
      </c>
      <c r="O3189" s="2">
        <v>30</v>
      </c>
      <c r="P3189" s="8">
        <f t="shared" si="247"/>
        <v>5385</v>
      </c>
      <c r="Q3189" s="8">
        <f t="shared" si="248"/>
        <v>305</v>
      </c>
      <c r="R3189" s="2" t="s">
        <v>28</v>
      </c>
      <c r="S3189" s="24">
        <f t="shared" si="249"/>
        <v>0.05</v>
      </c>
    </row>
    <row r="3190" spans="1:19" x14ac:dyDescent="0.25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>VLOOKUP(F3190,'Customer Info'!$A:$B,2,0)</f>
        <v>Sonia</v>
      </c>
      <c r="H3190" s="6" t="str">
        <f>VLOOKUP(F3190,'Customer Info'!$A$1:$C$501,3,0)</f>
        <v>Sunley</v>
      </c>
      <c r="I3190" s="6" t="str">
        <f>VLOOKUP(F3190,Customer,5,0)</f>
        <v>Canberra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423</v>
      </c>
      <c r="O3190" s="2">
        <v>30</v>
      </c>
      <c r="P3190" s="8">
        <f t="shared" si="247"/>
        <v>453</v>
      </c>
      <c r="Q3190" s="8">
        <f t="shared" si="248"/>
        <v>30</v>
      </c>
      <c r="R3190" s="2" t="s">
        <v>28</v>
      </c>
      <c r="S3190" s="24">
        <f t="shared" si="249"/>
        <v>0.02</v>
      </c>
    </row>
    <row r="3191" spans="1:19" x14ac:dyDescent="0.25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>VLOOKUP(F3191,'Customer Info'!$A:$B,2,0)</f>
        <v>Shaun</v>
      </c>
      <c r="H3191" s="6" t="str">
        <f>VLOOKUP(F3191,'Customer Info'!$A$1:$C$501,3,0)</f>
        <v>Weien</v>
      </c>
      <c r="I3191" s="6" t="str">
        <f>VLOOKUP(F3191,Customer,5,0)</f>
        <v>Medan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681</v>
      </c>
      <c r="O3191" s="2">
        <v>53</v>
      </c>
      <c r="P3191" s="8">
        <f t="shared" si="247"/>
        <v>734</v>
      </c>
      <c r="Q3191" s="8">
        <f t="shared" si="248"/>
        <v>39</v>
      </c>
      <c r="R3191" s="2" t="s">
        <v>50</v>
      </c>
      <c r="S3191" s="24">
        <f t="shared" si="249"/>
        <v>0.02</v>
      </c>
    </row>
    <row r="3192" spans="1:19" x14ac:dyDescent="0.25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>VLOOKUP(F3192,'Customer Info'!$A:$B,2,0)</f>
        <v>Andrew</v>
      </c>
      <c r="H3192" s="6" t="str">
        <f>VLOOKUP(F3192,'Customer Info'!$A$1:$C$501,3,0)</f>
        <v>Gjertsen</v>
      </c>
      <c r="I3192" s="6" t="str">
        <f>VLOOKUP(F3192,Customer,5,0)</f>
        <v>Hamburg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32088</v>
      </c>
      <c r="O3192" s="2">
        <v>91</v>
      </c>
      <c r="P3192" s="8">
        <f t="shared" si="247"/>
        <v>32179</v>
      </c>
      <c r="Q3192" s="8">
        <f t="shared" si="248"/>
        <v>616</v>
      </c>
      <c r="R3192" s="2" t="s">
        <v>28</v>
      </c>
      <c r="S3192" s="24">
        <f t="shared" si="249"/>
        <v>7.0000000000000007E-2</v>
      </c>
    </row>
    <row r="3193" spans="1:19" x14ac:dyDescent="0.25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>VLOOKUP(F3193,'Customer Info'!$A:$B,2,0)</f>
        <v>Brad</v>
      </c>
      <c r="H3193" s="6" t="str">
        <f>VLOOKUP(F3193,'Customer Info'!$A$1:$C$501,3,0)</f>
        <v>Eason</v>
      </c>
      <c r="I3193" s="6" t="str">
        <f>VLOOKUP(F3193,Customer,5,0)</f>
        <v>Bogor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825</v>
      </c>
      <c r="O3193" s="2">
        <v>84</v>
      </c>
      <c r="P3193" s="8">
        <f t="shared" si="247"/>
        <v>909</v>
      </c>
      <c r="Q3193" s="8">
        <f t="shared" si="248"/>
        <v>32</v>
      </c>
      <c r="R3193" s="2" t="s">
        <v>28</v>
      </c>
      <c r="S3193" s="24">
        <f t="shared" si="249"/>
        <v>0.02</v>
      </c>
    </row>
    <row r="3194" spans="1:19" x14ac:dyDescent="0.25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>VLOOKUP(F3194,'Customer Info'!$A:$B,2,0)</f>
        <v>Laurel</v>
      </c>
      <c r="H3194" s="6" t="str">
        <f>VLOOKUP(F3194,'Customer Info'!$A$1:$C$501,3,0)</f>
        <v>Workman</v>
      </c>
      <c r="I3194" s="6" t="str">
        <f>VLOOKUP(F3194,Customer,5,0)</f>
        <v>Leipzig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4722</v>
      </c>
      <c r="O3194" s="2">
        <v>92</v>
      </c>
      <c r="P3194" s="8">
        <f t="shared" si="247"/>
        <v>4814</v>
      </c>
      <c r="Q3194" s="8">
        <f t="shared" si="248"/>
        <v>597</v>
      </c>
      <c r="R3194" s="2" t="s">
        <v>50</v>
      </c>
      <c r="S3194" s="24">
        <f t="shared" si="249"/>
        <v>0.02</v>
      </c>
    </row>
    <row r="3195" spans="1:19" x14ac:dyDescent="0.25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>VLOOKUP(F3195,'Customer Info'!$A:$B,2,0)</f>
        <v>Matt</v>
      </c>
      <c r="H3195" s="6" t="str">
        <f>VLOOKUP(F3195,'Customer Info'!$A$1:$C$501,3,0)</f>
        <v>Collins</v>
      </c>
      <c r="I3195" s="6" t="str">
        <f>VLOOKUP(F3195,Customer,5,0)</f>
        <v>Mumbai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4215</v>
      </c>
      <c r="O3195" s="2">
        <v>74</v>
      </c>
      <c r="P3195" s="8">
        <f t="shared" si="247"/>
        <v>4289</v>
      </c>
      <c r="Q3195" s="8">
        <f t="shared" si="248"/>
        <v>354</v>
      </c>
      <c r="R3195" s="2" t="s">
        <v>56</v>
      </c>
      <c r="S3195" s="24">
        <f t="shared" si="249"/>
        <v>0.02</v>
      </c>
    </row>
    <row r="3196" spans="1:19" x14ac:dyDescent="0.25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>VLOOKUP(F3196,'Customer Info'!$A:$B,2,0)</f>
        <v>Tamara</v>
      </c>
      <c r="H3196" s="6" t="str">
        <f>VLOOKUP(F3196,'Customer Info'!$A$1:$C$501,3,0)</f>
        <v>Chand</v>
      </c>
      <c r="I3196" s="6" t="str">
        <f>VLOOKUP(F3196,Customer,5,0)</f>
        <v>Yogyakarta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2280</v>
      </c>
      <c r="O3196" s="2">
        <v>62</v>
      </c>
      <c r="P3196" s="8">
        <f t="shared" si="247"/>
        <v>2342</v>
      </c>
      <c r="Q3196" s="8">
        <f t="shared" si="248"/>
        <v>130</v>
      </c>
      <c r="R3196" s="2" t="s">
        <v>26</v>
      </c>
      <c r="S3196" s="24">
        <f t="shared" si="249"/>
        <v>0.02</v>
      </c>
    </row>
    <row r="3197" spans="1:19" x14ac:dyDescent="0.25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>VLOOKUP(F3197,'Customer Info'!$A:$B,2,0)</f>
        <v>Duane</v>
      </c>
      <c r="H3197" s="6" t="str">
        <f>VLOOKUP(F3197,'Customer Info'!$A$1:$C$501,3,0)</f>
        <v>Benoit</v>
      </c>
      <c r="I3197" s="6" t="str">
        <f>VLOOKUP(F3197,Customer,5,0)</f>
        <v>Tamworth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691</v>
      </c>
      <c r="O3197" s="2">
        <v>94</v>
      </c>
      <c r="P3197" s="8">
        <f t="shared" si="247"/>
        <v>785</v>
      </c>
      <c r="Q3197" s="8">
        <f t="shared" si="248"/>
        <v>64</v>
      </c>
      <c r="R3197" s="2" t="s">
        <v>50</v>
      </c>
      <c r="S3197" s="24">
        <f t="shared" si="249"/>
        <v>0.02</v>
      </c>
    </row>
    <row r="3198" spans="1:19" x14ac:dyDescent="0.25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>VLOOKUP(F3198,'Customer Info'!$A:$B,2,0)</f>
        <v>Alejandro</v>
      </c>
      <c r="H3198" s="6" t="str">
        <f>VLOOKUP(F3198,'Customer Info'!$A$1:$C$501,3,0)</f>
        <v>Grove</v>
      </c>
      <c r="I3198" s="6" t="str">
        <f>VLOOKUP(F3198,Customer,5,0)</f>
        <v>Whyalla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2700</v>
      </c>
      <c r="O3198" s="2">
        <v>87</v>
      </c>
      <c r="P3198" s="8">
        <f t="shared" si="247"/>
        <v>2787</v>
      </c>
      <c r="Q3198" s="8">
        <f t="shared" si="248"/>
        <v>198</v>
      </c>
      <c r="R3198" s="2" t="s">
        <v>26</v>
      </c>
      <c r="S3198" s="24">
        <f t="shared" si="249"/>
        <v>0.02</v>
      </c>
    </row>
    <row r="3199" spans="1:19" x14ac:dyDescent="0.25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>VLOOKUP(F3199,'Customer Info'!$A:$B,2,0)</f>
        <v>Michelle</v>
      </c>
      <c r="H3199" s="6" t="str">
        <f>VLOOKUP(F3199,'Customer Info'!$A$1:$C$501,3,0)</f>
        <v>Arnett</v>
      </c>
      <c r="I3199" s="6" t="str">
        <f>VLOOKUP(F3199,Customer,5,0)</f>
        <v>Palembang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6352</v>
      </c>
      <c r="O3199" s="2">
        <v>78</v>
      </c>
      <c r="P3199" s="8">
        <f t="shared" si="247"/>
        <v>6430</v>
      </c>
      <c r="Q3199" s="8">
        <f t="shared" si="248"/>
        <v>120</v>
      </c>
      <c r="R3199" s="2" t="s">
        <v>28</v>
      </c>
      <c r="S3199" s="24">
        <f t="shared" si="249"/>
        <v>0.05</v>
      </c>
    </row>
    <row r="3200" spans="1:19" x14ac:dyDescent="0.25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>VLOOKUP(F3200,'Customer Info'!$A:$B,2,0)</f>
        <v>Alejandro</v>
      </c>
      <c r="H3200" s="6" t="str">
        <f>VLOOKUP(F3200,'Customer Info'!$A$1:$C$501,3,0)</f>
        <v>Ballentine</v>
      </c>
      <c r="I3200" s="6" t="str">
        <f>VLOOKUP(F3200,Customer,5,0)</f>
        <v>Mannheim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3056</v>
      </c>
      <c r="O3200" s="2">
        <v>62</v>
      </c>
      <c r="P3200" s="8">
        <f t="shared" si="247"/>
        <v>3118</v>
      </c>
      <c r="Q3200" s="8">
        <f t="shared" si="248"/>
        <v>360</v>
      </c>
      <c r="R3200" s="2" t="s">
        <v>26</v>
      </c>
      <c r="S3200" s="24">
        <f t="shared" si="249"/>
        <v>0.02</v>
      </c>
    </row>
    <row r="3201" spans="1:19" x14ac:dyDescent="0.25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>VLOOKUP(F3201,'Customer Info'!$A:$B,2,0)</f>
        <v>Kristen</v>
      </c>
      <c r="H3201" s="6" t="str">
        <f>VLOOKUP(F3201,'Customer Info'!$A$1:$C$501,3,0)</f>
        <v>Hastings</v>
      </c>
      <c r="I3201" s="6" t="str">
        <f>VLOOKUP(F3201,Customer,5,0)</f>
        <v>Shihezi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1647</v>
      </c>
      <c r="O3201" s="2">
        <v>30</v>
      </c>
      <c r="P3201" s="8">
        <f t="shared" si="247"/>
        <v>1677</v>
      </c>
      <c r="Q3201" s="8">
        <f t="shared" si="248"/>
        <v>135</v>
      </c>
      <c r="R3201" s="2" t="s">
        <v>50</v>
      </c>
      <c r="S3201" s="24">
        <f t="shared" si="249"/>
        <v>0.02</v>
      </c>
    </row>
    <row r="3202" spans="1:19" x14ac:dyDescent="0.25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>VLOOKUP(F3202,'Customer Info'!$A:$B,2,0)</f>
        <v>Sanjit</v>
      </c>
      <c r="H3202" s="6" t="str">
        <f>VLOOKUP(F3202,'Customer Info'!$A$1:$C$501,3,0)</f>
        <v>Jacobs</v>
      </c>
      <c r="I3202" s="6" t="str">
        <f>VLOOKUP(F3202,Customer,5,0)</f>
        <v>Munich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1447</v>
      </c>
      <c r="O3202" s="2">
        <v>32</v>
      </c>
      <c r="P3202" s="8">
        <f t="shared" si="247"/>
        <v>1479</v>
      </c>
      <c r="Q3202" s="8">
        <f t="shared" si="248"/>
        <v>121</v>
      </c>
      <c r="R3202" s="2" t="s">
        <v>28</v>
      </c>
      <c r="S3202" s="24">
        <f t="shared" si="249"/>
        <v>0.02</v>
      </c>
    </row>
    <row r="3203" spans="1:19" x14ac:dyDescent="0.25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>VLOOKUP(F3203,'Customer Info'!$A:$B,2,0)</f>
        <v>Gary</v>
      </c>
      <c r="H3203" s="6" t="str">
        <f>VLOOKUP(F3203,'Customer Info'!$A$1:$C$501,3,0)</f>
        <v>Hansen</v>
      </c>
      <c r="I3203" s="6" t="str">
        <f>VLOOKUP(F3203,Customer,5,0)</f>
        <v>Dewas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1601</v>
      </c>
      <c r="O3203" s="2">
        <v>29</v>
      </c>
      <c r="P3203" s="8">
        <f t="shared" si="247"/>
        <v>1630</v>
      </c>
      <c r="Q3203" s="8">
        <f t="shared" si="248"/>
        <v>91</v>
      </c>
      <c r="R3203" s="2" t="s">
        <v>28</v>
      </c>
      <c r="S3203" s="24">
        <f t="shared" si="249"/>
        <v>0.02</v>
      </c>
    </row>
    <row r="3204" spans="1:19" x14ac:dyDescent="0.25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>VLOOKUP(F3204,'Customer Info'!$A:$B,2,0)</f>
        <v>John</v>
      </c>
      <c r="H3204" s="6" t="str">
        <f>VLOOKUP(F3204,'Customer Info'!$A$1:$C$501,3,0)</f>
        <v>Castell</v>
      </c>
      <c r="I3204" s="6" t="str">
        <f>VLOOKUP(F3204,Customer,5,0)</f>
        <v>Jakarta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2085</v>
      </c>
      <c r="O3204" s="2">
        <v>38</v>
      </c>
      <c r="P3204" s="8">
        <f t="shared" si="247"/>
        <v>2123</v>
      </c>
      <c r="Q3204" s="8">
        <f t="shared" si="248"/>
        <v>102</v>
      </c>
      <c r="R3204" s="2" t="s">
        <v>28</v>
      </c>
      <c r="S3204" s="24">
        <f t="shared" si="249"/>
        <v>0.02</v>
      </c>
    </row>
    <row r="3205" spans="1:19" x14ac:dyDescent="0.25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>VLOOKUP(F3205,'Customer Info'!$A:$B,2,0)</f>
        <v>Laurel</v>
      </c>
      <c r="H3205" s="6" t="str">
        <f>VLOOKUP(F3205,'Customer Info'!$A$1:$C$501,3,0)</f>
        <v>Workman</v>
      </c>
      <c r="I3205" s="6" t="str">
        <f>VLOOKUP(F3205,Customer,5,0)</f>
        <v>Dongguan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776</v>
      </c>
      <c r="O3205" s="2">
        <v>30</v>
      </c>
      <c r="P3205" s="8">
        <f t="shared" si="247"/>
        <v>806</v>
      </c>
      <c r="Q3205" s="8">
        <f t="shared" si="248"/>
        <v>72</v>
      </c>
      <c r="R3205" s="2" t="s">
        <v>28</v>
      </c>
      <c r="S3205" s="24">
        <f t="shared" si="249"/>
        <v>0.02</v>
      </c>
    </row>
    <row r="3206" spans="1:19" x14ac:dyDescent="0.25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>VLOOKUP(F3206,'Customer Info'!$A:$B,2,0)</f>
        <v>Sheri</v>
      </c>
      <c r="H3206" s="6" t="str">
        <f>VLOOKUP(F3206,'Customer Info'!$A$1:$C$501,3,0)</f>
        <v>Gordon</v>
      </c>
      <c r="I3206" s="6" t="str">
        <f>VLOOKUP(F3206,Customer,5,0)</f>
        <v>Bogor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170</v>
      </c>
      <c r="O3206" s="2">
        <v>30</v>
      </c>
      <c r="P3206" s="8">
        <f t="shared" si="247"/>
        <v>200</v>
      </c>
      <c r="Q3206" s="8">
        <f t="shared" si="248"/>
        <v>10</v>
      </c>
      <c r="R3206" s="2" t="s">
        <v>26</v>
      </c>
      <c r="S3206" s="24">
        <f t="shared" si="249"/>
        <v>0.02</v>
      </c>
    </row>
    <row r="3207" spans="1:19" x14ac:dyDescent="0.25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>VLOOKUP(F3207,'Customer Info'!$A:$B,2,0)</f>
        <v>Alan</v>
      </c>
      <c r="H3207" s="6" t="str">
        <f>VLOOKUP(F3207,'Customer Info'!$A$1:$C$501,3,0)</f>
        <v>Shonely</v>
      </c>
      <c r="I3207" s="6" t="str">
        <f>VLOOKUP(F3207,Customer,5,0)</f>
        <v>Canberra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23636</v>
      </c>
      <c r="O3207" s="2">
        <v>71</v>
      </c>
      <c r="P3207" s="8">
        <f t="shared" si="247"/>
        <v>23707</v>
      </c>
      <c r="Q3207" s="8">
        <f t="shared" si="248"/>
        <v>1524</v>
      </c>
      <c r="R3207" s="2" t="s">
        <v>28</v>
      </c>
      <c r="S3207" s="24">
        <f t="shared" si="249"/>
        <v>0.05</v>
      </c>
    </row>
    <row r="3208" spans="1:19" x14ac:dyDescent="0.25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>VLOOKUP(F3208,'Customer Info'!$A:$B,2,0)</f>
        <v>Michelle</v>
      </c>
      <c r="H3208" s="6" t="str">
        <f>VLOOKUP(F3208,'Customer Info'!$A$1:$C$501,3,0)</f>
        <v>Tran</v>
      </c>
      <c r="I3208" s="6" t="str">
        <f>VLOOKUP(F3208,Customer,5,0)</f>
        <v>Mount Gambier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282238</v>
      </c>
      <c r="O3208" s="2">
        <v>37</v>
      </c>
      <c r="P3208" s="8">
        <f t="shared" si="247"/>
        <v>282275</v>
      </c>
      <c r="Q3208" s="8">
        <f t="shared" si="248"/>
        <v>13112</v>
      </c>
      <c r="R3208" s="2" t="s">
        <v>28</v>
      </c>
      <c r="S3208" s="24">
        <f t="shared" si="249"/>
        <v>0.15</v>
      </c>
    </row>
    <row r="3209" spans="1:19" x14ac:dyDescent="0.25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>VLOOKUP(F3209,'Customer Info'!$A:$B,2,0)</f>
        <v>Harold</v>
      </c>
      <c r="H3209" s="6" t="str">
        <f>VLOOKUP(F3209,'Customer Info'!$A$1:$C$501,3,0)</f>
        <v>Pawlan</v>
      </c>
      <c r="I3209" s="6" t="str">
        <f>VLOOKUP(F3209,Customer,5,0)</f>
        <v>Banda Aceh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1030</v>
      </c>
      <c r="O3209" s="2">
        <v>75</v>
      </c>
      <c r="P3209" s="8">
        <f t="shared" si="247"/>
        <v>1105</v>
      </c>
      <c r="Q3209" s="8">
        <f t="shared" si="248"/>
        <v>85</v>
      </c>
      <c r="R3209" s="2" t="s">
        <v>56</v>
      </c>
      <c r="S3209" s="24">
        <f t="shared" si="249"/>
        <v>0.02</v>
      </c>
    </row>
    <row r="3210" spans="1:19" x14ac:dyDescent="0.25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>VLOOKUP(F3210,'Customer Info'!$A:$B,2,0)</f>
        <v>Hunter</v>
      </c>
      <c r="H3210" s="6" t="str">
        <f>VLOOKUP(F3210,'Customer Info'!$A$1:$C$501,3,0)</f>
        <v>Lopez</v>
      </c>
      <c r="I3210" s="6" t="str">
        <f>VLOOKUP(F3210,Customer,5,0)</f>
        <v>Pekanbaru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5328</v>
      </c>
      <c r="O3210" s="2">
        <v>84</v>
      </c>
      <c r="P3210" s="8">
        <f t="shared" si="247"/>
        <v>5412</v>
      </c>
      <c r="Q3210" s="8">
        <f t="shared" si="248"/>
        <v>492</v>
      </c>
      <c r="R3210" s="2" t="s">
        <v>50</v>
      </c>
      <c r="S3210" s="24">
        <f t="shared" si="249"/>
        <v>0.05</v>
      </c>
    </row>
    <row r="3211" spans="1:19" x14ac:dyDescent="0.25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>VLOOKUP(F3211,'Customer Info'!$A:$B,2,0)</f>
        <v>Ken</v>
      </c>
      <c r="H3211" s="6" t="str">
        <f>VLOOKUP(F3211,'Customer Info'!$A$1:$C$501,3,0)</f>
        <v>Heidel</v>
      </c>
      <c r="I3211" s="6" t="str">
        <f>VLOOKUP(F3211,Customer,5,0)</f>
        <v>Tegal</v>
      </c>
      <c r="J3211" s="2">
        <v>4443</v>
      </c>
      <c r="K3211" s="2">
        <v>4079</v>
      </c>
      <c r="L3211" s="2">
        <v>4</v>
      </c>
      <c r="M3211" s="7">
        <f t="shared" ref="M3211:M3274" si="250">K3211*L3211</f>
        <v>16316</v>
      </c>
      <c r="N3211" s="7">
        <f t="shared" ref="N3211:N3274" si="251">J3211*L3211</f>
        <v>17772</v>
      </c>
      <c r="O3211" s="2">
        <v>79</v>
      </c>
      <c r="P3211" s="8">
        <f t="shared" ref="P3211:P3274" si="252">N3211+O3211</f>
        <v>17851</v>
      </c>
      <c r="Q3211" s="8">
        <f t="shared" ref="Q3211:Q3274" si="253">N3211-M3211</f>
        <v>1456</v>
      </c>
      <c r="R3211" s="2" t="s">
        <v>28</v>
      </c>
      <c r="S3211" s="24">
        <f t="shared" ref="S3211:S3274" si="254">VLOOKUP(N3211,$T$1:$U$7,2,TRUE)</f>
        <v>0.05</v>
      </c>
    </row>
    <row r="3212" spans="1:19" x14ac:dyDescent="0.25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>VLOOKUP(F3212,'Customer Info'!$A:$B,2,0)</f>
        <v>Sonia</v>
      </c>
      <c r="H3212" s="6" t="str">
        <f>VLOOKUP(F3212,'Customer Info'!$A$1:$C$501,3,0)</f>
        <v>Sunley</v>
      </c>
      <c r="I3212" s="6" t="str">
        <f>VLOOKUP(F3212,Customer,5,0)</f>
        <v>Canberra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8">
        <f t="shared" si="252"/>
        <v>4109</v>
      </c>
      <c r="Q3212" s="8">
        <f t="shared" si="253"/>
        <v>268</v>
      </c>
      <c r="R3212" s="2" t="s">
        <v>28</v>
      </c>
      <c r="S3212" s="24">
        <f t="shared" si="254"/>
        <v>0.02</v>
      </c>
    </row>
    <row r="3213" spans="1:19" x14ac:dyDescent="0.25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>VLOOKUP(F3213,'Customer Info'!$A:$B,2,0)</f>
        <v>Eugene</v>
      </c>
      <c r="H3213" s="6" t="str">
        <f>VLOOKUP(F3213,'Customer Info'!$A$1:$C$501,3,0)</f>
        <v>Hildebrand</v>
      </c>
      <c r="I3213" s="6" t="str">
        <f>VLOOKUP(F3213,Customer,5,0)</f>
        <v>Coffs Harbour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8">
        <f t="shared" si="252"/>
        <v>11865</v>
      </c>
      <c r="Q3213" s="8">
        <f t="shared" si="253"/>
        <v>762</v>
      </c>
      <c r="R3213" s="2" t="s">
        <v>28</v>
      </c>
      <c r="S3213" s="24">
        <f t="shared" si="254"/>
        <v>0.05</v>
      </c>
    </row>
    <row r="3214" spans="1:19" x14ac:dyDescent="0.25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>VLOOKUP(F3214,'Customer Info'!$A:$B,2,0)</f>
        <v>Rachel</v>
      </c>
      <c r="H3214" s="6" t="str">
        <f>VLOOKUP(F3214,'Customer Info'!$A$1:$C$501,3,0)</f>
        <v>Payne</v>
      </c>
      <c r="I3214" s="6" t="str">
        <f>VLOOKUP(F3214,Customer,5,0)</f>
        <v>Mianyang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8">
        <f t="shared" si="252"/>
        <v>12719</v>
      </c>
      <c r="Q3214" s="8">
        <f t="shared" si="253"/>
        <v>590</v>
      </c>
      <c r="R3214" s="2" t="s">
        <v>50</v>
      </c>
      <c r="S3214" s="24">
        <f t="shared" si="254"/>
        <v>0.05</v>
      </c>
    </row>
    <row r="3215" spans="1:19" x14ac:dyDescent="0.25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>VLOOKUP(F3215,'Customer Info'!$A:$B,2,0)</f>
        <v>Craig</v>
      </c>
      <c r="H3215" s="6" t="str">
        <f>VLOOKUP(F3215,'Customer Info'!$A$1:$C$501,3,0)</f>
        <v>Leslie</v>
      </c>
      <c r="I3215" s="6" t="str">
        <f>VLOOKUP(F3215,Customer,5,0)</f>
        <v>Wetzlar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8">
        <f t="shared" si="252"/>
        <v>6600</v>
      </c>
      <c r="Q3215" s="8">
        <f t="shared" si="253"/>
        <v>424</v>
      </c>
      <c r="R3215" s="2" t="s">
        <v>28</v>
      </c>
      <c r="S3215" s="24">
        <f t="shared" si="254"/>
        <v>0.05</v>
      </c>
    </row>
    <row r="3216" spans="1:19" x14ac:dyDescent="0.25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>VLOOKUP(F3216,'Customer Info'!$A:$B,2,0)</f>
        <v>Dave</v>
      </c>
      <c r="H3216" s="6" t="str">
        <f>VLOOKUP(F3216,'Customer Info'!$A$1:$C$501,3,0)</f>
        <v>Hallsten</v>
      </c>
      <c r="I3216" s="6" t="str">
        <f>VLOOKUP(F3216,Customer,5,0)</f>
        <v>Coimbatore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28928</v>
      </c>
      <c r="O3216" s="2">
        <v>85</v>
      </c>
      <c r="P3216" s="8">
        <f t="shared" si="252"/>
        <v>29013</v>
      </c>
      <c r="Q3216" s="8">
        <f t="shared" si="253"/>
        <v>1916</v>
      </c>
      <c r="R3216" s="2" t="s">
        <v>28</v>
      </c>
      <c r="S3216" s="24">
        <f t="shared" si="254"/>
        <v>7.0000000000000007E-2</v>
      </c>
    </row>
    <row r="3217" spans="1:19" x14ac:dyDescent="0.25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>VLOOKUP(F3217,'Customer Info'!$A:$B,2,0)</f>
        <v>Darrin</v>
      </c>
      <c r="H3217" s="6" t="str">
        <f>VLOOKUP(F3217,'Customer Info'!$A$1:$C$501,3,0)</f>
        <v>Sayre</v>
      </c>
      <c r="I3217" s="6" t="str">
        <f>VLOOKUP(F3217,Customer,5,0)</f>
        <v>Duisburg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2843</v>
      </c>
      <c r="O3217" s="2">
        <v>32</v>
      </c>
      <c r="P3217" s="8">
        <f t="shared" si="252"/>
        <v>2875</v>
      </c>
      <c r="Q3217" s="8">
        <f t="shared" si="253"/>
        <v>108</v>
      </c>
      <c r="R3217" s="2" t="s">
        <v>26</v>
      </c>
      <c r="S3217" s="24">
        <f t="shared" si="254"/>
        <v>0.02</v>
      </c>
    </row>
    <row r="3218" spans="1:19" x14ac:dyDescent="0.25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>VLOOKUP(F3218,'Customer Info'!$A:$B,2,0)</f>
        <v>Barry</v>
      </c>
      <c r="H3218" s="6" t="str">
        <f>VLOOKUP(F3218,'Customer Info'!$A$1:$C$501,3,0)</f>
        <v>Franzšsisch</v>
      </c>
      <c r="I3218" s="6" t="str">
        <f>VLOOKUP(F3218,Customer,5,0)</f>
        <v>Canberra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55382</v>
      </c>
      <c r="O3218" s="2">
        <v>56</v>
      </c>
      <c r="P3218" s="8">
        <f t="shared" si="252"/>
        <v>55438</v>
      </c>
      <c r="Q3218" s="8">
        <f t="shared" si="253"/>
        <v>4150</v>
      </c>
      <c r="R3218" s="2" t="s">
        <v>26</v>
      </c>
      <c r="S3218" s="24">
        <f t="shared" si="254"/>
        <v>0.09</v>
      </c>
    </row>
    <row r="3219" spans="1:19" x14ac:dyDescent="0.25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>VLOOKUP(F3219,'Customer Info'!$A:$B,2,0)</f>
        <v>Michael</v>
      </c>
      <c r="H3219" s="6" t="str">
        <f>VLOOKUP(F3219,'Customer Info'!$A$1:$C$501,3,0)</f>
        <v>Chen</v>
      </c>
      <c r="I3219" s="6" t="str">
        <f>VLOOKUP(F3219,Customer,5,0)</f>
        <v>Jakarta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480</v>
      </c>
      <c r="O3219" s="2">
        <v>10</v>
      </c>
      <c r="P3219" s="8">
        <f t="shared" si="252"/>
        <v>490</v>
      </c>
      <c r="Q3219" s="8">
        <f t="shared" si="253"/>
        <v>30</v>
      </c>
      <c r="R3219" s="2" t="s">
        <v>28</v>
      </c>
      <c r="S3219" s="24">
        <f t="shared" si="254"/>
        <v>0.02</v>
      </c>
    </row>
    <row r="3220" spans="1:19" x14ac:dyDescent="0.25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>VLOOKUP(F3220,'Customer Info'!$A:$B,2,0)</f>
        <v>Susan</v>
      </c>
      <c r="H3220" s="6" t="str">
        <f>VLOOKUP(F3220,'Customer Info'!$A$1:$C$501,3,0)</f>
        <v>MacKendrick</v>
      </c>
      <c r="I3220" s="6" t="str">
        <f>VLOOKUP(F3220,Customer,5,0)</f>
        <v>Brisbane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918</v>
      </c>
      <c r="O3220" s="2">
        <v>33</v>
      </c>
      <c r="P3220" s="8">
        <f t="shared" si="252"/>
        <v>951</v>
      </c>
      <c r="Q3220" s="8">
        <f t="shared" si="253"/>
        <v>59</v>
      </c>
      <c r="R3220" s="2" t="s">
        <v>50</v>
      </c>
      <c r="S3220" s="24">
        <f t="shared" si="254"/>
        <v>0.02</v>
      </c>
    </row>
    <row r="3221" spans="1:19" x14ac:dyDescent="0.25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>VLOOKUP(F3221,'Customer Info'!$A:$B,2,0)</f>
        <v>Rob</v>
      </c>
      <c r="H3221" s="6" t="str">
        <f>VLOOKUP(F3221,'Customer Info'!$A$1:$C$501,3,0)</f>
        <v>Haberlin</v>
      </c>
      <c r="I3221" s="6" t="str">
        <f>VLOOKUP(F3221,Customer,5,0)</f>
        <v>Harbin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2253</v>
      </c>
      <c r="O3221" s="2">
        <v>54</v>
      </c>
      <c r="P3221" s="8">
        <f t="shared" si="252"/>
        <v>2307</v>
      </c>
      <c r="Q3221" s="8">
        <f t="shared" si="253"/>
        <v>165</v>
      </c>
      <c r="R3221" s="2" t="s">
        <v>50</v>
      </c>
      <c r="S3221" s="24">
        <f t="shared" si="254"/>
        <v>0.02</v>
      </c>
    </row>
    <row r="3222" spans="1:19" x14ac:dyDescent="0.25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>VLOOKUP(F3222,'Customer Info'!$A:$B,2,0)</f>
        <v>Ritsa</v>
      </c>
      <c r="H3222" s="6" t="str">
        <f>VLOOKUP(F3222,'Customer Info'!$A$1:$C$501,3,0)</f>
        <v>Hightower</v>
      </c>
      <c r="I3222" s="6" t="str">
        <f>VLOOKUP(F3222,Customer,5,0)</f>
        <v>Hamburg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12717</v>
      </c>
      <c r="O3222" s="2">
        <v>22</v>
      </c>
      <c r="P3222" s="8">
        <f t="shared" si="252"/>
        <v>12739</v>
      </c>
      <c r="Q3222" s="8">
        <f t="shared" si="253"/>
        <v>711</v>
      </c>
      <c r="R3222" s="2" t="s">
        <v>28</v>
      </c>
      <c r="S3222" s="24">
        <f t="shared" si="254"/>
        <v>0.05</v>
      </c>
    </row>
    <row r="3223" spans="1:19" x14ac:dyDescent="0.25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>VLOOKUP(F3223,'Customer Info'!$A:$B,2,0)</f>
        <v>Jack</v>
      </c>
      <c r="H3223" s="6" t="str">
        <f>VLOOKUP(F3223,'Customer Info'!$A$1:$C$501,3,0)</f>
        <v>Lebron</v>
      </c>
      <c r="I3223" s="6" t="str">
        <f>VLOOKUP(F3223,Customer,5,0)</f>
        <v>Erftstadt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2894</v>
      </c>
      <c r="O3223" s="2">
        <v>98</v>
      </c>
      <c r="P3223" s="8">
        <f t="shared" si="252"/>
        <v>2992</v>
      </c>
      <c r="Q3223" s="8">
        <f t="shared" si="253"/>
        <v>242</v>
      </c>
      <c r="R3223" s="2" t="s">
        <v>50</v>
      </c>
      <c r="S3223" s="24">
        <f t="shared" si="254"/>
        <v>0.02</v>
      </c>
    </row>
    <row r="3224" spans="1:19" x14ac:dyDescent="0.25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>VLOOKUP(F3224,'Customer Info'!$A:$B,2,0)</f>
        <v>Hunter</v>
      </c>
      <c r="H3224" s="6" t="str">
        <f>VLOOKUP(F3224,'Customer Info'!$A$1:$C$501,3,0)</f>
        <v>Lopez</v>
      </c>
      <c r="I3224" s="6" t="str">
        <f>VLOOKUP(F3224,Customer,5,0)</f>
        <v>Wollongong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36778</v>
      </c>
      <c r="O3224" s="2">
        <v>27</v>
      </c>
      <c r="P3224" s="8">
        <f t="shared" si="252"/>
        <v>36805</v>
      </c>
      <c r="Q3224" s="8">
        <f t="shared" si="253"/>
        <v>2069</v>
      </c>
      <c r="R3224" s="2" t="s">
        <v>28</v>
      </c>
      <c r="S3224" s="24">
        <f t="shared" si="254"/>
        <v>7.0000000000000007E-2</v>
      </c>
    </row>
    <row r="3225" spans="1:19" x14ac:dyDescent="0.25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>VLOOKUP(F3225,'Customer Info'!$A:$B,2,0)</f>
        <v>Katrina</v>
      </c>
      <c r="H3225" s="6" t="str">
        <f>VLOOKUP(F3225,'Customer Info'!$A$1:$C$501,3,0)</f>
        <v>Bavinger</v>
      </c>
      <c r="I3225" s="6" t="str">
        <f>VLOOKUP(F3225,Customer,5,0)</f>
        <v>Melbourne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12738</v>
      </c>
      <c r="O3225" s="2">
        <v>85</v>
      </c>
      <c r="P3225" s="8">
        <f t="shared" si="252"/>
        <v>12823</v>
      </c>
      <c r="Q3225" s="8">
        <f t="shared" si="253"/>
        <v>1167</v>
      </c>
      <c r="R3225" s="2" t="s">
        <v>26</v>
      </c>
      <c r="S3225" s="24">
        <f t="shared" si="254"/>
        <v>0.05</v>
      </c>
    </row>
    <row r="3226" spans="1:19" x14ac:dyDescent="0.25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>VLOOKUP(F3226,'Customer Info'!$A:$B,2,0)</f>
        <v>Darren</v>
      </c>
      <c r="H3226" s="6" t="str">
        <f>VLOOKUP(F3226,'Customer Info'!$A$1:$C$501,3,0)</f>
        <v>Koutras</v>
      </c>
      <c r="I3226" s="6" t="str">
        <f>VLOOKUP(F3226,Customer,5,0)</f>
        <v>Pune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10062</v>
      </c>
      <c r="O3226" s="2">
        <v>87</v>
      </c>
      <c r="P3226" s="8">
        <f t="shared" si="252"/>
        <v>10149</v>
      </c>
      <c r="Q3226" s="8">
        <f t="shared" si="253"/>
        <v>756</v>
      </c>
      <c r="R3226" s="2" t="s">
        <v>26</v>
      </c>
      <c r="S3226" s="24">
        <f t="shared" si="254"/>
        <v>0.05</v>
      </c>
    </row>
    <row r="3227" spans="1:19" x14ac:dyDescent="0.25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>VLOOKUP(F3227,'Customer Info'!$A:$B,2,0)</f>
        <v>Michelle</v>
      </c>
      <c r="H3227" s="6" t="str">
        <f>VLOOKUP(F3227,'Customer Info'!$A$1:$C$501,3,0)</f>
        <v>Arnett</v>
      </c>
      <c r="I3227" s="6" t="str">
        <f>VLOOKUP(F3227,Customer,5,0)</f>
        <v>Palembang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1395</v>
      </c>
      <c r="O3227" s="2">
        <v>45</v>
      </c>
      <c r="P3227" s="8">
        <f t="shared" si="252"/>
        <v>1440</v>
      </c>
      <c r="Q3227" s="8">
        <f t="shared" si="253"/>
        <v>78</v>
      </c>
      <c r="R3227" s="2" t="s">
        <v>28</v>
      </c>
      <c r="S3227" s="24">
        <f t="shared" si="254"/>
        <v>0.02</v>
      </c>
    </row>
    <row r="3228" spans="1:19" x14ac:dyDescent="0.25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>VLOOKUP(F3228,'Customer Info'!$A:$B,2,0)</f>
        <v>Harold</v>
      </c>
      <c r="H3228" s="6" t="str">
        <f>VLOOKUP(F3228,'Customer Info'!$A$1:$C$501,3,0)</f>
        <v>Pawlan</v>
      </c>
      <c r="I3228" s="6" t="str">
        <f>VLOOKUP(F3228,Customer,5,0)</f>
        <v>Banda Aceh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25083</v>
      </c>
      <c r="O3228" s="2">
        <v>97</v>
      </c>
      <c r="P3228" s="8">
        <f t="shared" si="252"/>
        <v>25180</v>
      </c>
      <c r="Q3228" s="8">
        <f t="shared" si="253"/>
        <v>954</v>
      </c>
      <c r="R3228" s="2" t="s">
        <v>50</v>
      </c>
      <c r="S3228" s="24">
        <f t="shared" si="254"/>
        <v>7.0000000000000007E-2</v>
      </c>
    </row>
    <row r="3229" spans="1:19" x14ac:dyDescent="0.25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>VLOOKUP(F3229,'Customer Info'!$A:$B,2,0)</f>
        <v>Brian</v>
      </c>
      <c r="H3229" s="6" t="str">
        <f>VLOOKUP(F3229,'Customer Info'!$A$1:$C$501,3,0)</f>
        <v>DeCherney</v>
      </c>
      <c r="I3229" s="6" t="str">
        <f>VLOOKUP(F3229,Customer,5,0)</f>
        <v>Kendari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8605</v>
      </c>
      <c r="O3229" s="2">
        <v>49</v>
      </c>
      <c r="P3229" s="8">
        <f t="shared" si="252"/>
        <v>8654</v>
      </c>
      <c r="Q3229" s="8">
        <f t="shared" si="253"/>
        <v>405</v>
      </c>
      <c r="R3229" s="2" t="s">
        <v>28</v>
      </c>
      <c r="S3229" s="24">
        <f t="shared" si="254"/>
        <v>0.05</v>
      </c>
    </row>
    <row r="3230" spans="1:19" x14ac:dyDescent="0.25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>VLOOKUP(F3230,'Customer Info'!$A:$B,2,0)</f>
        <v>Fred</v>
      </c>
      <c r="H3230" s="6" t="str">
        <f>VLOOKUP(F3230,'Customer Info'!$A$1:$C$501,3,0)</f>
        <v>Wasserman</v>
      </c>
      <c r="I3230" s="6" t="str">
        <f>VLOOKUP(F3230,Customer,5,0)</f>
        <v>Willich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15920</v>
      </c>
      <c r="O3230" s="2">
        <v>77</v>
      </c>
      <c r="P3230" s="8">
        <f t="shared" si="252"/>
        <v>15997</v>
      </c>
      <c r="Q3230" s="8">
        <f t="shared" si="253"/>
        <v>1185</v>
      </c>
      <c r="R3230" s="2" t="s">
        <v>28</v>
      </c>
      <c r="S3230" s="24">
        <f t="shared" si="254"/>
        <v>0.05</v>
      </c>
    </row>
    <row r="3231" spans="1:19" x14ac:dyDescent="0.25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>VLOOKUP(F3231,'Customer Info'!$A:$B,2,0)</f>
        <v>Pamela</v>
      </c>
      <c r="H3231" s="6" t="str">
        <f>VLOOKUP(F3231,'Customer Info'!$A$1:$C$501,3,0)</f>
        <v>Stobb</v>
      </c>
      <c r="I3231" s="6" t="str">
        <f>VLOOKUP(F3231,Customer,5,0)</f>
        <v>Bremen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918</v>
      </c>
      <c r="O3231" s="2">
        <v>36</v>
      </c>
      <c r="P3231" s="8">
        <f t="shared" si="252"/>
        <v>954</v>
      </c>
      <c r="Q3231" s="8">
        <f t="shared" si="253"/>
        <v>59</v>
      </c>
      <c r="R3231" s="2" t="s">
        <v>28</v>
      </c>
      <c r="S3231" s="24">
        <f t="shared" si="254"/>
        <v>0.02</v>
      </c>
    </row>
    <row r="3232" spans="1:19" x14ac:dyDescent="0.25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>VLOOKUP(F3232,'Customer Info'!$A:$B,2,0)</f>
        <v>Anthony</v>
      </c>
      <c r="H3232" s="6" t="str">
        <f>VLOOKUP(F3232,'Customer Info'!$A$1:$C$501,3,0)</f>
        <v>O'Donnell</v>
      </c>
      <c r="I3232" s="6" t="str">
        <f>VLOOKUP(F3232,Customer,5,0)</f>
        <v>Perth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334</v>
      </c>
      <c r="O3232" s="2">
        <v>30</v>
      </c>
      <c r="P3232" s="8">
        <f t="shared" si="252"/>
        <v>364</v>
      </c>
      <c r="Q3232" s="8">
        <f t="shared" si="253"/>
        <v>24</v>
      </c>
      <c r="R3232" s="2" t="s">
        <v>50</v>
      </c>
      <c r="S3232" s="24">
        <f t="shared" si="254"/>
        <v>0.02</v>
      </c>
    </row>
    <row r="3233" spans="1:19" x14ac:dyDescent="0.25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>VLOOKUP(F3233,'Customer Info'!$A:$B,2,0)</f>
        <v>Jas</v>
      </c>
      <c r="H3233" s="6" t="str">
        <f>VLOOKUP(F3233,'Customer Info'!$A$1:$C$501,3,0)</f>
        <v>O'Carroll</v>
      </c>
      <c r="I3233" s="6" t="str">
        <f>VLOOKUP(F3233,Customer,5,0)</f>
        <v>Essen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21423</v>
      </c>
      <c r="O3233" s="2">
        <v>34</v>
      </c>
      <c r="P3233" s="8">
        <f t="shared" si="252"/>
        <v>21457</v>
      </c>
      <c r="Q3233" s="8">
        <f t="shared" si="253"/>
        <v>1800</v>
      </c>
      <c r="R3233" s="2" t="s">
        <v>26</v>
      </c>
      <c r="S3233" s="24">
        <f t="shared" si="254"/>
        <v>0.05</v>
      </c>
    </row>
    <row r="3234" spans="1:19" x14ac:dyDescent="0.25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>VLOOKUP(F3234,'Customer Info'!$A:$B,2,0)</f>
        <v>Olvera</v>
      </c>
      <c r="H3234" s="6" t="str">
        <f>VLOOKUP(F3234,'Customer Info'!$A$1:$C$501,3,0)</f>
        <v>Toch</v>
      </c>
      <c r="I3234" s="6" t="str">
        <f>VLOOKUP(F3234,Customer,5,0)</f>
        <v>Wollongong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21063</v>
      </c>
      <c r="O3234" s="2">
        <v>86</v>
      </c>
      <c r="P3234" s="8">
        <f t="shared" si="252"/>
        <v>21149</v>
      </c>
      <c r="Q3234" s="8">
        <f t="shared" si="253"/>
        <v>1005</v>
      </c>
      <c r="R3234" s="2" t="s">
        <v>28</v>
      </c>
      <c r="S3234" s="24">
        <f t="shared" si="254"/>
        <v>0.05</v>
      </c>
    </row>
    <row r="3235" spans="1:19" x14ac:dyDescent="0.25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>VLOOKUP(F3235,'Customer Info'!$A:$B,2,0)</f>
        <v>Ann</v>
      </c>
      <c r="H3235" s="6" t="str">
        <f>VLOOKUP(F3235,'Customer Info'!$A$1:$C$501,3,0)</f>
        <v>Chong</v>
      </c>
      <c r="I3235" s="6" t="str">
        <f>VLOOKUP(F3235,Customer,5,0)</f>
        <v>Sydney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288</v>
      </c>
      <c r="O3235" s="2">
        <v>30</v>
      </c>
      <c r="P3235" s="8">
        <f t="shared" si="252"/>
        <v>318</v>
      </c>
      <c r="Q3235" s="8">
        <f t="shared" si="253"/>
        <v>24</v>
      </c>
      <c r="R3235" s="2" t="s">
        <v>50</v>
      </c>
      <c r="S3235" s="24">
        <f t="shared" si="254"/>
        <v>0.02</v>
      </c>
    </row>
    <row r="3236" spans="1:19" x14ac:dyDescent="0.25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>VLOOKUP(F3236,'Customer Info'!$A:$B,2,0)</f>
        <v>Natalie</v>
      </c>
      <c r="H3236" s="6" t="str">
        <f>VLOOKUP(F3236,'Customer Info'!$A$1:$C$501,3,0)</f>
        <v>Webber</v>
      </c>
      <c r="I3236" s="6" t="str">
        <f>VLOOKUP(F3236,Customer,5,0)</f>
        <v>Ningbo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417</v>
      </c>
      <c r="O3236" s="2">
        <v>30</v>
      </c>
      <c r="P3236" s="8">
        <f t="shared" si="252"/>
        <v>447</v>
      </c>
      <c r="Q3236" s="8">
        <f t="shared" si="253"/>
        <v>18</v>
      </c>
      <c r="R3236" s="2" t="s">
        <v>26</v>
      </c>
      <c r="S3236" s="24">
        <f t="shared" si="254"/>
        <v>0.02</v>
      </c>
    </row>
    <row r="3237" spans="1:19" x14ac:dyDescent="0.25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>VLOOKUP(F3237,'Customer Info'!$A:$B,2,0)</f>
        <v>Rachel</v>
      </c>
      <c r="H3237" s="6" t="str">
        <f>VLOOKUP(F3237,'Customer Info'!$A$1:$C$501,3,0)</f>
        <v>Payne</v>
      </c>
      <c r="I3237" s="6" t="str">
        <f>VLOOKUP(F3237,Customer,5,0)</f>
        <v>Fuzhou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5052</v>
      </c>
      <c r="O3237" s="2">
        <v>37</v>
      </c>
      <c r="P3237" s="8">
        <f t="shared" si="252"/>
        <v>5089</v>
      </c>
      <c r="Q3237" s="8">
        <f t="shared" si="253"/>
        <v>236</v>
      </c>
      <c r="R3237" s="2" t="s">
        <v>28</v>
      </c>
      <c r="S3237" s="24">
        <f t="shared" si="254"/>
        <v>0.05</v>
      </c>
    </row>
    <row r="3238" spans="1:19" x14ac:dyDescent="0.25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>VLOOKUP(F3238,'Customer Info'!$A:$B,2,0)</f>
        <v>Adrian</v>
      </c>
      <c r="H3238" s="6" t="str">
        <f>VLOOKUP(F3238,'Customer Info'!$A$1:$C$501,3,0)</f>
        <v>Barton</v>
      </c>
      <c r="I3238" s="6" t="str">
        <f>VLOOKUP(F3238,Customer,5,0)</f>
        <v>Wetzlar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14700</v>
      </c>
      <c r="O3238" s="2">
        <v>71</v>
      </c>
      <c r="P3238" s="8">
        <f t="shared" si="252"/>
        <v>14771</v>
      </c>
      <c r="Q3238" s="8">
        <f t="shared" si="253"/>
        <v>1214</v>
      </c>
      <c r="R3238" s="2" t="s">
        <v>28</v>
      </c>
      <c r="S3238" s="24">
        <f t="shared" si="254"/>
        <v>0.05</v>
      </c>
    </row>
    <row r="3239" spans="1:19" x14ac:dyDescent="0.25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>VLOOKUP(F3239,'Customer Info'!$A:$B,2,0)</f>
        <v>Thea</v>
      </c>
      <c r="H3239" s="6" t="str">
        <f>VLOOKUP(F3239,'Customer Info'!$A$1:$C$501,3,0)</f>
        <v>Hudgings</v>
      </c>
      <c r="I3239" s="6" t="str">
        <f>VLOOKUP(F3239,Customer,5,0)</f>
        <v>Anshan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1533</v>
      </c>
      <c r="O3239" s="2">
        <v>23</v>
      </c>
      <c r="P3239" s="8">
        <f t="shared" si="252"/>
        <v>1556</v>
      </c>
      <c r="Q3239" s="8">
        <f t="shared" si="253"/>
        <v>129</v>
      </c>
      <c r="R3239" s="2" t="s">
        <v>50</v>
      </c>
      <c r="S3239" s="24">
        <f t="shared" si="254"/>
        <v>0.02</v>
      </c>
    </row>
    <row r="3240" spans="1:19" x14ac:dyDescent="0.25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>VLOOKUP(F3240,'Customer Info'!$A:$B,2,0)</f>
        <v>Emily</v>
      </c>
      <c r="H3240" s="6" t="str">
        <f>VLOOKUP(F3240,'Customer Info'!$A$1:$C$501,3,0)</f>
        <v>Grady</v>
      </c>
      <c r="I3240" s="6" t="str">
        <f>VLOOKUP(F3240,Customer,5,0)</f>
        <v>Pimpri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12174</v>
      </c>
      <c r="O3240" s="2">
        <v>56</v>
      </c>
      <c r="P3240" s="8">
        <f t="shared" si="252"/>
        <v>12230</v>
      </c>
      <c r="Q3240" s="8">
        <f t="shared" si="253"/>
        <v>558</v>
      </c>
      <c r="R3240" s="2" t="s">
        <v>28</v>
      </c>
      <c r="S3240" s="24">
        <f t="shared" si="254"/>
        <v>0.05</v>
      </c>
    </row>
    <row r="3241" spans="1:19" x14ac:dyDescent="0.25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>VLOOKUP(F3241,'Customer Info'!$A:$B,2,0)</f>
        <v>Yana</v>
      </c>
      <c r="H3241" s="6" t="str">
        <f>VLOOKUP(F3241,'Customer Info'!$A$1:$C$501,3,0)</f>
        <v>Sorensen</v>
      </c>
      <c r="I3241" s="6" t="str">
        <f>VLOOKUP(F3241,Customer,5,0)</f>
        <v>Bottrop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13731</v>
      </c>
      <c r="O3241" s="2">
        <v>91</v>
      </c>
      <c r="P3241" s="8">
        <f t="shared" si="252"/>
        <v>13822</v>
      </c>
      <c r="Q3241" s="8">
        <f t="shared" si="253"/>
        <v>891</v>
      </c>
      <c r="R3241" s="2" t="s">
        <v>50</v>
      </c>
      <c r="S3241" s="24">
        <f t="shared" si="254"/>
        <v>0.05</v>
      </c>
    </row>
    <row r="3242" spans="1:19" x14ac:dyDescent="0.25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>VLOOKUP(F3242,'Customer Info'!$A:$B,2,0)</f>
        <v>Sam</v>
      </c>
      <c r="H3242" s="6" t="str">
        <f>VLOOKUP(F3242,'Customer Info'!$A$1:$C$501,3,0)</f>
        <v>Craven</v>
      </c>
      <c r="I3242" s="6" t="str">
        <f>VLOOKUP(F3242,Customer,5,0)</f>
        <v>Hyderabad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123310</v>
      </c>
      <c r="O3242" s="2">
        <v>47</v>
      </c>
      <c r="P3242" s="8">
        <f t="shared" si="252"/>
        <v>123357</v>
      </c>
      <c r="Q3242" s="8">
        <f t="shared" si="253"/>
        <v>8005</v>
      </c>
      <c r="R3242" s="2" t="s">
        <v>28</v>
      </c>
      <c r="S3242" s="24">
        <f t="shared" si="254"/>
        <v>0.12</v>
      </c>
    </row>
    <row r="3243" spans="1:19" x14ac:dyDescent="0.25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>VLOOKUP(F3243,'Customer Info'!$A:$B,2,0)</f>
        <v>Candace</v>
      </c>
      <c r="H3243" s="6" t="str">
        <f>VLOOKUP(F3243,'Customer Info'!$A$1:$C$501,3,0)</f>
        <v>McMahon</v>
      </c>
      <c r="I3243" s="6" t="str">
        <f>VLOOKUP(F3243,Customer,5,0)</f>
        <v>Canberra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1533</v>
      </c>
      <c r="O3243" s="2">
        <v>57</v>
      </c>
      <c r="P3243" s="8">
        <f t="shared" si="252"/>
        <v>1590</v>
      </c>
      <c r="Q3243" s="8">
        <f t="shared" si="253"/>
        <v>127</v>
      </c>
      <c r="R3243" s="2" t="s">
        <v>28</v>
      </c>
      <c r="S3243" s="24">
        <f t="shared" si="254"/>
        <v>0.02</v>
      </c>
    </row>
    <row r="3244" spans="1:19" x14ac:dyDescent="0.25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>VLOOKUP(F3244,'Customer Info'!$A:$B,2,0)</f>
        <v>Adam</v>
      </c>
      <c r="H3244" s="6" t="str">
        <f>VLOOKUP(F3244,'Customer Info'!$A$1:$C$501,3,0)</f>
        <v>Bellavance</v>
      </c>
      <c r="I3244" s="6" t="str">
        <f>VLOOKUP(F3244,Customer,5,0)</f>
        <v>Medan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265643</v>
      </c>
      <c r="O3244" s="2">
        <v>51</v>
      </c>
      <c r="P3244" s="8">
        <f t="shared" si="252"/>
        <v>265694</v>
      </c>
      <c r="Q3244" s="8">
        <f t="shared" si="253"/>
        <v>21931</v>
      </c>
      <c r="R3244" s="2" t="s">
        <v>50</v>
      </c>
      <c r="S3244" s="24">
        <f t="shared" si="254"/>
        <v>0.15</v>
      </c>
    </row>
    <row r="3245" spans="1:19" x14ac:dyDescent="0.25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>VLOOKUP(F3245,'Customer Info'!$A:$B,2,0)</f>
        <v>Joy</v>
      </c>
      <c r="H3245" s="6" t="str">
        <f>VLOOKUP(F3245,'Customer Info'!$A$1:$C$501,3,0)</f>
        <v>Bell</v>
      </c>
      <c r="I3245" s="6" t="str">
        <f>VLOOKUP(F3245,Customer,5,0)</f>
        <v>Vijayawada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5748</v>
      </c>
      <c r="O3245" s="2">
        <v>60</v>
      </c>
      <c r="P3245" s="8">
        <f t="shared" si="252"/>
        <v>5808</v>
      </c>
      <c r="Q3245" s="8">
        <f t="shared" si="253"/>
        <v>216</v>
      </c>
      <c r="R3245" s="2" t="s">
        <v>50</v>
      </c>
      <c r="S3245" s="24">
        <f t="shared" si="254"/>
        <v>0.05</v>
      </c>
    </row>
    <row r="3246" spans="1:19" x14ac:dyDescent="0.25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>VLOOKUP(F3246,'Customer Info'!$A:$B,2,0)</f>
        <v>Jill</v>
      </c>
      <c r="H3246" s="6" t="str">
        <f>VLOOKUP(F3246,'Customer Info'!$A$1:$C$501,3,0)</f>
        <v>Fjeld</v>
      </c>
      <c r="I3246" s="6" t="str">
        <f>VLOOKUP(F3246,Customer,5,0)</f>
        <v>Wollongong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13024</v>
      </c>
      <c r="O3246" s="2">
        <v>21</v>
      </c>
      <c r="P3246" s="8">
        <f t="shared" si="252"/>
        <v>13045</v>
      </c>
      <c r="Q3246" s="8">
        <f t="shared" si="253"/>
        <v>848</v>
      </c>
      <c r="R3246" s="2" t="s">
        <v>26</v>
      </c>
      <c r="S3246" s="24">
        <f t="shared" si="254"/>
        <v>0.05</v>
      </c>
    </row>
    <row r="3247" spans="1:19" x14ac:dyDescent="0.25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>VLOOKUP(F3247,'Customer Info'!$A:$B,2,0)</f>
        <v>Laurel</v>
      </c>
      <c r="H3247" s="6" t="str">
        <f>VLOOKUP(F3247,'Customer Info'!$A$1:$C$501,3,0)</f>
        <v>Beltran</v>
      </c>
      <c r="I3247" s="6" t="str">
        <f>VLOOKUP(F3247,Customer,5,0)</f>
        <v>Melbourne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4500</v>
      </c>
      <c r="O3247" s="2">
        <v>62</v>
      </c>
      <c r="P3247" s="8">
        <f t="shared" si="252"/>
        <v>4562</v>
      </c>
      <c r="Q3247" s="8">
        <f t="shared" si="253"/>
        <v>86</v>
      </c>
      <c r="R3247" s="2" t="s">
        <v>50</v>
      </c>
      <c r="S3247" s="24">
        <f t="shared" si="254"/>
        <v>0.02</v>
      </c>
    </row>
    <row r="3248" spans="1:19" x14ac:dyDescent="0.25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>VLOOKUP(F3248,'Customer Info'!$A:$B,2,0)</f>
        <v>Tracy</v>
      </c>
      <c r="H3248" s="6" t="str">
        <f>VLOOKUP(F3248,'Customer Info'!$A$1:$C$501,3,0)</f>
        <v>Blumstein</v>
      </c>
      <c r="I3248" s="6" t="str">
        <f>VLOOKUP(F3248,Customer,5,0)</f>
        <v>Guangzhou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672</v>
      </c>
      <c r="O3248" s="2">
        <v>10</v>
      </c>
      <c r="P3248" s="8">
        <f t="shared" si="252"/>
        <v>682</v>
      </c>
      <c r="Q3248" s="8">
        <f t="shared" si="253"/>
        <v>63</v>
      </c>
      <c r="R3248" s="2" t="s">
        <v>28</v>
      </c>
      <c r="S3248" s="24">
        <f t="shared" si="254"/>
        <v>0.02</v>
      </c>
    </row>
    <row r="3249" spans="1:19" x14ac:dyDescent="0.25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>VLOOKUP(F3249,'Customer Info'!$A:$B,2,0)</f>
        <v>Michael</v>
      </c>
      <c r="H3249" s="6" t="str">
        <f>VLOOKUP(F3249,'Customer Info'!$A$1:$C$501,3,0)</f>
        <v>Moore</v>
      </c>
      <c r="I3249" s="6" t="str">
        <f>VLOOKUP(F3249,Customer,5,0)</f>
        <v>Vadodara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8492</v>
      </c>
      <c r="O3249" s="2">
        <v>100</v>
      </c>
      <c r="P3249" s="8">
        <f t="shared" si="252"/>
        <v>8592</v>
      </c>
      <c r="Q3249" s="8">
        <f t="shared" si="253"/>
        <v>778</v>
      </c>
      <c r="R3249" s="2" t="s">
        <v>28</v>
      </c>
      <c r="S3249" s="24">
        <f t="shared" si="254"/>
        <v>0.05</v>
      </c>
    </row>
    <row r="3250" spans="1:19" x14ac:dyDescent="0.25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>VLOOKUP(F3250,'Customer Info'!$A:$B,2,0)</f>
        <v>Craig</v>
      </c>
      <c r="H3250" s="6" t="str">
        <f>VLOOKUP(F3250,'Customer Info'!$A$1:$C$501,3,0)</f>
        <v>Carroll</v>
      </c>
      <c r="I3250" s="6" t="str">
        <f>VLOOKUP(F3250,Customer,5,0)</f>
        <v>Suzhou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56</v>
      </c>
      <c r="O3250" s="2">
        <v>10</v>
      </c>
      <c r="P3250" s="8">
        <f t="shared" si="252"/>
        <v>66</v>
      </c>
      <c r="Q3250" s="8">
        <f t="shared" si="253"/>
        <v>2</v>
      </c>
      <c r="R3250" s="2" t="s">
        <v>28</v>
      </c>
      <c r="S3250" s="24">
        <f t="shared" si="254"/>
        <v>0.02</v>
      </c>
    </row>
    <row r="3251" spans="1:19" x14ac:dyDescent="0.25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>VLOOKUP(F3251,'Customer Info'!$A:$B,2,0)</f>
        <v>Ralph</v>
      </c>
      <c r="H3251" s="6" t="str">
        <f>VLOOKUP(F3251,'Customer Info'!$A$1:$C$501,3,0)</f>
        <v>Kennedy</v>
      </c>
      <c r="I3251" s="6" t="str">
        <f>VLOOKUP(F3251,Customer,5,0)</f>
        <v>Bundaberg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1650</v>
      </c>
      <c r="O3251" s="2">
        <v>30</v>
      </c>
      <c r="P3251" s="8">
        <f t="shared" si="252"/>
        <v>1680</v>
      </c>
      <c r="Q3251" s="8">
        <f t="shared" si="253"/>
        <v>64</v>
      </c>
      <c r="R3251" s="2" t="s">
        <v>50</v>
      </c>
      <c r="S3251" s="24">
        <f t="shared" si="254"/>
        <v>0.02</v>
      </c>
    </row>
    <row r="3252" spans="1:19" x14ac:dyDescent="0.25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>VLOOKUP(F3252,'Customer Info'!$A:$B,2,0)</f>
        <v>Julie</v>
      </c>
      <c r="H3252" s="6" t="str">
        <f>VLOOKUP(F3252,'Customer Info'!$A$1:$C$501,3,0)</f>
        <v>Prescott</v>
      </c>
      <c r="I3252" s="6" t="str">
        <f>VLOOKUP(F3252,Customer,5,0)</f>
        <v>Norderstedt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39800</v>
      </c>
      <c r="O3252" s="2">
        <v>71</v>
      </c>
      <c r="P3252" s="8">
        <f t="shared" si="252"/>
        <v>39871</v>
      </c>
      <c r="Q3252" s="8">
        <f t="shared" si="253"/>
        <v>2925</v>
      </c>
      <c r="R3252" s="2" t="s">
        <v>56</v>
      </c>
      <c r="S3252" s="24">
        <f t="shared" si="254"/>
        <v>7.0000000000000007E-2</v>
      </c>
    </row>
    <row r="3253" spans="1:19" x14ac:dyDescent="0.25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>VLOOKUP(F3253,'Customer Info'!$A:$B,2,0)</f>
        <v>Stuart</v>
      </c>
      <c r="H3253" s="6" t="str">
        <f>VLOOKUP(F3253,'Customer Info'!$A$1:$C$501,3,0)</f>
        <v>Calhoun</v>
      </c>
      <c r="I3253" s="6" t="str">
        <f>VLOOKUP(F3253,Customer,5,0)</f>
        <v>Pforzheim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26214</v>
      </c>
      <c r="O3253" s="2">
        <v>76</v>
      </c>
      <c r="P3253" s="8">
        <f t="shared" si="252"/>
        <v>26290</v>
      </c>
      <c r="Q3253" s="8">
        <f t="shared" si="253"/>
        <v>1728</v>
      </c>
      <c r="R3253" s="2" t="s">
        <v>50</v>
      </c>
      <c r="S3253" s="24">
        <f t="shared" si="254"/>
        <v>7.0000000000000007E-2</v>
      </c>
    </row>
    <row r="3254" spans="1:19" x14ac:dyDescent="0.25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>VLOOKUP(F3254,'Customer Info'!$A:$B,2,0)</f>
        <v>Ben</v>
      </c>
      <c r="H3254" s="6" t="str">
        <f>VLOOKUP(F3254,'Customer Info'!$A$1:$C$501,3,0)</f>
        <v>Peterman</v>
      </c>
      <c r="I3254" s="6" t="str">
        <f>VLOOKUP(F3254,Customer,5,0)</f>
        <v>Bielefeld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2367</v>
      </c>
      <c r="O3254" s="2">
        <v>60</v>
      </c>
      <c r="P3254" s="8">
        <f t="shared" si="252"/>
        <v>2427</v>
      </c>
      <c r="Q3254" s="8">
        <f t="shared" si="253"/>
        <v>150</v>
      </c>
      <c r="R3254" s="2" t="s">
        <v>56</v>
      </c>
      <c r="S3254" s="24">
        <f t="shared" si="254"/>
        <v>0.02</v>
      </c>
    </row>
    <row r="3255" spans="1:19" x14ac:dyDescent="0.25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>VLOOKUP(F3255,'Customer Info'!$A:$B,2,0)</f>
        <v>Resi</v>
      </c>
      <c r="H3255" s="6" t="str">
        <f>VLOOKUP(F3255,'Customer Info'!$A$1:$C$501,3,0)</f>
        <v>Pšlking</v>
      </c>
      <c r="I3255" s="6" t="str">
        <f>VLOOKUP(F3255,Customer,5,0)</f>
        <v>Gelsenkirchen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4767</v>
      </c>
      <c r="O3255" s="2">
        <v>27</v>
      </c>
      <c r="P3255" s="8">
        <f t="shared" si="252"/>
        <v>4794</v>
      </c>
      <c r="Q3255" s="8">
        <f t="shared" si="253"/>
        <v>273</v>
      </c>
      <c r="R3255" s="2" t="s">
        <v>28</v>
      </c>
      <c r="S3255" s="24">
        <f t="shared" si="254"/>
        <v>0.02</v>
      </c>
    </row>
    <row r="3256" spans="1:19" x14ac:dyDescent="0.25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>VLOOKUP(F3256,'Customer Info'!$A:$B,2,0)</f>
        <v>Dana</v>
      </c>
      <c r="H3256" s="6" t="str">
        <f>VLOOKUP(F3256,'Customer Info'!$A$1:$C$501,3,0)</f>
        <v>Kaydos</v>
      </c>
      <c r="I3256" s="6" t="str">
        <f>VLOOKUP(F3256,Customer,5,0)</f>
        <v>Nagercoil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5538</v>
      </c>
      <c r="O3256" s="2">
        <v>80</v>
      </c>
      <c r="P3256" s="8">
        <f t="shared" si="252"/>
        <v>5618</v>
      </c>
      <c r="Q3256" s="8">
        <f t="shared" si="253"/>
        <v>264</v>
      </c>
      <c r="R3256" s="2" t="s">
        <v>50</v>
      </c>
      <c r="S3256" s="24">
        <f t="shared" si="254"/>
        <v>0.05</v>
      </c>
    </row>
    <row r="3257" spans="1:19" x14ac:dyDescent="0.25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>VLOOKUP(F3257,'Customer Info'!$A:$B,2,0)</f>
        <v>Eric</v>
      </c>
      <c r="H3257" s="6" t="str">
        <f>VLOOKUP(F3257,'Customer Info'!$A$1:$C$501,3,0)</f>
        <v>Barreto</v>
      </c>
      <c r="I3257" s="6" t="str">
        <f>VLOOKUP(F3257,Customer,5,0)</f>
        <v>Liaoyang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15336</v>
      </c>
      <c r="O3257" s="2">
        <v>57</v>
      </c>
      <c r="P3257" s="8">
        <f t="shared" si="252"/>
        <v>15393</v>
      </c>
      <c r="Q3257" s="8">
        <f t="shared" si="253"/>
        <v>720</v>
      </c>
      <c r="R3257" s="2" t="s">
        <v>50</v>
      </c>
      <c r="S3257" s="24">
        <f t="shared" si="254"/>
        <v>0.05</v>
      </c>
    </row>
    <row r="3258" spans="1:19" x14ac:dyDescent="0.25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>VLOOKUP(F3258,'Customer Info'!$A:$B,2,0)</f>
        <v>Emily</v>
      </c>
      <c r="H3258" s="6" t="str">
        <f>VLOOKUP(F3258,'Customer Info'!$A$1:$C$501,3,0)</f>
        <v>Burns</v>
      </c>
      <c r="I3258" s="6" t="str">
        <f>VLOOKUP(F3258,Customer,5,0)</f>
        <v>Nasik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8250</v>
      </c>
      <c r="O3258" s="2">
        <v>42</v>
      </c>
      <c r="P3258" s="8">
        <f t="shared" si="252"/>
        <v>8292</v>
      </c>
      <c r="Q3258" s="8">
        <f t="shared" si="253"/>
        <v>320</v>
      </c>
      <c r="R3258" s="2" t="s">
        <v>28</v>
      </c>
      <c r="S3258" s="24">
        <f t="shared" si="254"/>
        <v>0.05</v>
      </c>
    </row>
    <row r="3259" spans="1:19" x14ac:dyDescent="0.25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>VLOOKUP(F3259,'Customer Info'!$A:$B,2,0)</f>
        <v>Catherine</v>
      </c>
      <c r="H3259" s="6" t="str">
        <f>VLOOKUP(F3259,'Customer Info'!$A$1:$C$501,3,0)</f>
        <v>Glotzbach</v>
      </c>
      <c r="I3259" s="6" t="str">
        <f>VLOOKUP(F3259,Customer,5,0)</f>
        <v>Bochum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284</v>
      </c>
      <c r="O3259" s="2">
        <v>30</v>
      </c>
      <c r="P3259" s="8">
        <f t="shared" si="252"/>
        <v>314</v>
      </c>
      <c r="Q3259" s="8">
        <f t="shared" si="253"/>
        <v>16</v>
      </c>
      <c r="R3259" s="2" t="s">
        <v>50</v>
      </c>
      <c r="S3259" s="24">
        <f t="shared" si="254"/>
        <v>0.02</v>
      </c>
    </row>
    <row r="3260" spans="1:19" x14ac:dyDescent="0.25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>VLOOKUP(F3260,'Customer Info'!$A:$B,2,0)</f>
        <v>Eileen</v>
      </c>
      <c r="H3260" s="6" t="str">
        <f>VLOOKUP(F3260,'Customer Info'!$A$1:$C$501,3,0)</f>
        <v>Kiefer</v>
      </c>
      <c r="I3260" s="6" t="str">
        <f>VLOOKUP(F3260,Customer,5,0)</f>
        <v>Hamm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192</v>
      </c>
      <c r="O3260" s="2">
        <v>10</v>
      </c>
      <c r="P3260" s="8">
        <f t="shared" si="252"/>
        <v>202</v>
      </c>
      <c r="Q3260" s="8">
        <f t="shared" si="253"/>
        <v>18</v>
      </c>
      <c r="R3260" s="2" t="s">
        <v>50</v>
      </c>
      <c r="S3260" s="24">
        <f t="shared" si="254"/>
        <v>0.02</v>
      </c>
    </row>
    <row r="3261" spans="1:19" x14ac:dyDescent="0.25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>VLOOKUP(F3261,'Customer Info'!$A:$B,2,0)</f>
        <v>Catherine</v>
      </c>
      <c r="H3261" s="6" t="str">
        <f>VLOOKUP(F3261,'Customer Info'!$A$1:$C$501,3,0)</f>
        <v>Glotzbach</v>
      </c>
      <c r="I3261" s="6" t="str">
        <f>VLOOKUP(F3261,Customer,5,0)</f>
        <v>Bochum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2442</v>
      </c>
      <c r="O3261" s="2">
        <v>57</v>
      </c>
      <c r="P3261" s="8">
        <f t="shared" si="252"/>
        <v>2499</v>
      </c>
      <c r="Q3261" s="8">
        <f t="shared" si="253"/>
        <v>138</v>
      </c>
      <c r="R3261" s="2" t="s">
        <v>28</v>
      </c>
      <c r="S3261" s="24">
        <f t="shared" si="254"/>
        <v>0.02</v>
      </c>
    </row>
    <row r="3262" spans="1:19" x14ac:dyDescent="0.25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>VLOOKUP(F3262,'Customer Info'!$A:$B,2,0)</f>
        <v>Nathan</v>
      </c>
      <c r="H3262" s="6" t="str">
        <f>VLOOKUP(F3262,'Customer Info'!$A$1:$C$501,3,0)</f>
        <v>Gelder</v>
      </c>
      <c r="I3262" s="6" t="str">
        <f>VLOOKUP(F3262,Customer,5,0)</f>
        <v>Depok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3596</v>
      </c>
      <c r="O3262" s="2">
        <v>54</v>
      </c>
      <c r="P3262" s="8">
        <f t="shared" si="252"/>
        <v>3650</v>
      </c>
      <c r="Q3262" s="8">
        <f t="shared" si="253"/>
        <v>264</v>
      </c>
      <c r="R3262" s="2" t="s">
        <v>28</v>
      </c>
      <c r="S3262" s="24">
        <f t="shared" si="254"/>
        <v>0.02</v>
      </c>
    </row>
    <row r="3263" spans="1:19" x14ac:dyDescent="0.25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>VLOOKUP(F3263,'Customer Info'!$A:$B,2,0)</f>
        <v>Maribeth</v>
      </c>
      <c r="H3263" s="6" t="str">
        <f>VLOOKUP(F3263,'Customer Info'!$A$1:$C$501,3,0)</f>
        <v>Dona</v>
      </c>
      <c r="I3263" s="6" t="str">
        <f>VLOOKUP(F3263,Customer,5,0)</f>
        <v>Adelaide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7232</v>
      </c>
      <c r="O3263" s="2">
        <v>85</v>
      </c>
      <c r="P3263" s="8">
        <f t="shared" si="252"/>
        <v>7317</v>
      </c>
      <c r="Q3263" s="8">
        <f t="shared" si="253"/>
        <v>272</v>
      </c>
      <c r="R3263" s="2" t="s">
        <v>50</v>
      </c>
      <c r="S3263" s="24">
        <f t="shared" si="254"/>
        <v>0.05</v>
      </c>
    </row>
    <row r="3264" spans="1:19" x14ac:dyDescent="0.25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>VLOOKUP(F3264,'Customer Info'!$A:$B,2,0)</f>
        <v>Melanie</v>
      </c>
      <c r="H3264" s="6" t="str">
        <f>VLOOKUP(F3264,'Customer Info'!$A$1:$C$501,3,0)</f>
        <v>Seite</v>
      </c>
      <c r="I3264" s="6" t="str">
        <f>VLOOKUP(F3264,Customer,5,0)</f>
        <v>Xining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4175</v>
      </c>
      <c r="O3264" s="2">
        <v>85</v>
      </c>
      <c r="P3264" s="8">
        <f t="shared" si="252"/>
        <v>4260</v>
      </c>
      <c r="Q3264" s="8">
        <f t="shared" si="253"/>
        <v>195</v>
      </c>
      <c r="R3264" s="2" t="s">
        <v>56</v>
      </c>
      <c r="S3264" s="24">
        <f t="shared" si="254"/>
        <v>0.02</v>
      </c>
    </row>
    <row r="3265" spans="1:19" x14ac:dyDescent="0.25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>VLOOKUP(F3265,'Customer Info'!$A:$B,2,0)</f>
        <v>Adam</v>
      </c>
      <c r="H3265" s="6" t="str">
        <f>VLOOKUP(F3265,'Customer Info'!$A$1:$C$501,3,0)</f>
        <v>Bellavance</v>
      </c>
      <c r="I3265" s="6" t="str">
        <f>VLOOKUP(F3265,Customer,5,0)</f>
        <v>Medan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1152</v>
      </c>
      <c r="O3265" s="2">
        <v>10</v>
      </c>
      <c r="P3265" s="8">
        <f t="shared" si="252"/>
        <v>1162</v>
      </c>
      <c r="Q3265" s="8">
        <f t="shared" si="253"/>
        <v>108</v>
      </c>
      <c r="R3265" s="2" t="s">
        <v>28</v>
      </c>
      <c r="S3265" s="24">
        <f t="shared" si="254"/>
        <v>0.02</v>
      </c>
    </row>
    <row r="3266" spans="1:19" x14ac:dyDescent="0.25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>VLOOKUP(F3266,'Customer Info'!$A:$B,2,0)</f>
        <v>Philip</v>
      </c>
      <c r="H3266" s="6" t="str">
        <f>VLOOKUP(F3266,'Customer Info'!$A$1:$C$501,3,0)</f>
        <v>Brown</v>
      </c>
      <c r="I3266" s="6" t="str">
        <f>VLOOKUP(F3266,Customer,5,0)</f>
        <v>Binjai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75868</v>
      </c>
      <c r="O3266" s="2">
        <v>35</v>
      </c>
      <c r="P3266" s="8">
        <f t="shared" si="252"/>
        <v>75903</v>
      </c>
      <c r="Q3266" s="8">
        <f t="shared" si="253"/>
        <v>4927</v>
      </c>
      <c r="R3266" s="2" t="s">
        <v>28</v>
      </c>
      <c r="S3266" s="24">
        <f t="shared" si="254"/>
        <v>0.09</v>
      </c>
    </row>
    <row r="3267" spans="1:19" x14ac:dyDescent="0.25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>VLOOKUP(F3267,'Customer Info'!$A:$B,2,0)</f>
        <v>Quincy</v>
      </c>
      <c r="H3267" s="6" t="str">
        <f>VLOOKUP(F3267,'Customer Info'!$A$1:$C$501,3,0)</f>
        <v>Jones</v>
      </c>
      <c r="I3267" s="6" t="str">
        <f>VLOOKUP(F3267,Customer,5,0)</f>
        <v>Gold Coast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9568</v>
      </c>
      <c r="O3267" s="2">
        <v>88</v>
      </c>
      <c r="P3267" s="8">
        <f t="shared" si="252"/>
        <v>9656</v>
      </c>
      <c r="Q3267" s="8">
        <f t="shared" si="253"/>
        <v>532</v>
      </c>
      <c r="R3267" s="2" t="s">
        <v>50</v>
      </c>
      <c r="S3267" s="24">
        <f t="shared" si="254"/>
        <v>0.05</v>
      </c>
    </row>
    <row r="3268" spans="1:19" x14ac:dyDescent="0.25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>VLOOKUP(F3268,'Customer Info'!$A:$B,2,0)</f>
        <v>Stefanie</v>
      </c>
      <c r="H3268" s="6" t="str">
        <f>VLOOKUP(F3268,'Customer Info'!$A$1:$C$501,3,0)</f>
        <v>Holloman</v>
      </c>
      <c r="I3268" s="6" t="str">
        <f>VLOOKUP(F3268,Customer,5,0)</f>
        <v>Durgapur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36060</v>
      </c>
      <c r="O3268" s="2">
        <v>96</v>
      </c>
      <c r="P3268" s="8">
        <f t="shared" si="252"/>
        <v>36156</v>
      </c>
      <c r="Q3268" s="8">
        <f t="shared" si="253"/>
        <v>2375</v>
      </c>
      <c r="R3268" s="2" t="s">
        <v>50</v>
      </c>
      <c r="S3268" s="24">
        <f t="shared" si="254"/>
        <v>7.0000000000000007E-2</v>
      </c>
    </row>
    <row r="3269" spans="1:19" x14ac:dyDescent="0.25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>VLOOKUP(F3269,'Customer Info'!$A:$B,2,0)</f>
        <v>Justin</v>
      </c>
      <c r="H3269" s="6" t="str">
        <f>VLOOKUP(F3269,'Customer Info'!$A$1:$C$501,3,0)</f>
        <v>Hirsh</v>
      </c>
      <c r="I3269" s="6" t="str">
        <f>VLOOKUP(F3269,Customer,5,0)</f>
        <v>Surakarta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1010</v>
      </c>
      <c r="O3269" s="2">
        <v>24</v>
      </c>
      <c r="P3269" s="8">
        <f t="shared" si="252"/>
        <v>1034</v>
      </c>
      <c r="Q3269" s="8">
        <f t="shared" si="253"/>
        <v>84</v>
      </c>
      <c r="R3269" s="2" t="s">
        <v>28</v>
      </c>
      <c r="S3269" s="24">
        <f t="shared" si="254"/>
        <v>0.02</v>
      </c>
    </row>
    <row r="3270" spans="1:19" x14ac:dyDescent="0.25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>VLOOKUP(F3270,'Customer Info'!$A:$B,2,0)</f>
        <v>Linda</v>
      </c>
      <c r="H3270" s="6" t="str">
        <f>VLOOKUP(F3270,'Customer Info'!$A$1:$C$501,3,0)</f>
        <v>Southworth</v>
      </c>
      <c r="I3270" s="6" t="str">
        <f>VLOOKUP(F3270,Customer,5,0)</f>
        <v>Brisbane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21195</v>
      </c>
      <c r="O3270" s="2">
        <v>61</v>
      </c>
      <c r="P3270" s="8">
        <f t="shared" si="252"/>
        <v>21256</v>
      </c>
      <c r="Q3270" s="8">
        <f t="shared" si="253"/>
        <v>1560</v>
      </c>
      <c r="R3270" s="2" t="s">
        <v>28</v>
      </c>
      <c r="S3270" s="24">
        <f t="shared" si="254"/>
        <v>0.05</v>
      </c>
    </row>
    <row r="3271" spans="1:19" x14ac:dyDescent="0.25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>VLOOKUP(F3271,'Customer Info'!$A:$B,2,0)</f>
        <v>Rick</v>
      </c>
      <c r="H3271" s="6" t="str">
        <f>VLOOKUP(F3271,'Customer Info'!$A$1:$C$501,3,0)</f>
        <v>Duston</v>
      </c>
      <c r="I3271" s="6" t="str">
        <f>VLOOKUP(F3271,Customer,5,0)</f>
        <v>Surakarta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4084</v>
      </c>
      <c r="O3271" s="2">
        <v>30</v>
      </c>
      <c r="P3271" s="8">
        <f t="shared" si="252"/>
        <v>4114</v>
      </c>
      <c r="Q3271" s="8">
        <f t="shared" si="253"/>
        <v>154</v>
      </c>
      <c r="R3271" s="2" t="s">
        <v>50</v>
      </c>
      <c r="S3271" s="24">
        <f t="shared" si="254"/>
        <v>0.02</v>
      </c>
    </row>
    <row r="3272" spans="1:19" x14ac:dyDescent="0.25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>VLOOKUP(F3272,'Customer Info'!$A:$B,2,0)</f>
        <v>Laurel</v>
      </c>
      <c r="H3272" s="6" t="str">
        <f>VLOOKUP(F3272,'Customer Info'!$A$1:$C$501,3,0)</f>
        <v>Beltran</v>
      </c>
      <c r="I3272" s="6" t="str">
        <f>VLOOKUP(F3272,Customer,5,0)</f>
        <v>Bonn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2553</v>
      </c>
      <c r="O3272" s="2">
        <v>42</v>
      </c>
      <c r="P3272" s="8">
        <f t="shared" si="252"/>
        <v>2595</v>
      </c>
      <c r="Q3272" s="8">
        <f t="shared" si="253"/>
        <v>234</v>
      </c>
      <c r="R3272" s="2" t="s">
        <v>28</v>
      </c>
      <c r="S3272" s="24">
        <f t="shared" si="254"/>
        <v>0.02</v>
      </c>
    </row>
    <row r="3273" spans="1:19" x14ac:dyDescent="0.25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>VLOOKUP(F3273,'Customer Info'!$A:$B,2,0)</f>
        <v>Nicole</v>
      </c>
      <c r="H3273" s="6" t="str">
        <f>VLOOKUP(F3273,'Customer Info'!$A$1:$C$501,3,0)</f>
        <v>Fjeld</v>
      </c>
      <c r="I3273" s="6" t="str">
        <f>VLOOKUP(F3273,Customer,5,0)</f>
        <v>Berlin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131</v>
      </c>
      <c r="O3273" s="2">
        <v>30</v>
      </c>
      <c r="P3273" s="8">
        <f t="shared" si="252"/>
        <v>161</v>
      </c>
      <c r="Q3273" s="8">
        <f t="shared" si="253"/>
        <v>7</v>
      </c>
      <c r="R3273" s="2" t="s">
        <v>28</v>
      </c>
      <c r="S3273" s="24">
        <f t="shared" si="254"/>
        <v>0.02</v>
      </c>
    </row>
    <row r="3274" spans="1:19" x14ac:dyDescent="0.25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>VLOOKUP(F3274,'Customer Info'!$A:$B,2,0)</f>
        <v>Christy</v>
      </c>
      <c r="H3274" s="6" t="str">
        <f>VLOOKUP(F3274,'Customer Info'!$A$1:$C$501,3,0)</f>
        <v>Brittain</v>
      </c>
      <c r="I3274" s="6" t="str">
        <f>VLOOKUP(F3274,Customer,5,0)</f>
        <v>Depok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36540</v>
      </c>
      <c r="O3274" s="2">
        <v>73</v>
      </c>
      <c r="P3274" s="8">
        <f t="shared" si="252"/>
        <v>36613</v>
      </c>
      <c r="Q3274" s="8">
        <f t="shared" si="253"/>
        <v>3968</v>
      </c>
      <c r="R3274" s="2" t="s">
        <v>50</v>
      </c>
      <c r="S3274" s="24">
        <f t="shared" si="254"/>
        <v>7.0000000000000007E-2</v>
      </c>
    </row>
    <row r="3275" spans="1:19" x14ac:dyDescent="0.25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>VLOOKUP(F3275,'Customer Info'!$A:$B,2,0)</f>
        <v>Mike</v>
      </c>
      <c r="H3275" s="6" t="str">
        <f>VLOOKUP(F3275,'Customer Info'!$A$1:$C$501,3,0)</f>
        <v>Pelletier</v>
      </c>
      <c r="I3275" s="6" t="str">
        <f>VLOOKUP(F3275,Customer,5,0)</f>
        <v>Gorakhpur</v>
      </c>
      <c r="J3275" s="2">
        <v>3256</v>
      </c>
      <c r="K3275" s="2">
        <v>3044</v>
      </c>
      <c r="L3275" s="2">
        <v>4</v>
      </c>
      <c r="M3275" s="7">
        <f t="shared" ref="M3275:M3338" si="255">K3275*L3275</f>
        <v>12176</v>
      </c>
      <c r="N3275" s="7">
        <f t="shared" ref="N3275:N3338" si="256">J3275*L3275</f>
        <v>13024</v>
      </c>
      <c r="O3275" s="2">
        <v>31</v>
      </c>
      <c r="P3275" s="8">
        <f t="shared" ref="P3275:P3338" si="257">N3275+O3275</f>
        <v>13055</v>
      </c>
      <c r="Q3275" s="8">
        <f t="shared" ref="Q3275:Q3338" si="258">N3275-M3275</f>
        <v>848</v>
      </c>
      <c r="R3275" s="2" t="s">
        <v>28</v>
      </c>
      <c r="S3275" s="24">
        <f t="shared" ref="S3275:S3338" si="259">VLOOKUP(N3275,$T$1:$U$7,2,TRUE)</f>
        <v>0.05</v>
      </c>
    </row>
    <row r="3276" spans="1:19" x14ac:dyDescent="0.25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>VLOOKUP(F3276,'Customer Info'!$A:$B,2,0)</f>
        <v>Dianna</v>
      </c>
      <c r="H3276" s="6" t="str">
        <f>VLOOKUP(F3276,'Customer Info'!$A$1:$C$501,3,0)</f>
        <v>Vittorini</v>
      </c>
      <c r="I3276" s="6" t="str">
        <f>VLOOKUP(F3276,Customer,5,0)</f>
        <v>Cottbus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8">
        <f t="shared" si="257"/>
        <v>9187</v>
      </c>
      <c r="Q3276" s="8">
        <f t="shared" si="258"/>
        <v>176</v>
      </c>
      <c r="R3276" s="2" t="s">
        <v>26</v>
      </c>
      <c r="S3276" s="24">
        <f t="shared" si="259"/>
        <v>0.05</v>
      </c>
    </row>
    <row r="3277" spans="1:19" x14ac:dyDescent="0.25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>VLOOKUP(F3277,'Customer Info'!$A:$B,2,0)</f>
        <v>Emily</v>
      </c>
      <c r="H3277" s="6" t="str">
        <f>VLOOKUP(F3277,'Customer Info'!$A$1:$C$501,3,0)</f>
        <v>Burns</v>
      </c>
      <c r="I3277" s="6" t="str">
        <f>VLOOKUP(F3277,Customer,5,0)</f>
        <v>Adelaide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8">
        <f t="shared" si="257"/>
        <v>2521</v>
      </c>
      <c r="Q3277" s="8">
        <f t="shared" si="258"/>
        <v>185</v>
      </c>
      <c r="R3277" s="2" t="s">
        <v>50</v>
      </c>
      <c r="S3277" s="24">
        <f t="shared" si="259"/>
        <v>0.02</v>
      </c>
    </row>
    <row r="3278" spans="1:19" x14ac:dyDescent="0.25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>VLOOKUP(F3278,'Customer Info'!$A:$B,2,0)</f>
        <v>Steve</v>
      </c>
      <c r="H3278" s="6" t="str">
        <f>VLOOKUP(F3278,'Customer Info'!$A$1:$C$501,3,0)</f>
        <v>Nguyen</v>
      </c>
      <c r="I3278" s="6" t="str">
        <f>VLOOKUP(F3278,Customer,5,0)</f>
        <v>Delhi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8">
        <f t="shared" si="257"/>
        <v>1839</v>
      </c>
      <c r="Q3278" s="8">
        <f t="shared" si="258"/>
        <v>146</v>
      </c>
      <c r="R3278" s="2" t="s">
        <v>50</v>
      </c>
      <c r="S3278" s="24">
        <f t="shared" si="259"/>
        <v>0.02</v>
      </c>
    </row>
    <row r="3279" spans="1:19" x14ac:dyDescent="0.25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>VLOOKUP(F3279,'Customer Info'!$A:$B,2,0)</f>
        <v>Julia</v>
      </c>
      <c r="H3279" s="6" t="str">
        <f>VLOOKUP(F3279,'Customer Info'!$A$1:$C$501,3,0)</f>
        <v>Dunbar</v>
      </c>
      <c r="I3279" s="6" t="str">
        <f>VLOOKUP(F3279,Customer,5,0)</f>
        <v>Melbourne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8">
        <f t="shared" si="257"/>
        <v>1035</v>
      </c>
      <c r="Q3279" s="8">
        <f t="shared" si="258"/>
        <v>67</v>
      </c>
      <c r="R3279" s="2" t="s">
        <v>50</v>
      </c>
      <c r="S3279" s="24">
        <f t="shared" si="259"/>
        <v>0.02</v>
      </c>
    </row>
    <row r="3280" spans="1:19" x14ac:dyDescent="0.25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>VLOOKUP(F3280,'Customer Info'!$A:$B,2,0)</f>
        <v>Thais</v>
      </c>
      <c r="H3280" s="6" t="str">
        <f>VLOOKUP(F3280,'Customer Info'!$A$1:$C$501,3,0)</f>
        <v>Sissman</v>
      </c>
      <c r="I3280" s="6" t="str">
        <f>VLOOKUP(F3280,Customer,5,0)</f>
        <v>Essen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220</v>
      </c>
      <c r="O3280" s="2">
        <v>22</v>
      </c>
      <c r="P3280" s="8">
        <f t="shared" si="257"/>
        <v>242</v>
      </c>
      <c r="Q3280" s="8">
        <f t="shared" si="258"/>
        <v>14</v>
      </c>
      <c r="R3280" s="2" t="s">
        <v>28</v>
      </c>
      <c r="S3280" s="24">
        <f t="shared" si="259"/>
        <v>0.02</v>
      </c>
    </row>
    <row r="3281" spans="1:19" x14ac:dyDescent="0.25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>VLOOKUP(F3281,'Customer Info'!$A:$B,2,0)</f>
        <v>Anna</v>
      </c>
      <c r="H3281" s="6" t="str">
        <f>VLOOKUP(F3281,'Customer Info'!$A$1:$C$501,3,0)</f>
        <v>Gayman</v>
      </c>
      <c r="I3281" s="6" t="str">
        <f>VLOOKUP(F3281,Customer,5,0)</f>
        <v>Jakarta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1316</v>
      </c>
      <c r="O3281" s="2">
        <v>30</v>
      </c>
      <c r="P3281" s="8">
        <f t="shared" si="257"/>
        <v>1346</v>
      </c>
      <c r="Q3281" s="8">
        <f t="shared" si="258"/>
        <v>105</v>
      </c>
      <c r="R3281" s="2" t="s">
        <v>50</v>
      </c>
      <c r="S3281" s="24">
        <f t="shared" si="259"/>
        <v>0.02</v>
      </c>
    </row>
    <row r="3282" spans="1:19" x14ac:dyDescent="0.25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>VLOOKUP(F3282,'Customer Info'!$A:$B,2,0)</f>
        <v>Cathy</v>
      </c>
      <c r="H3282" s="6" t="str">
        <f>VLOOKUP(F3282,'Customer Info'!$A$1:$C$501,3,0)</f>
        <v>Hwang</v>
      </c>
      <c r="I3282" s="6" t="str">
        <f>VLOOKUP(F3282,Customer,5,0)</f>
        <v>Trier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20830</v>
      </c>
      <c r="O3282" s="2">
        <v>71</v>
      </c>
      <c r="P3282" s="8">
        <f t="shared" si="257"/>
        <v>20901</v>
      </c>
      <c r="Q3282" s="8">
        <f t="shared" si="258"/>
        <v>790</v>
      </c>
      <c r="R3282" s="2" t="s">
        <v>50</v>
      </c>
      <c r="S3282" s="24">
        <f t="shared" si="259"/>
        <v>0.05</v>
      </c>
    </row>
    <row r="3283" spans="1:19" x14ac:dyDescent="0.25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>VLOOKUP(F3283,'Customer Info'!$A:$B,2,0)</f>
        <v>Troy</v>
      </c>
      <c r="H3283" s="6" t="str">
        <f>VLOOKUP(F3283,'Customer Info'!$A$1:$C$501,3,0)</f>
        <v>Blackwell</v>
      </c>
      <c r="I3283" s="6" t="str">
        <f>VLOOKUP(F3283,Customer,5,0)</f>
        <v>Krefeld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1552</v>
      </c>
      <c r="O3283" s="2">
        <v>89</v>
      </c>
      <c r="P3283" s="8">
        <f t="shared" si="257"/>
        <v>1641</v>
      </c>
      <c r="Q3283" s="8">
        <f t="shared" si="258"/>
        <v>86</v>
      </c>
      <c r="R3283" s="2" t="s">
        <v>28</v>
      </c>
      <c r="S3283" s="24">
        <f t="shared" si="259"/>
        <v>0.02</v>
      </c>
    </row>
    <row r="3284" spans="1:19" x14ac:dyDescent="0.25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>VLOOKUP(F3284,'Customer Info'!$A:$B,2,0)</f>
        <v>Jennifer</v>
      </c>
      <c r="H3284" s="6" t="str">
        <f>VLOOKUP(F3284,'Customer Info'!$A$1:$C$501,3,0)</f>
        <v>Jackson</v>
      </c>
      <c r="I3284" s="6" t="str">
        <f>VLOOKUP(F3284,Customer,5,0)</f>
        <v>Queanbeyan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498</v>
      </c>
      <c r="O3284" s="2">
        <v>30</v>
      </c>
      <c r="P3284" s="8">
        <f t="shared" si="257"/>
        <v>528</v>
      </c>
      <c r="Q3284" s="8">
        <f t="shared" si="258"/>
        <v>51</v>
      </c>
      <c r="R3284" s="2" t="s">
        <v>26</v>
      </c>
      <c r="S3284" s="24">
        <f t="shared" si="259"/>
        <v>0.02</v>
      </c>
    </row>
    <row r="3285" spans="1:19" x14ac:dyDescent="0.25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>VLOOKUP(F3285,'Customer Info'!$A:$B,2,0)</f>
        <v>Jesus</v>
      </c>
      <c r="H3285" s="6" t="str">
        <f>VLOOKUP(F3285,'Customer Info'!$A$1:$C$501,3,0)</f>
        <v>Ocampo</v>
      </c>
      <c r="I3285" s="6" t="str">
        <f>VLOOKUP(F3285,Customer,5,0)</f>
        <v>Herten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4480</v>
      </c>
      <c r="O3285" s="2">
        <v>88</v>
      </c>
      <c r="P3285" s="8">
        <f t="shared" si="257"/>
        <v>4568</v>
      </c>
      <c r="Q3285" s="8">
        <f t="shared" si="258"/>
        <v>130</v>
      </c>
      <c r="R3285" s="2" t="s">
        <v>28</v>
      </c>
      <c r="S3285" s="24">
        <f t="shared" si="259"/>
        <v>0.02</v>
      </c>
    </row>
    <row r="3286" spans="1:19" x14ac:dyDescent="0.25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>VLOOKUP(F3286,'Customer Info'!$A:$B,2,0)</f>
        <v>Thomas</v>
      </c>
      <c r="H3286" s="6" t="str">
        <f>VLOOKUP(F3286,'Customer Info'!$A$1:$C$501,3,0)</f>
        <v>Boland</v>
      </c>
      <c r="I3286" s="6" t="str">
        <f>VLOOKUP(F3286,Customer,5,0)</f>
        <v>Surabaya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14664</v>
      </c>
      <c r="O3286" s="2">
        <v>75</v>
      </c>
      <c r="P3286" s="8">
        <f t="shared" si="257"/>
        <v>14739</v>
      </c>
      <c r="Q3286" s="8">
        <f t="shared" si="258"/>
        <v>420</v>
      </c>
      <c r="R3286" s="2" t="s">
        <v>50</v>
      </c>
      <c r="S3286" s="24">
        <f t="shared" si="259"/>
        <v>0.05</v>
      </c>
    </row>
    <row r="3287" spans="1:19" x14ac:dyDescent="0.25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>VLOOKUP(F3287,'Customer Info'!$A:$B,2,0)</f>
        <v>Jack</v>
      </c>
      <c r="H3287" s="6" t="str">
        <f>VLOOKUP(F3287,'Customer Info'!$A$1:$C$501,3,0)</f>
        <v>Lebron</v>
      </c>
      <c r="I3287" s="6" t="str">
        <f>VLOOKUP(F3287,Customer,5,0)</f>
        <v>Bremen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14796</v>
      </c>
      <c r="O3287" s="2">
        <v>55</v>
      </c>
      <c r="P3287" s="8">
        <f t="shared" si="257"/>
        <v>14851</v>
      </c>
      <c r="Q3287" s="8">
        <f t="shared" si="258"/>
        <v>696</v>
      </c>
      <c r="R3287" s="2" t="s">
        <v>28</v>
      </c>
      <c r="S3287" s="24">
        <f t="shared" si="259"/>
        <v>0.05</v>
      </c>
    </row>
    <row r="3288" spans="1:19" x14ac:dyDescent="0.25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>VLOOKUP(F3288,'Customer Info'!$A:$B,2,0)</f>
        <v>Magdelene</v>
      </c>
      <c r="H3288" s="6" t="str">
        <f>VLOOKUP(F3288,'Customer Info'!$A$1:$C$501,3,0)</f>
        <v>Morse</v>
      </c>
      <c r="I3288" s="6" t="str">
        <f>VLOOKUP(F3288,Customer,5,0)</f>
        <v>Berlin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55284</v>
      </c>
      <c r="O3288" s="2">
        <v>62</v>
      </c>
      <c r="P3288" s="8">
        <f t="shared" si="257"/>
        <v>55346</v>
      </c>
      <c r="Q3288" s="8">
        <f t="shared" si="258"/>
        <v>5514</v>
      </c>
      <c r="R3288" s="2" t="s">
        <v>28</v>
      </c>
      <c r="S3288" s="24">
        <f t="shared" si="259"/>
        <v>0.09</v>
      </c>
    </row>
    <row r="3289" spans="1:19" x14ac:dyDescent="0.25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>VLOOKUP(F3289,'Customer Info'!$A:$B,2,0)</f>
        <v>Darrin</v>
      </c>
      <c r="H3289" s="6" t="str">
        <f>VLOOKUP(F3289,'Customer Info'!$A$1:$C$501,3,0)</f>
        <v>Sayre</v>
      </c>
      <c r="I3289" s="6" t="str">
        <f>VLOOKUP(F3289,Customer,5,0)</f>
        <v>Duisburg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5103</v>
      </c>
      <c r="O3289" s="2">
        <v>56</v>
      </c>
      <c r="P3289" s="8">
        <f t="shared" si="257"/>
        <v>5159</v>
      </c>
      <c r="Q3289" s="8">
        <f t="shared" si="258"/>
        <v>280</v>
      </c>
      <c r="R3289" s="2" t="s">
        <v>28</v>
      </c>
      <c r="S3289" s="24">
        <f t="shared" si="259"/>
        <v>0.05</v>
      </c>
    </row>
    <row r="3290" spans="1:19" x14ac:dyDescent="0.25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>VLOOKUP(F3290,'Customer Info'!$A:$B,2,0)</f>
        <v>Jack</v>
      </c>
      <c r="H3290" s="6" t="str">
        <f>VLOOKUP(F3290,'Customer Info'!$A$1:$C$501,3,0)</f>
        <v>Garza</v>
      </c>
      <c r="I3290" s="6" t="str">
        <f>VLOOKUP(F3290,Customer,5,0)</f>
        <v>Taiyuan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691</v>
      </c>
      <c r="O3290" s="2">
        <v>31</v>
      </c>
      <c r="P3290" s="8">
        <f t="shared" si="257"/>
        <v>722</v>
      </c>
      <c r="Q3290" s="8">
        <f t="shared" si="258"/>
        <v>64</v>
      </c>
      <c r="R3290" s="2" t="s">
        <v>28</v>
      </c>
      <c r="S3290" s="24">
        <f t="shared" si="259"/>
        <v>0.02</v>
      </c>
    </row>
    <row r="3291" spans="1:19" x14ac:dyDescent="0.25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>VLOOKUP(F3291,'Customer Info'!$A:$B,2,0)</f>
        <v>Peter</v>
      </c>
      <c r="H3291" s="6" t="str">
        <f>VLOOKUP(F3291,'Customer Info'!$A$1:$C$501,3,0)</f>
        <v>BŸhler</v>
      </c>
      <c r="I3291" s="6" t="str">
        <f>VLOOKUP(F3291,Customer,5,0)</f>
        <v>Wolfsburg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5002</v>
      </c>
      <c r="O3291" s="2">
        <v>96</v>
      </c>
      <c r="P3291" s="8">
        <f t="shared" si="257"/>
        <v>5098</v>
      </c>
      <c r="Q3291" s="8">
        <f t="shared" si="258"/>
        <v>280</v>
      </c>
      <c r="R3291" s="2" t="s">
        <v>50</v>
      </c>
      <c r="S3291" s="24">
        <f t="shared" si="259"/>
        <v>0.05</v>
      </c>
    </row>
    <row r="3292" spans="1:19" x14ac:dyDescent="0.25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>VLOOKUP(F3292,'Customer Info'!$A:$B,2,0)</f>
        <v>Ann</v>
      </c>
      <c r="H3292" s="6" t="str">
        <f>VLOOKUP(F3292,'Customer Info'!$A$1:$C$501,3,0)</f>
        <v>Chong</v>
      </c>
      <c r="I3292" s="6" t="str">
        <f>VLOOKUP(F3292,Customer,5,0)</f>
        <v>Sydney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4302</v>
      </c>
      <c r="O3292" s="2">
        <v>67</v>
      </c>
      <c r="P3292" s="8">
        <f t="shared" si="257"/>
        <v>4369</v>
      </c>
      <c r="Q3292" s="8">
        <f t="shared" si="258"/>
        <v>284</v>
      </c>
      <c r="R3292" s="2" t="s">
        <v>28</v>
      </c>
      <c r="S3292" s="24">
        <f t="shared" si="259"/>
        <v>0.02</v>
      </c>
    </row>
    <row r="3293" spans="1:19" x14ac:dyDescent="0.25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>VLOOKUP(F3293,'Customer Info'!$A:$B,2,0)</f>
        <v>Emily</v>
      </c>
      <c r="H3293" s="6" t="str">
        <f>VLOOKUP(F3293,'Customer Info'!$A$1:$C$501,3,0)</f>
        <v>Ducich</v>
      </c>
      <c r="I3293" s="6" t="str">
        <f>VLOOKUP(F3293,Customer,5,0)</f>
        <v>Lohne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6838</v>
      </c>
      <c r="O3293" s="2">
        <v>71</v>
      </c>
      <c r="P3293" s="8">
        <f t="shared" si="257"/>
        <v>6909</v>
      </c>
      <c r="Q3293" s="8">
        <f t="shared" si="258"/>
        <v>507</v>
      </c>
      <c r="R3293" s="2" t="s">
        <v>50</v>
      </c>
      <c r="S3293" s="24">
        <f t="shared" si="259"/>
        <v>0.05</v>
      </c>
    </row>
    <row r="3294" spans="1:19" x14ac:dyDescent="0.25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>VLOOKUP(F3294,'Customer Info'!$A:$B,2,0)</f>
        <v>Monica</v>
      </c>
      <c r="H3294" s="6" t="str">
        <f>VLOOKUP(F3294,'Customer Info'!$A$1:$C$501,3,0)</f>
        <v>Federle</v>
      </c>
      <c r="I3294" s="6" t="str">
        <f>VLOOKUP(F3294,Customer,5,0)</f>
        <v>Lismore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1164</v>
      </c>
      <c r="O3294" s="2">
        <v>10</v>
      </c>
      <c r="P3294" s="8">
        <f t="shared" si="257"/>
        <v>1174</v>
      </c>
      <c r="Q3294" s="8">
        <f t="shared" si="258"/>
        <v>60</v>
      </c>
      <c r="R3294" s="2" t="s">
        <v>28</v>
      </c>
      <c r="S3294" s="24">
        <f t="shared" si="259"/>
        <v>0.02</v>
      </c>
    </row>
    <row r="3295" spans="1:19" x14ac:dyDescent="0.25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>VLOOKUP(F3295,'Customer Info'!$A:$B,2,0)</f>
        <v>Jill</v>
      </c>
      <c r="H3295" s="6" t="str">
        <f>VLOOKUP(F3295,'Customer Info'!$A$1:$C$501,3,0)</f>
        <v>Stevenson</v>
      </c>
      <c r="I3295" s="6" t="str">
        <f>VLOOKUP(F3295,Customer,5,0)</f>
        <v>Bengbu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6448</v>
      </c>
      <c r="O3295" s="2">
        <v>99</v>
      </c>
      <c r="P3295" s="8">
        <f t="shared" si="257"/>
        <v>6547</v>
      </c>
      <c r="Q3295" s="8">
        <f t="shared" si="258"/>
        <v>480</v>
      </c>
      <c r="R3295" s="2" t="s">
        <v>26</v>
      </c>
      <c r="S3295" s="24">
        <f t="shared" si="259"/>
        <v>0.05</v>
      </c>
    </row>
    <row r="3296" spans="1:19" x14ac:dyDescent="0.25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>VLOOKUP(F3296,'Customer Info'!$A:$B,2,0)</f>
        <v>Hallie</v>
      </c>
      <c r="H3296" s="6" t="str">
        <f>VLOOKUP(F3296,'Customer Info'!$A$1:$C$501,3,0)</f>
        <v>Redmond</v>
      </c>
      <c r="I3296" s="6" t="str">
        <f>VLOOKUP(F3296,Customer,5,0)</f>
        <v>Caloundra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2644</v>
      </c>
      <c r="O3296" s="2">
        <v>85</v>
      </c>
      <c r="P3296" s="8">
        <f t="shared" si="257"/>
        <v>2729</v>
      </c>
      <c r="Q3296" s="8">
        <f t="shared" si="258"/>
        <v>219</v>
      </c>
      <c r="R3296" s="2" t="s">
        <v>26</v>
      </c>
      <c r="S3296" s="24">
        <f t="shared" si="259"/>
        <v>0.02</v>
      </c>
    </row>
    <row r="3297" spans="1:19" x14ac:dyDescent="0.25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>VLOOKUP(F3297,'Customer Info'!$A:$B,2,0)</f>
        <v>Patrick</v>
      </c>
      <c r="H3297" s="6" t="str">
        <f>VLOOKUP(F3297,'Customer Info'!$A$1:$C$501,3,0)</f>
        <v>Bzostek</v>
      </c>
      <c r="I3297" s="6" t="str">
        <f>VLOOKUP(F3297,Customer,5,0)</f>
        <v>Krefeld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40383</v>
      </c>
      <c r="O3297" s="2">
        <v>81</v>
      </c>
      <c r="P3297" s="8">
        <f t="shared" si="257"/>
        <v>40464</v>
      </c>
      <c r="Q3297" s="8">
        <f t="shared" si="258"/>
        <v>2574</v>
      </c>
      <c r="R3297" s="2" t="s">
        <v>50</v>
      </c>
      <c r="S3297" s="24">
        <f t="shared" si="259"/>
        <v>7.0000000000000007E-2</v>
      </c>
    </row>
    <row r="3298" spans="1:19" x14ac:dyDescent="0.25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>VLOOKUP(F3298,'Customer Info'!$A:$B,2,0)</f>
        <v>Fred</v>
      </c>
      <c r="H3298" s="6" t="str">
        <f>VLOOKUP(F3298,'Customer Info'!$A$1:$C$501,3,0)</f>
        <v>Wasserman</v>
      </c>
      <c r="I3298" s="6" t="str">
        <f>VLOOKUP(F3298,Customer,5,0)</f>
        <v>Willich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1518</v>
      </c>
      <c r="O3298" s="2">
        <v>30</v>
      </c>
      <c r="P3298" s="8">
        <f t="shared" si="257"/>
        <v>1548</v>
      </c>
      <c r="Q3298" s="8">
        <f t="shared" si="258"/>
        <v>110</v>
      </c>
      <c r="R3298" s="2" t="s">
        <v>28</v>
      </c>
      <c r="S3298" s="24">
        <f t="shared" si="259"/>
        <v>0.02</v>
      </c>
    </row>
    <row r="3299" spans="1:19" x14ac:dyDescent="0.25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>VLOOKUP(F3299,'Customer Info'!$A:$B,2,0)</f>
        <v>Eileen</v>
      </c>
      <c r="H3299" s="6" t="str">
        <f>VLOOKUP(F3299,'Customer Info'!$A$1:$C$501,3,0)</f>
        <v>Kiefer</v>
      </c>
      <c r="I3299" s="6" t="str">
        <f>VLOOKUP(F3299,Customer,5,0)</f>
        <v>Cologne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23764</v>
      </c>
      <c r="O3299" s="2">
        <v>35</v>
      </c>
      <c r="P3299" s="8">
        <f t="shared" si="257"/>
        <v>23799</v>
      </c>
      <c r="Q3299" s="8">
        <f t="shared" si="258"/>
        <v>456</v>
      </c>
      <c r="R3299" s="2" t="s">
        <v>28</v>
      </c>
      <c r="S3299" s="24">
        <f t="shared" si="259"/>
        <v>0.05</v>
      </c>
    </row>
    <row r="3300" spans="1:19" x14ac:dyDescent="0.25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>VLOOKUP(F3300,'Customer Info'!$A:$B,2,0)</f>
        <v>Randy</v>
      </c>
      <c r="H3300" s="6" t="str">
        <f>VLOOKUP(F3300,'Customer Info'!$A$1:$C$501,3,0)</f>
        <v>Ferguson</v>
      </c>
      <c r="I3300" s="6" t="str">
        <f>VLOOKUP(F3300,Customer,5,0)</f>
        <v>Adelaide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12838</v>
      </c>
      <c r="O3300" s="2">
        <v>94</v>
      </c>
      <c r="P3300" s="8">
        <f t="shared" si="257"/>
        <v>12932</v>
      </c>
      <c r="Q3300" s="8">
        <f t="shared" si="258"/>
        <v>826</v>
      </c>
      <c r="R3300" s="2" t="s">
        <v>28</v>
      </c>
      <c r="S3300" s="24">
        <f t="shared" si="259"/>
        <v>0.05</v>
      </c>
    </row>
    <row r="3301" spans="1:19" x14ac:dyDescent="0.25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>VLOOKUP(F3301,'Customer Info'!$A:$B,2,0)</f>
        <v>Guy</v>
      </c>
      <c r="H3301" s="6" t="str">
        <f>VLOOKUP(F3301,'Customer Info'!$A$1:$C$501,3,0)</f>
        <v>Phonely</v>
      </c>
      <c r="I3301" s="6" t="str">
        <f>VLOOKUP(F3301,Customer,5,0)</f>
        <v>Jodhpur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7691</v>
      </c>
      <c r="O3301" s="2">
        <v>59</v>
      </c>
      <c r="P3301" s="8">
        <f t="shared" si="257"/>
        <v>7750</v>
      </c>
      <c r="Q3301" s="8">
        <f t="shared" si="258"/>
        <v>436</v>
      </c>
      <c r="R3301" s="2" t="s">
        <v>28</v>
      </c>
      <c r="S3301" s="24">
        <f t="shared" si="259"/>
        <v>0.05</v>
      </c>
    </row>
    <row r="3302" spans="1:19" x14ac:dyDescent="0.25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>VLOOKUP(F3302,'Customer Info'!$A:$B,2,0)</f>
        <v>Don</v>
      </c>
      <c r="H3302" s="6" t="str">
        <f>VLOOKUP(F3302,'Customer Info'!$A$1:$C$501,3,0)</f>
        <v>Weiss</v>
      </c>
      <c r="I3302" s="6" t="str">
        <f>VLOOKUP(F3302,Customer,5,0)</f>
        <v>Sydney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294</v>
      </c>
      <c r="O3302" s="2">
        <v>30</v>
      </c>
      <c r="P3302" s="8">
        <f t="shared" si="257"/>
        <v>324</v>
      </c>
      <c r="Q3302" s="8">
        <f t="shared" si="258"/>
        <v>18</v>
      </c>
      <c r="R3302" s="2" t="s">
        <v>28</v>
      </c>
      <c r="S3302" s="24">
        <f t="shared" si="259"/>
        <v>0.02</v>
      </c>
    </row>
    <row r="3303" spans="1:19" x14ac:dyDescent="0.25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>VLOOKUP(F3303,'Customer Info'!$A:$B,2,0)</f>
        <v>Emily</v>
      </c>
      <c r="H3303" s="6" t="str">
        <f>VLOOKUP(F3303,'Customer Info'!$A$1:$C$501,3,0)</f>
        <v>Grady</v>
      </c>
      <c r="I3303" s="6" t="str">
        <f>VLOOKUP(F3303,Customer,5,0)</f>
        <v>Pimpri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67</v>
      </c>
      <c r="O3303" s="2">
        <v>10</v>
      </c>
      <c r="P3303" s="8">
        <f t="shared" si="257"/>
        <v>77</v>
      </c>
      <c r="Q3303" s="8">
        <f t="shared" si="258"/>
        <v>5</v>
      </c>
      <c r="R3303" s="2" t="s">
        <v>50</v>
      </c>
      <c r="S3303" s="24">
        <f t="shared" si="259"/>
        <v>0.02</v>
      </c>
    </row>
    <row r="3304" spans="1:19" x14ac:dyDescent="0.25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>VLOOKUP(F3304,'Customer Info'!$A:$B,2,0)</f>
        <v>Helen</v>
      </c>
      <c r="H3304" s="6" t="str">
        <f>VLOOKUP(F3304,'Customer Info'!$A$1:$C$501,3,0)</f>
        <v>Abelman</v>
      </c>
      <c r="I3304" s="6" t="str">
        <f>VLOOKUP(F3304,Customer,5,0)</f>
        <v>Mangalore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17778</v>
      </c>
      <c r="O3304" s="2">
        <v>37</v>
      </c>
      <c r="P3304" s="8">
        <f t="shared" si="257"/>
        <v>17815</v>
      </c>
      <c r="Q3304" s="8">
        <f t="shared" si="258"/>
        <v>840</v>
      </c>
      <c r="R3304" s="2" t="s">
        <v>28</v>
      </c>
      <c r="S3304" s="24">
        <f t="shared" si="259"/>
        <v>0.05</v>
      </c>
    </row>
    <row r="3305" spans="1:19" x14ac:dyDescent="0.25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>VLOOKUP(F3305,'Customer Info'!$A:$B,2,0)</f>
        <v>Tony</v>
      </c>
      <c r="H3305" s="6" t="str">
        <f>VLOOKUP(F3305,'Customer Info'!$A$1:$C$501,3,0)</f>
        <v>Sayre</v>
      </c>
      <c r="I3305" s="6" t="str">
        <f>VLOOKUP(F3305,Customer,5,0)</f>
        <v>Wafangdian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10512</v>
      </c>
      <c r="O3305" s="2">
        <v>84</v>
      </c>
      <c r="P3305" s="8">
        <f t="shared" si="257"/>
        <v>10596</v>
      </c>
      <c r="Q3305" s="8">
        <f t="shared" si="258"/>
        <v>1056</v>
      </c>
      <c r="R3305" s="2" t="s">
        <v>50</v>
      </c>
      <c r="S3305" s="24">
        <f t="shared" si="259"/>
        <v>0.05</v>
      </c>
    </row>
    <row r="3306" spans="1:19" x14ac:dyDescent="0.25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>VLOOKUP(F3306,'Customer Info'!$A:$B,2,0)</f>
        <v>Gary</v>
      </c>
      <c r="H3306" s="6" t="str">
        <f>VLOOKUP(F3306,'Customer Info'!$A$1:$C$501,3,0)</f>
        <v>Zandusky</v>
      </c>
      <c r="I3306" s="6" t="str">
        <f>VLOOKUP(F3306,Customer,5,0)</f>
        <v>Gold Coast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9435</v>
      </c>
      <c r="O3306" s="2">
        <v>63</v>
      </c>
      <c r="P3306" s="8">
        <f t="shared" si="257"/>
        <v>9498</v>
      </c>
      <c r="Q3306" s="8">
        <f t="shared" si="258"/>
        <v>620</v>
      </c>
      <c r="R3306" s="2" t="s">
        <v>28</v>
      </c>
      <c r="S3306" s="24">
        <f t="shared" si="259"/>
        <v>0.05</v>
      </c>
    </row>
    <row r="3307" spans="1:19" x14ac:dyDescent="0.25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>VLOOKUP(F3307,'Customer Info'!$A:$B,2,0)</f>
        <v>Becky</v>
      </c>
      <c r="H3307" s="6" t="str">
        <f>VLOOKUP(F3307,'Customer Info'!$A$1:$C$501,3,0)</f>
        <v>Pak</v>
      </c>
      <c r="I3307" s="6" t="str">
        <f>VLOOKUP(F3307,Customer,5,0)</f>
        <v>Mandurah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12674</v>
      </c>
      <c r="O3307" s="2">
        <v>77</v>
      </c>
      <c r="P3307" s="8">
        <f t="shared" si="257"/>
        <v>12751</v>
      </c>
      <c r="Q3307" s="8">
        <f t="shared" si="258"/>
        <v>244</v>
      </c>
      <c r="R3307" s="2" t="s">
        <v>50</v>
      </c>
      <c r="S3307" s="24">
        <f t="shared" si="259"/>
        <v>0.05</v>
      </c>
    </row>
    <row r="3308" spans="1:19" x14ac:dyDescent="0.25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>VLOOKUP(F3308,'Customer Info'!$A:$B,2,0)</f>
        <v>Tony</v>
      </c>
      <c r="H3308" s="6" t="str">
        <f>VLOOKUP(F3308,'Customer Info'!$A$1:$C$501,3,0)</f>
        <v>Sayre</v>
      </c>
      <c r="I3308" s="6" t="str">
        <f>VLOOKUP(F3308,Customer,5,0)</f>
        <v>Wafangdian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448</v>
      </c>
      <c r="O3308" s="2">
        <v>63</v>
      </c>
      <c r="P3308" s="8">
        <f t="shared" si="257"/>
        <v>511</v>
      </c>
      <c r="Q3308" s="8">
        <f t="shared" si="258"/>
        <v>28</v>
      </c>
      <c r="R3308" s="2" t="s">
        <v>28</v>
      </c>
      <c r="S3308" s="24">
        <f t="shared" si="259"/>
        <v>0.02</v>
      </c>
    </row>
    <row r="3309" spans="1:19" x14ac:dyDescent="0.25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>VLOOKUP(F3309,'Customer Info'!$A:$B,2,0)</f>
        <v>Erica</v>
      </c>
      <c r="H3309" s="6" t="str">
        <f>VLOOKUP(F3309,'Customer Info'!$A$1:$C$501,3,0)</f>
        <v>Hackney</v>
      </c>
      <c r="I3309" s="6" t="str">
        <f>VLOOKUP(F3309,Customer,5,0)</f>
        <v>Perth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8244</v>
      </c>
      <c r="O3309" s="2">
        <v>70</v>
      </c>
      <c r="P3309" s="8">
        <f t="shared" si="257"/>
        <v>8314</v>
      </c>
      <c r="Q3309" s="8">
        <f t="shared" si="258"/>
        <v>682</v>
      </c>
      <c r="R3309" s="2" t="s">
        <v>26</v>
      </c>
      <c r="S3309" s="24">
        <f t="shared" si="259"/>
        <v>0.05</v>
      </c>
    </row>
    <row r="3310" spans="1:19" x14ac:dyDescent="0.25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>VLOOKUP(F3310,'Customer Info'!$A:$B,2,0)</f>
        <v>Matt</v>
      </c>
      <c r="H3310" s="6" t="str">
        <f>VLOOKUP(F3310,'Customer Info'!$A$1:$C$501,3,0)</f>
        <v>Collins</v>
      </c>
      <c r="I3310" s="6" t="str">
        <f>VLOOKUP(F3310,Customer,5,0)</f>
        <v>Mumbai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22015</v>
      </c>
      <c r="O3310" s="2">
        <v>40</v>
      </c>
      <c r="P3310" s="8">
        <f t="shared" si="257"/>
        <v>22055</v>
      </c>
      <c r="Q3310" s="8">
        <f t="shared" si="258"/>
        <v>840</v>
      </c>
      <c r="R3310" s="2" t="s">
        <v>50</v>
      </c>
      <c r="S3310" s="24">
        <f t="shared" si="259"/>
        <v>0.05</v>
      </c>
    </row>
    <row r="3311" spans="1:19" x14ac:dyDescent="0.25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>VLOOKUP(F3311,'Customer Info'!$A:$B,2,0)</f>
        <v>Heather</v>
      </c>
      <c r="H3311" s="6" t="str">
        <f>VLOOKUP(F3311,'Customer Info'!$A$1:$C$501,3,0)</f>
        <v>Kirkland</v>
      </c>
      <c r="I3311" s="6" t="str">
        <f>VLOOKUP(F3311,Customer,5,0)</f>
        <v>Luoyang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8370</v>
      </c>
      <c r="O3311" s="2">
        <v>46</v>
      </c>
      <c r="P3311" s="8">
        <f t="shared" si="257"/>
        <v>8416</v>
      </c>
      <c r="Q3311" s="8">
        <f t="shared" si="258"/>
        <v>699</v>
      </c>
      <c r="R3311" s="2" t="s">
        <v>28</v>
      </c>
      <c r="S3311" s="24">
        <f t="shared" si="259"/>
        <v>0.05</v>
      </c>
    </row>
    <row r="3312" spans="1:19" x14ac:dyDescent="0.25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>VLOOKUP(F3312,'Customer Info'!$A:$B,2,0)</f>
        <v>Mike</v>
      </c>
      <c r="H3312" s="6" t="str">
        <f>VLOOKUP(F3312,'Customer Info'!$A$1:$C$501,3,0)</f>
        <v>Pelletier</v>
      </c>
      <c r="I3312" s="6" t="str">
        <f>VLOOKUP(F3312,Customer,5,0)</f>
        <v>Jakarta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34520</v>
      </c>
      <c r="O3312" s="2">
        <v>63</v>
      </c>
      <c r="P3312" s="8">
        <f t="shared" si="257"/>
        <v>34583</v>
      </c>
      <c r="Q3312" s="8">
        <f t="shared" si="258"/>
        <v>1308</v>
      </c>
      <c r="R3312" s="2" t="s">
        <v>28</v>
      </c>
      <c r="S3312" s="24">
        <f t="shared" si="259"/>
        <v>7.0000000000000007E-2</v>
      </c>
    </row>
    <row r="3313" spans="1:19" x14ac:dyDescent="0.25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>VLOOKUP(F3313,'Customer Info'!$A:$B,2,0)</f>
        <v>Troy</v>
      </c>
      <c r="H3313" s="6" t="str">
        <f>VLOOKUP(F3313,'Customer Info'!$A$1:$C$501,3,0)</f>
        <v>Staebel</v>
      </c>
      <c r="I3313" s="6" t="str">
        <f>VLOOKUP(F3313,Customer,5,0)</f>
        <v>Depok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4034</v>
      </c>
      <c r="O3313" s="2">
        <v>88</v>
      </c>
      <c r="P3313" s="8">
        <f t="shared" si="257"/>
        <v>4122</v>
      </c>
      <c r="Q3313" s="8">
        <f t="shared" si="258"/>
        <v>366</v>
      </c>
      <c r="R3313" s="2" t="s">
        <v>50</v>
      </c>
      <c r="S3313" s="24">
        <f t="shared" si="259"/>
        <v>0.02</v>
      </c>
    </row>
    <row r="3314" spans="1:19" x14ac:dyDescent="0.25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>VLOOKUP(F3314,'Customer Info'!$A:$B,2,0)</f>
        <v>Patrick</v>
      </c>
      <c r="H3314" s="6" t="str">
        <f>VLOOKUP(F3314,'Customer Info'!$A$1:$C$501,3,0)</f>
        <v>O'Donnell</v>
      </c>
      <c r="I3314" s="6" t="str">
        <f>VLOOKUP(F3314,Customer,5,0)</f>
        <v>Sydney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7509</v>
      </c>
      <c r="O3314" s="2">
        <v>53</v>
      </c>
      <c r="P3314" s="8">
        <f t="shared" si="257"/>
        <v>7562</v>
      </c>
      <c r="Q3314" s="8">
        <f t="shared" si="258"/>
        <v>147</v>
      </c>
      <c r="R3314" s="2" t="s">
        <v>50</v>
      </c>
      <c r="S3314" s="24">
        <f t="shared" si="259"/>
        <v>0.05</v>
      </c>
    </row>
    <row r="3315" spans="1:19" x14ac:dyDescent="0.25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>VLOOKUP(F3315,'Customer Info'!$A:$B,2,0)</f>
        <v>Carol</v>
      </c>
      <c r="H3315" s="6" t="str">
        <f>VLOOKUP(F3315,'Customer Info'!$A$1:$C$501,3,0)</f>
        <v>Adams</v>
      </c>
      <c r="I3315" s="6" t="str">
        <f>VLOOKUP(F3315,Customer,5,0)</f>
        <v>Cairns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1395</v>
      </c>
      <c r="O3315" s="2">
        <v>94</v>
      </c>
      <c r="P3315" s="8">
        <f t="shared" si="257"/>
        <v>1489</v>
      </c>
      <c r="Q3315" s="8">
        <f t="shared" si="258"/>
        <v>78</v>
      </c>
      <c r="R3315" s="2" t="s">
        <v>28</v>
      </c>
      <c r="S3315" s="24">
        <f t="shared" si="259"/>
        <v>0.02</v>
      </c>
    </row>
    <row r="3316" spans="1:19" x14ac:dyDescent="0.25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>VLOOKUP(F3316,'Customer Info'!$A:$B,2,0)</f>
        <v>Roy</v>
      </c>
      <c r="H3316" s="6" t="str">
        <f>VLOOKUP(F3316,'Customer Info'!$A$1:$C$501,3,0)</f>
        <v>Skaria</v>
      </c>
      <c r="I3316" s="6" t="str">
        <f>VLOOKUP(F3316,Customer,5,0)</f>
        <v>Bogor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112</v>
      </c>
      <c r="O3316" s="2">
        <v>10</v>
      </c>
      <c r="P3316" s="8">
        <f t="shared" si="257"/>
        <v>122</v>
      </c>
      <c r="Q3316" s="8">
        <f t="shared" si="258"/>
        <v>4</v>
      </c>
      <c r="R3316" s="2" t="s">
        <v>50</v>
      </c>
      <c r="S3316" s="24">
        <f t="shared" si="259"/>
        <v>0.02</v>
      </c>
    </row>
    <row r="3317" spans="1:19" x14ac:dyDescent="0.25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>VLOOKUP(F3317,'Customer Info'!$A:$B,2,0)</f>
        <v>Laurel</v>
      </c>
      <c r="H3317" s="6" t="str">
        <f>VLOOKUP(F3317,'Customer Info'!$A$1:$C$501,3,0)</f>
        <v>Elliston</v>
      </c>
      <c r="I3317" s="6" t="str">
        <f>VLOOKUP(F3317,Customer,5,0)</f>
        <v>Herten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279</v>
      </c>
      <c r="O3317" s="2">
        <v>72</v>
      </c>
      <c r="P3317" s="8">
        <f t="shared" si="257"/>
        <v>351</v>
      </c>
      <c r="Q3317" s="8">
        <f t="shared" si="258"/>
        <v>25</v>
      </c>
      <c r="R3317" s="2" t="s">
        <v>50</v>
      </c>
      <c r="S3317" s="24">
        <f t="shared" si="259"/>
        <v>0.02</v>
      </c>
    </row>
    <row r="3318" spans="1:19" x14ac:dyDescent="0.25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>VLOOKUP(F3318,'Customer Info'!$A:$B,2,0)</f>
        <v>Aaron</v>
      </c>
      <c r="H3318" s="6" t="str">
        <f>VLOOKUP(F3318,'Customer Info'!$A$1:$C$501,3,0)</f>
        <v>Smayling</v>
      </c>
      <c r="I3318" s="6" t="str">
        <f>VLOOKUP(F3318,Customer,5,0)</f>
        <v>Port Macquarie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1578</v>
      </c>
      <c r="O3318" s="2">
        <v>52</v>
      </c>
      <c r="P3318" s="8">
        <f t="shared" si="257"/>
        <v>1630</v>
      </c>
      <c r="Q3318" s="8">
        <f t="shared" si="258"/>
        <v>117</v>
      </c>
      <c r="R3318" s="2" t="s">
        <v>28</v>
      </c>
      <c r="S3318" s="24">
        <f t="shared" si="259"/>
        <v>0.02</v>
      </c>
    </row>
    <row r="3319" spans="1:19" x14ac:dyDescent="0.25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>VLOOKUP(F3319,'Customer Info'!$A:$B,2,0)</f>
        <v>Toby</v>
      </c>
      <c r="H3319" s="6" t="str">
        <f>VLOOKUP(F3319,'Customer Info'!$A$1:$C$501,3,0)</f>
        <v>Swindell</v>
      </c>
      <c r="I3319" s="6" t="str">
        <f>VLOOKUP(F3319,Customer,5,0)</f>
        <v>Ninghai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472</v>
      </c>
      <c r="O3319" s="2">
        <v>73</v>
      </c>
      <c r="P3319" s="8">
        <f t="shared" si="257"/>
        <v>545</v>
      </c>
      <c r="Q3319" s="8">
        <f t="shared" si="258"/>
        <v>40</v>
      </c>
      <c r="R3319" s="2" t="s">
        <v>28</v>
      </c>
      <c r="S3319" s="24">
        <f t="shared" si="259"/>
        <v>0.02</v>
      </c>
    </row>
    <row r="3320" spans="1:19" x14ac:dyDescent="0.25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>VLOOKUP(F3320,'Customer Info'!$A:$B,2,0)</f>
        <v>Bobby</v>
      </c>
      <c r="H3320" s="6" t="str">
        <f>VLOOKUP(F3320,'Customer Info'!$A$1:$C$501,3,0)</f>
        <v>Odegard</v>
      </c>
      <c r="I3320" s="6" t="str">
        <f>VLOOKUP(F3320,Customer,5,0)</f>
        <v>Adelaide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11496</v>
      </c>
      <c r="O3320" s="2">
        <v>35</v>
      </c>
      <c r="P3320" s="8">
        <f t="shared" si="257"/>
        <v>11531</v>
      </c>
      <c r="Q3320" s="8">
        <f t="shared" si="258"/>
        <v>1164</v>
      </c>
      <c r="R3320" s="2" t="s">
        <v>28</v>
      </c>
      <c r="S3320" s="24">
        <f t="shared" si="259"/>
        <v>0.05</v>
      </c>
    </row>
    <row r="3321" spans="1:19" x14ac:dyDescent="0.25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>VLOOKUP(F3321,'Customer Info'!$A:$B,2,0)</f>
        <v>Alan</v>
      </c>
      <c r="H3321" s="6" t="str">
        <f>VLOOKUP(F3321,'Customer Info'!$A$1:$C$501,3,0)</f>
        <v>Shonely</v>
      </c>
      <c r="I3321" s="6" t="str">
        <f>VLOOKUP(F3321,Customer,5,0)</f>
        <v>Canberra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14528</v>
      </c>
      <c r="O3321" s="2">
        <v>30</v>
      </c>
      <c r="P3321" s="8">
        <f t="shared" si="257"/>
        <v>14558</v>
      </c>
      <c r="Q3321" s="8">
        <f t="shared" si="258"/>
        <v>936</v>
      </c>
      <c r="R3321" s="2" t="s">
        <v>28</v>
      </c>
      <c r="S3321" s="24">
        <f t="shared" si="259"/>
        <v>0.05</v>
      </c>
    </row>
    <row r="3322" spans="1:19" x14ac:dyDescent="0.25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>VLOOKUP(F3322,'Customer Info'!$A:$B,2,0)</f>
        <v>Philisse</v>
      </c>
      <c r="H3322" s="6" t="str">
        <f>VLOOKUP(F3322,'Customer Info'!$A$1:$C$501,3,0)</f>
        <v>Overcash</v>
      </c>
      <c r="I3322" s="6" t="str">
        <f>VLOOKUP(F3322,Customer,5,0)</f>
        <v>Potsdam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11676</v>
      </c>
      <c r="O3322" s="2">
        <v>78</v>
      </c>
      <c r="P3322" s="8">
        <f t="shared" si="257"/>
        <v>11754</v>
      </c>
      <c r="Q3322" s="8">
        <f t="shared" si="258"/>
        <v>224</v>
      </c>
      <c r="R3322" s="2" t="s">
        <v>28</v>
      </c>
      <c r="S3322" s="24">
        <f t="shared" si="259"/>
        <v>0.05</v>
      </c>
    </row>
    <row r="3323" spans="1:19" x14ac:dyDescent="0.25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>VLOOKUP(F3323,'Customer Info'!$A:$B,2,0)</f>
        <v>Darrin</v>
      </c>
      <c r="H3323" s="6" t="str">
        <f>VLOOKUP(F3323,'Customer Info'!$A$1:$C$501,3,0)</f>
        <v>Martin</v>
      </c>
      <c r="I3323" s="6" t="str">
        <f>VLOOKUP(F3323,Customer,5,0)</f>
        <v>Berlin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49686</v>
      </c>
      <c r="O3323" s="2">
        <v>30</v>
      </c>
      <c r="P3323" s="8">
        <f t="shared" si="257"/>
        <v>49716</v>
      </c>
      <c r="Q3323" s="8">
        <f t="shared" si="258"/>
        <v>3648</v>
      </c>
      <c r="R3323" s="2" t="s">
        <v>28</v>
      </c>
      <c r="S3323" s="24">
        <f t="shared" si="259"/>
        <v>7.0000000000000007E-2</v>
      </c>
    </row>
    <row r="3324" spans="1:19" x14ac:dyDescent="0.25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>VLOOKUP(F3324,'Customer Info'!$A:$B,2,0)</f>
        <v>Aaron</v>
      </c>
      <c r="H3324" s="6" t="str">
        <f>VLOOKUP(F3324,'Customer Info'!$A$1:$C$501,3,0)</f>
        <v>Bergman</v>
      </c>
      <c r="I3324" s="6" t="str">
        <f>VLOOKUP(F3324,Customer,5,0)</f>
        <v>Halle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69</v>
      </c>
      <c r="O3324" s="2">
        <v>10</v>
      </c>
      <c r="P3324" s="8">
        <f t="shared" si="257"/>
        <v>79</v>
      </c>
      <c r="Q3324" s="8">
        <f t="shared" si="258"/>
        <v>5</v>
      </c>
      <c r="R3324" s="2" t="s">
        <v>28</v>
      </c>
      <c r="S3324" s="24">
        <f t="shared" si="259"/>
        <v>0.02</v>
      </c>
    </row>
    <row r="3325" spans="1:19" x14ac:dyDescent="0.25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>VLOOKUP(F3325,'Customer Info'!$A:$B,2,0)</f>
        <v>Helen</v>
      </c>
      <c r="H3325" s="6" t="str">
        <f>VLOOKUP(F3325,'Customer Info'!$A$1:$C$501,3,0)</f>
        <v>Abelman</v>
      </c>
      <c r="I3325" s="6" t="str">
        <f>VLOOKUP(F3325,Customer,5,0)</f>
        <v>Mangalore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117512</v>
      </c>
      <c r="O3325" s="2">
        <v>25</v>
      </c>
      <c r="P3325" s="8">
        <f t="shared" si="257"/>
        <v>117537</v>
      </c>
      <c r="Q3325" s="8">
        <f t="shared" si="258"/>
        <v>9864</v>
      </c>
      <c r="R3325" s="2" t="s">
        <v>26</v>
      </c>
      <c r="S3325" s="24">
        <f t="shared" si="259"/>
        <v>0.12</v>
      </c>
    </row>
    <row r="3326" spans="1:19" x14ac:dyDescent="0.25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>VLOOKUP(F3326,'Customer Info'!$A:$B,2,0)</f>
        <v>Damala</v>
      </c>
      <c r="H3326" s="6" t="str">
        <f>VLOOKUP(F3326,'Customer Info'!$A$1:$C$501,3,0)</f>
        <v>Kotsonis</v>
      </c>
      <c r="I3326" s="6" t="str">
        <f>VLOOKUP(F3326,Customer,5,0)</f>
        <v>Berlin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142</v>
      </c>
      <c r="O3326" s="2">
        <v>30</v>
      </c>
      <c r="P3326" s="8">
        <f t="shared" si="257"/>
        <v>172</v>
      </c>
      <c r="Q3326" s="8">
        <f t="shared" si="258"/>
        <v>13</v>
      </c>
      <c r="R3326" s="2" t="s">
        <v>50</v>
      </c>
      <c r="S3326" s="24">
        <f t="shared" si="259"/>
        <v>0.02</v>
      </c>
    </row>
    <row r="3327" spans="1:19" x14ac:dyDescent="0.25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>VLOOKUP(F3327,'Customer Info'!$A:$B,2,0)</f>
        <v>Liz</v>
      </c>
      <c r="H3327" s="6" t="str">
        <f>VLOOKUP(F3327,'Customer Info'!$A$1:$C$501,3,0)</f>
        <v>Carlisle</v>
      </c>
      <c r="I3327" s="6" t="str">
        <f>VLOOKUP(F3327,Customer,5,0)</f>
        <v>Luoyang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691</v>
      </c>
      <c r="O3327" s="2">
        <v>72</v>
      </c>
      <c r="P3327" s="8">
        <f t="shared" si="257"/>
        <v>763</v>
      </c>
      <c r="Q3327" s="8">
        <f t="shared" si="258"/>
        <v>45</v>
      </c>
      <c r="R3327" s="2" t="s">
        <v>28</v>
      </c>
      <c r="S3327" s="24">
        <f t="shared" si="259"/>
        <v>0.02</v>
      </c>
    </row>
    <row r="3328" spans="1:19" x14ac:dyDescent="0.25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>VLOOKUP(F3328,'Customer Info'!$A:$B,2,0)</f>
        <v>Tom</v>
      </c>
      <c r="H3328" s="6" t="str">
        <f>VLOOKUP(F3328,'Customer Info'!$A$1:$C$501,3,0)</f>
        <v>Stivers</v>
      </c>
      <c r="I3328" s="6" t="str">
        <f>VLOOKUP(F3328,Customer,5,0)</f>
        <v>Thane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12026</v>
      </c>
      <c r="O3328" s="2">
        <v>100</v>
      </c>
      <c r="P3328" s="8">
        <f t="shared" si="257"/>
        <v>12126</v>
      </c>
      <c r="Q3328" s="8">
        <f t="shared" si="258"/>
        <v>1211</v>
      </c>
      <c r="R3328" s="2" t="s">
        <v>28</v>
      </c>
      <c r="S3328" s="24">
        <f t="shared" si="259"/>
        <v>0.05</v>
      </c>
    </row>
    <row r="3329" spans="1:19" x14ac:dyDescent="0.25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>VLOOKUP(F3329,'Customer Info'!$A:$B,2,0)</f>
        <v>Eileen</v>
      </c>
      <c r="H3329" s="6" t="str">
        <f>VLOOKUP(F3329,'Customer Info'!$A$1:$C$501,3,0)</f>
        <v>Kiefer</v>
      </c>
      <c r="I3329" s="6" t="str">
        <f>VLOOKUP(F3329,Customer,5,0)</f>
        <v>Hamm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36635</v>
      </c>
      <c r="O3329" s="2">
        <v>84</v>
      </c>
      <c r="P3329" s="8">
        <f t="shared" si="257"/>
        <v>36719</v>
      </c>
      <c r="Q3329" s="8">
        <f t="shared" si="258"/>
        <v>3345</v>
      </c>
      <c r="R3329" s="2" t="s">
        <v>50</v>
      </c>
      <c r="S3329" s="24">
        <f t="shared" si="259"/>
        <v>7.0000000000000007E-2</v>
      </c>
    </row>
    <row r="3330" spans="1:19" x14ac:dyDescent="0.25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>VLOOKUP(F3330,'Customer Info'!$A:$B,2,0)</f>
        <v>George</v>
      </c>
      <c r="H3330" s="6" t="str">
        <f>VLOOKUP(F3330,'Customer Info'!$A$1:$C$501,3,0)</f>
        <v>Ashbrook</v>
      </c>
      <c r="I3330" s="6" t="str">
        <f>VLOOKUP(F3330,Customer,5,0)</f>
        <v>Jakarta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3375</v>
      </c>
      <c r="O3330" s="2">
        <v>100</v>
      </c>
      <c r="P3330" s="8">
        <f t="shared" si="257"/>
        <v>3475</v>
      </c>
      <c r="Q3330" s="8">
        <f t="shared" si="258"/>
        <v>255</v>
      </c>
      <c r="R3330" s="2" t="s">
        <v>50</v>
      </c>
      <c r="S3330" s="24">
        <f t="shared" si="259"/>
        <v>0.02</v>
      </c>
    </row>
    <row r="3331" spans="1:19" x14ac:dyDescent="0.25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>VLOOKUP(F3331,'Customer Info'!$A:$B,2,0)</f>
        <v>Eugene</v>
      </c>
      <c r="H3331" s="6" t="str">
        <f>VLOOKUP(F3331,'Customer Info'!$A$1:$C$501,3,0)</f>
        <v>Hildebrand</v>
      </c>
      <c r="I3331" s="6" t="str">
        <f>VLOOKUP(F3331,Customer,5,0)</f>
        <v>Liaocheng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4962</v>
      </c>
      <c r="O3331" s="2">
        <v>79</v>
      </c>
      <c r="P3331" s="8">
        <f t="shared" si="257"/>
        <v>5041</v>
      </c>
      <c r="Q3331" s="8">
        <f t="shared" si="258"/>
        <v>231</v>
      </c>
      <c r="R3331" s="2" t="s">
        <v>50</v>
      </c>
      <c r="S3331" s="24">
        <f t="shared" si="259"/>
        <v>0.02</v>
      </c>
    </row>
    <row r="3332" spans="1:19" x14ac:dyDescent="0.25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>VLOOKUP(F3332,'Customer Info'!$A:$B,2,0)</f>
        <v>Christopher</v>
      </c>
      <c r="H3332" s="6" t="str">
        <f>VLOOKUP(F3332,'Customer Info'!$A$1:$C$501,3,0)</f>
        <v>Martinez</v>
      </c>
      <c r="I3332" s="6" t="str">
        <f>VLOOKUP(F3332,Customer,5,0)</f>
        <v>Qingdao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2646</v>
      </c>
      <c r="O3332" s="2">
        <v>98</v>
      </c>
      <c r="P3332" s="8">
        <f t="shared" si="257"/>
        <v>2744</v>
      </c>
      <c r="Q3332" s="8">
        <f t="shared" si="258"/>
        <v>192</v>
      </c>
      <c r="R3332" s="2" t="s">
        <v>50</v>
      </c>
      <c r="S3332" s="24">
        <f t="shared" si="259"/>
        <v>0.02</v>
      </c>
    </row>
    <row r="3333" spans="1:19" x14ac:dyDescent="0.25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>VLOOKUP(F3333,'Customer Info'!$A:$B,2,0)</f>
        <v>Toby</v>
      </c>
      <c r="H3333" s="6" t="str">
        <f>VLOOKUP(F3333,'Customer Info'!$A$1:$C$501,3,0)</f>
        <v>Braunhardt</v>
      </c>
      <c r="I3333" s="6" t="str">
        <f>VLOOKUP(F3333,Customer,5,0)</f>
        <v>Jiangyan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5574</v>
      </c>
      <c r="O3333" s="2">
        <v>56</v>
      </c>
      <c r="P3333" s="8">
        <f t="shared" si="257"/>
        <v>5630</v>
      </c>
      <c r="Q3333" s="8">
        <f t="shared" si="258"/>
        <v>212</v>
      </c>
      <c r="R3333" s="2" t="s">
        <v>56</v>
      </c>
      <c r="S3333" s="24">
        <f t="shared" si="259"/>
        <v>0.05</v>
      </c>
    </row>
    <row r="3334" spans="1:19" x14ac:dyDescent="0.25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>VLOOKUP(F3334,'Customer Info'!$A:$B,2,0)</f>
        <v>Caroline</v>
      </c>
      <c r="H3334" s="6" t="str">
        <f>VLOOKUP(F3334,'Customer Info'!$A$1:$C$501,3,0)</f>
        <v>Jumper</v>
      </c>
      <c r="I3334" s="6" t="str">
        <f>VLOOKUP(F3334,Customer,5,0)</f>
        <v>Xuzhou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24096</v>
      </c>
      <c r="O3334" s="2">
        <v>95</v>
      </c>
      <c r="P3334" s="8">
        <f t="shared" si="257"/>
        <v>24191</v>
      </c>
      <c r="Q3334" s="8">
        <f t="shared" si="258"/>
        <v>2400</v>
      </c>
      <c r="R3334" s="2" t="s">
        <v>28</v>
      </c>
      <c r="S3334" s="24">
        <f t="shared" si="259"/>
        <v>0.05</v>
      </c>
    </row>
    <row r="3335" spans="1:19" x14ac:dyDescent="0.25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>VLOOKUP(F3335,'Customer Info'!$A:$B,2,0)</f>
        <v>Victoria</v>
      </c>
      <c r="H3335" s="6" t="str">
        <f>VLOOKUP(F3335,'Customer Info'!$A$1:$C$501,3,0)</f>
        <v>Brennan</v>
      </c>
      <c r="I3335" s="6" t="str">
        <f>VLOOKUP(F3335,Customer,5,0)</f>
        <v>Mangalore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5957</v>
      </c>
      <c r="O3335" s="2">
        <v>57</v>
      </c>
      <c r="P3335" s="8">
        <f t="shared" si="257"/>
        <v>6014</v>
      </c>
      <c r="Q3335" s="8">
        <f t="shared" si="258"/>
        <v>546</v>
      </c>
      <c r="R3335" s="2" t="s">
        <v>50</v>
      </c>
      <c r="S3335" s="24">
        <f t="shared" si="259"/>
        <v>0.05</v>
      </c>
    </row>
    <row r="3336" spans="1:19" x14ac:dyDescent="0.25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>VLOOKUP(F3336,'Customer Info'!$A:$B,2,0)</f>
        <v>Michael</v>
      </c>
      <c r="H3336" s="6" t="str">
        <f>VLOOKUP(F3336,'Customer Info'!$A$1:$C$501,3,0)</f>
        <v>Moore</v>
      </c>
      <c r="I3336" s="6" t="str">
        <f>VLOOKUP(F3336,Customer,5,0)</f>
        <v>Melbourne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28788</v>
      </c>
      <c r="O3336" s="2">
        <v>84</v>
      </c>
      <c r="P3336" s="8">
        <f t="shared" si="257"/>
        <v>28872</v>
      </c>
      <c r="Q3336" s="8">
        <f t="shared" si="258"/>
        <v>2100</v>
      </c>
      <c r="R3336" s="2" t="s">
        <v>50</v>
      </c>
      <c r="S3336" s="24">
        <f t="shared" si="259"/>
        <v>7.0000000000000007E-2</v>
      </c>
    </row>
    <row r="3337" spans="1:19" x14ac:dyDescent="0.25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>VLOOKUP(F3337,'Customer Info'!$A:$B,2,0)</f>
        <v>Yana</v>
      </c>
      <c r="H3337" s="6" t="str">
        <f>VLOOKUP(F3337,'Customer Info'!$A$1:$C$501,3,0)</f>
        <v>Sorensen</v>
      </c>
      <c r="I3337" s="6" t="str">
        <f>VLOOKUP(F3337,Customer,5,0)</f>
        <v>Hangzhou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2684</v>
      </c>
      <c r="O3337" s="2">
        <v>56</v>
      </c>
      <c r="P3337" s="8">
        <f t="shared" si="257"/>
        <v>2740</v>
      </c>
      <c r="Q3337" s="8">
        <f t="shared" si="258"/>
        <v>176</v>
      </c>
      <c r="R3337" s="2" t="s">
        <v>28</v>
      </c>
      <c r="S3337" s="24">
        <f t="shared" si="259"/>
        <v>0.02</v>
      </c>
    </row>
    <row r="3338" spans="1:19" x14ac:dyDescent="0.25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>VLOOKUP(F3338,'Customer Info'!$A:$B,2,0)</f>
        <v>Trudy</v>
      </c>
      <c r="H3338" s="6" t="str">
        <f>VLOOKUP(F3338,'Customer Info'!$A$1:$C$501,3,0)</f>
        <v>Glocke</v>
      </c>
      <c r="I3338" s="6" t="str">
        <f>VLOOKUP(F3338,Customer,5,0)</f>
        <v>Huaiyin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3994</v>
      </c>
      <c r="O3338" s="2">
        <v>62</v>
      </c>
      <c r="P3338" s="8">
        <f t="shared" si="257"/>
        <v>4056</v>
      </c>
      <c r="Q3338" s="8">
        <f t="shared" si="258"/>
        <v>362</v>
      </c>
      <c r="R3338" s="2" t="s">
        <v>28</v>
      </c>
      <c r="S3338" s="24">
        <f t="shared" si="259"/>
        <v>0.02</v>
      </c>
    </row>
    <row r="3339" spans="1:19" x14ac:dyDescent="0.25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>VLOOKUP(F3339,'Customer Info'!$A:$B,2,0)</f>
        <v>Michael</v>
      </c>
      <c r="H3339" s="6" t="str">
        <f>VLOOKUP(F3339,'Customer Info'!$A$1:$C$501,3,0)</f>
        <v>Chen</v>
      </c>
      <c r="I3339" s="6" t="str">
        <f>VLOOKUP(F3339,Customer,5,0)</f>
        <v>Jakarta</v>
      </c>
      <c r="J3339" s="2">
        <v>1997</v>
      </c>
      <c r="K3339" s="2">
        <v>1816</v>
      </c>
      <c r="L3339" s="2">
        <v>1</v>
      </c>
      <c r="M3339" s="7">
        <f t="shared" ref="M3339:M3402" si="260">K3339*L3339</f>
        <v>1816</v>
      </c>
      <c r="N3339" s="7">
        <f t="shared" ref="N3339:N3402" si="261">J3339*L3339</f>
        <v>1997</v>
      </c>
      <c r="O3339" s="2">
        <v>76</v>
      </c>
      <c r="P3339" s="8">
        <f t="shared" ref="P3339:P3402" si="262">N3339+O3339</f>
        <v>2073</v>
      </c>
      <c r="Q3339" s="8">
        <f t="shared" ref="Q3339:Q3402" si="263">N3339-M3339</f>
        <v>181</v>
      </c>
      <c r="R3339" s="2" t="s">
        <v>28</v>
      </c>
      <c r="S3339" s="24">
        <f t="shared" ref="S3339:S3402" si="264">VLOOKUP(N3339,$T$1:$U$7,2,TRUE)</f>
        <v>0.02</v>
      </c>
    </row>
    <row r="3340" spans="1:19" x14ac:dyDescent="0.25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>VLOOKUP(F3340,'Customer Info'!$A:$B,2,0)</f>
        <v>Carol</v>
      </c>
      <c r="H3340" s="6" t="str">
        <f>VLOOKUP(F3340,'Customer Info'!$A$1:$C$501,3,0)</f>
        <v>Adams</v>
      </c>
      <c r="I3340" s="6" t="str">
        <f>VLOOKUP(F3340,Customer,5,0)</f>
        <v>Cairns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8">
        <f t="shared" si="262"/>
        <v>16788</v>
      </c>
      <c r="Q3340" s="8">
        <f t="shared" si="263"/>
        <v>636</v>
      </c>
      <c r="R3340" s="2" t="s">
        <v>28</v>
      </c>
      <c r="S3340" s="24">
        <f t="shared" si="264"/>
        <v>0.05</v>
      </c>
    </row>
    <row r="3341" spans="1:19" x14ac:dyDescent="0.25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>VLOOKUP(F3341,'Customer Info'!$A:$B,2,0)</f>
        <v>Michael</v>
      </c>
      <c r="H3341" s="6" t="str">
        <f>VLOOKUP(F3341,'Customer Info'!$A$1:$C$501,3,0)</f>
        <v>Moore</v>
      </c>
      <c r="I3341" s="6" t="str">
        <f>VLOOKUP(F3341,Customer,5,0)</f>
        <v>Geelong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8">
        <f t="shared" si="262"/>
        <v>33956</v>
      </c>
      <c r="Q3341" s="8">
        <f t="shared" si="263"/>
        <v>2478</v>
      </c>
      <c r="R3341" s="2" t="s">
        <v>28</v>
      </c>
      <c r="S3341" s="24">
        <f t="shared" si="264"/>
        <v>7.0000000000000007E-2</v>
      </c>
    </row>
    <row r="3342" spans="1:19" x14ac:dyDescent="0.25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>VLOOKUP(F3342,'Customer Info'!$A:$B,2,0)</f>
        <v>Ryan</v>
      </c>
      <c r="H3342" s="6" t="str">
        <f>VLOOKUP(F3342,'Customer Info'!$A$1:$C$501,3,0)</f>
        <v>Akin</v>
      </c>
      <c r="I3342" s="6" t="str">
        <f>VLOOKUP(F3342,Customer,5,0)</f>
        <v>Bayreuth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8">
        <f t="shared" si="262"/>
        <v>1044</v>
      </c>
      <c r="Q3342" s="8">
        <f t="shared" si="263"/>
        <v>67</v>
      </c>
      <c r="R3342" s="2" t="s">
        <v>28</v>
      </c>
      <c r="S3342" s="24">
        <f t="shared" si="264"/>
        <v>0.02</v>
      </c>
    </row>
    <row r="3343" spans="1:19" x14ac:dyDescent="0.25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>VLOOKUP(F3343,'Customer Info'!$A:$B,2,0)</f>
        <v>Christina</v>
      </c>
      <c r="H3343" s="6" t="str">
        <f>VLOOKUP(F3343,'Customer Info'!$A$1:$C$501,3,0)</f>
        <v>VanderZanden</v>
      </c>
      <c r="I3343" s="6" t="str">
        <f>VLOOKUP(F3343,Customer,5,0)</f>
        <v>Gold Coast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8">
        <f t="shared" si="262"/>
        <v>1373</v>
      </c>
      <c r="Q3343" s="8">
        <f t="shared" si="263"/>
        <v>90</v>
      </c>
      <c r="R3343" s="2" t="s">
        <v>28</v>
      </c>
      <c r="S3343" s="24">
        <f t="shared" si="264"/>
        <v>0.02</v>
      </c>
    </row>
    <row r="3344" spans="1:19" x14ac:dyDescent="0.25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>VLOOKUP(F3344,'Customer Info'!$A:$B,2,0)</f>
        <v>Erica</v>
      </c>
      <c r="H3344" s="6" t="str">
        <f>VLOOKUP(F3344,'Customer Info'!$A$1:$C$501,3,0)</f>
        <v>Hackney</v>
      </c>
      <c r="I3344" s="6" t="str">
        <f>VLOOKUP(F3344,Customer,5,0)</f>
        <v>Perth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296</v>
      </c>
      <c r="O3344" s="2">
        <v>30</v>
      </c>
      <c r="P3344" s="8">
        <f t="shared" si="262"/>
        <v>326</v>
      </c>
      <c r="Q3344" s="8">
        <f t="shared" si="263"/>
        <v>24</v>
      </c>
      <c r="R3344" s="2" t="s">
        <v>28</v>
      </c>
      <c r="S3344" s="24">
        <f t="shared" si="264"/>
        <v>0.02</v>
      </c>
    </row>
    <row r="3345" spans="1:19" x14ac:dyDescent="0.25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>VLOOKUP(F3345,'Customer Info'!$A:$B,2,0)</f>
        <v>Tom</v>
      </c>
      <c r="H3345" s="6" t="str">
        <f>VLOOKUP(F3345,'Customer Info'!$A$1:$C$501,3,0)</f>
        <v>Prescott</v>
      </c>
      <c r="I3345" s="6" t="str">
        <f>VLOOKUP(F3345,Customer,5,0)</f>
        <v>Bokaro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1486</v>
      </c>
      <c r="O3345" s="2">
        <v>60</v>
      </c>
      <c r="P3345" s="8">
        <f t="shared" si="262"/>
        <v>1546</v>
      </c>
      <c r="Q3345" s="8">
        <f t="shared" si="263"/>
        <v>98</v>
      </c>
      <c r="R3345" s="2" t="s">
        <v>28</v>
      </c>
      <c r="S3345" s="24">
        <f t="shared" si="264"/>
        <v>0.02</v>
      </c>
    </row>
    <row r="3346" spans="1:19" x14ac:dyDescent="0.25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>VLOOKUP(F3346,'Customer Info'!$A:$B,2,0)</f>
        <v>Denny</v>
      </c>
      <c r="H3346" s="6" t="str">
        <f>VLOOKUP(F3346,'Customer Info'!$A$1:$C$501,3,0)</f>
        <v>Ordway</v>
      </c>
      <c r="I3346" s="6" t="str">
        <f>VLOOKUP(F3346,Customer,5,0)</f>
        <v>Berlin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69</v>
      </c>
      <c r="O3346" s="2">
        <v>10</v>
      </c>
      <c r="P3346" s="8">
        <f t="shared" si="262"/>
        <v>79</v>
      </c>
      <c r="Q3346" s="8">
        <f t="shared" si="263"/>
        <v>5</v>
      </c>
      <c r="R3346" s="2" t="s">
        <v>26</v>
      </c>
      <c r="S3346" s="24">
        <f t="shared" si="264"/>
        <v>0.02</v>
      </c>
    </row>
    <row r="3347" spans="1:19" x14ac:dyDescent="0.25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>VLOOKUP(F3347,'Customer Info'!$A:$B,2,0)</f>
        <v>Stefanie</v>
      </c>
      <c r="H3347" s="6" t="str">
        <f>VLOOKUP(F3347,'Customer Info'!$A$1:$C$501,3,0)</f>
        <v>Holloman</v>
      </c>
      <c r="I3347" s="6" t="str">
        <f>VLOOKUP(F3347,Customer,5,0)</f>
        <v>Geraldton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9154</v>
      </c>
      <c r="O3347" s="2">
        <v>71</v>
      </c>
      <c r="P3347" s="8">
        <f t="shared" si="262"/>
        <v>9225</v>
      </c>
      <c r="Q3347" s="8">
        <f t="shared" si="263"/>
        <v>594</v>
      </c>
      <c r="R3347" s="2" t="s">
        <v>28</v>
      </c>
      <c r="S3347" s="24">
        <f t="shared" si="264"/>
        <v>0.05</v>
      </c>
    </row>
    <row r="3348" spans="1:19" x14ac:dyDescent="0.25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>VLOOKUP(F3348,'Customer Info'!$A:$B,2,0)</f>
        <v>Thais</v>
      </c>
      <c r="H3348" s="6" t="str">
        <f>VLOOKUP(F3348,'Customer Info'!$A$1:$C$501,3,0)</f>
        <v>Sissman</v>
      </c>
      <c r="I3348" s="6" t="str">
        <f>VLOOKUP(F3348,Customer,5,0)</f>
        <v>Essen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1052</v>
      </c>
      <c r="O3348" s="2">
        <v>80</v>
      </c>
      <c r="P3348" s="8">
        <f t="shared" si="262"/>
        <v>1132</v>
      </c>
      <c r="Q3348" s="8">
        <f t="shared" si="263"/>
        <v>78</v>
      </c>
      <c r="R3348" s="2" t="s">
        <v>50</v>
      </c>
      <c r="S3348" s="24">
        <f t="shared" si="264"/>
        <v>0.02</v>
      </c>
    </row>
    <row r="3349" spans="1:19" x14ac:dyDescent="0.25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>VLOOKUP(F3349,'Customer Info'!$A:$B,2,0)</f>
        <v>Natalie</v>
      </c>
      <c r="H3349" s="6" t="str">
        <f>VLOOKUP(F3349,'Customer Info'!$A$1:$C$501,3,0)</f>
        <v>Webber</v>
      </c>
      <c r="I3349" s="6" t="str">
        <f>VLOOKUP(F3349,Customer,5,0)</f>
        <v>Ningbo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5574</v>
      </c>
      <c r="O3349" s="2">
        <v>62</v>
      </c>
      <c r="P3349" s="8">
        <f t="shared" si="262"/>
        <v>5636</v>
      </c>
      <c r="Q3349" s="8">
        <f t="shared" si="263"/>
        <v>212</v>
      </c>
      <c r="R3349" s="2" t="s">
        <v>28</v>
      </c>
      <c r="S3349" s="24">
        <f t="shared" si="264"/>
        <v>0.05</v>
      </c>
    </row>
    <row r="3350" spans="1:19" x14ac:dyDescent="0.25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>VLOOKUP(F3350,'Customer Info'!$A:$B,2,0)</f>
        <v>Debra</v>
      </c>
      <c r="H3350" s="6" t="str">
        <f>VLOOKUP(F3350,'Customer Info'!$A$1:$C$501,3,0)</f>
        <v>Catini</v>
      </c>
      <c r="I3350" s="6" t="str">
        <f>VLOOKUP(F3350,Customer,5,0)</f>
        <v>Zhengzhou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17504</v>
      </c>
      <c r="O3350" s="2">
        <v>27</v>
      </c>
      <c r="P3350" s="8">
        <f t="shared" si="262"/>
        <v>17531</v>
      </c>
      <c r="Q3350" s="8">
        <f t="shared" si="263"/>
        <v>1750</v>
      </c>
      <c r="R3350" s="2" t="s">
        <v>28</v>
      </c>
      <c r="S3350" s="24">
        <f t="shared" si="264"/>
        <v>0.05</v>
      </c>
    </row>
    <row r="3351" spans="1:19" x14ac:dyDescent="0.25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>VLOOKUP(F3351,'Customer Info'!$A:$B,2,0)</f>
        <v>Erica</v>
      </c>
      <c r="H3351" s="6" t="str">
        <f>VLOOKUP(F3351,'Customer Info'!$A$1:$C$501,3,0)</f>
        <v>Hackney</v>
      </c>
      <c r="I3351" s="6" t="str">
        <f>VLOOKUP(F3351,Customer,5,0)</f>
        <v>Adelaide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1530</v>
      </c>
      <c r="O3351" s="2">
        <v>33</v>
      </c>
      <c r="P3351" s="8">
        <f t="shared" si="262"/>
        <v>1563</v>
      </c>
      <c r="Q3351" s="8">
        <f t="shared" si="263"/>
        <v>128</v>
      </c>
      <c r="R3351" s="2" t="s">
        <v>28</v>
      </c>
      <c r="S3351" s="24">
        <f t="shared" si="264"/>
        <v>0.02</v>
      </c>
    </row>
    <row r="3352" spans="1:19" x14ac:dyDescent="0.25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>VLOOKUP(F3352,'Customer Info'!$A:$B,2,0)</f>
        <v>Darren</v>
      </c>
      <c r="H3352" s="6" t="str">
        <f>VLOOKUP(F3352,'Customer Info'!$A$1:$C$501,3,0)</f>
        <v>Koutras</v>
      </c>
      <c r="I3352" s="6" t="str">
        <f>VLOOKUP(F3352,Customer,5,0)</f>
        <v>Pune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1996</v>
      </c>
      <c r="O3352" s="2">
        <v>66</v>
      </c>
      <c r="P3352" s="8">
        <f t="shared" si="262"/>
        <v>2062</v>
      </c>
      <c r="Q3352" s="8">
        <f t="shared" si="263"/>
        <v>134</v>
      </c>
      <c r="R3352" s="2" t="s">
        <v>26</v>
      </c>
      <c r="S3352" s="24">
        <f t="shared" si="264"/>
        <v>0.02</v>
      </c>
    </row>
    <row r="3353" spans="1:19" x14ac:dyDescent="0.25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>VLOOKUP(F3353,'Customer Info'!$A:$B,2,0)</f>
        <v>Philip</v>
      </c>
      <c r="H3353" s="6" t="str">
        <f>VLOOKUP(F3353,'Customer Info'!$A$1:$C$501,3,0)</f>
        <v>Fox</v>
      </c>
      <c r="I3353" s="6" t="str">
        <f>VLOOKUP(F3353,Customer,5,0)</f>
        <v>Remscheid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21232</v>
      </c>
      <c r="O3353" s="2">
        <v>80</v>
      </c>
      <c r="P3353" s="8">
        <f t="shared" si="262"/>
        <v>21312</v>
      </c>
      <c r="Q3353" s="8">
        <f t="shared" si="263"/>
        <v>1952</v>
      </c>
      <c r="R3353" s="2" t="s">
        <v>28</v>
      </c>
      <c r="S3353" s="24">
        <f t="shared" si="264"/>
        <v>0.05</v>
      </c>
    </row>
    <row r="3354" spans="1:19" x14ac:dyDescent="0.25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>VLOOKUP(F3354,'Customer Info'!$A:$B,2,0)</f>
        <v>Vivek</v>
      </c>
      <c r="H3354" s="6" t="str">
        <f>VLOOKUP(F3354,'Customer Info'!$A$1:$C$501,3,0)</f>
        <v>Sundaresam</v>
      </c>
      <c r="I3354" s="6" t="str">
        <f>VLOOKUP(F3354,Customer,5,0)</f>
        <v>Hamburg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5661</v>
      </c>
      <c r="O3354" s="2">
        <v>27</v>
      </c>
      <c r="P3354" s="8">
        <f t="shared" si="262"/>
        <v>5688</v>
      </c>
      <c r="Q3354" s="8">
        <f t="shared" si="263"/>
        <v>372</v>
      </c>
      <c r="R3354" s="2" t="s">
        <v>28</v>
      </c>
      <c r="S3354" s="24">
        <f t="shared" si="264"/>
        <v>0.05</v>
      </c>
    </row>
    <row r="3355" spans="1:19" x14ac:dyDescent="0.25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>VLOOKUP(F3355,'Customer Info'!$A:$B,2,0)</f>
        <v>Robert</v>
      </c>
      <c r="H3355" s="6" t="str">
        <f>VLOOKUP(F3355,'Customer Info'!$A$1:$C$501,3,0)</f>
        <v>Dilbeck</v>
      </c>
      <c r="I3355" s="6" t="str">
        <f>VLOOKUP(F3355,Customer,5,0)</f>
        <v>Sydney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16320</v>
      </c>
      <c r="O3355" s="2">
        <v>29</v>
      </c>
      <c r="P3355" s="8">
        <f t="shared" si="262"/>
        <v>16349</v>
      </c>
      <c r="Q3355" s="8">
        <f t="shared" si="263"/>
        <v>1370</v>
      </c>
      <c r="R3355" s="2" t="s">
        <v>50</v>
      </c>
      <c r="S3355" s="24">
        <f t="shared" si="264"/>
        <v>0.05</v>
      </c>
    </row>
    <row r="3356" spans="1:19" x14ac:dyDescent="0.25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>VLOOKUP(F3356,'Customer Info'!$A:$B,2,0)</f>
        <v>Gary</v>
      </c>
      <c r="H3356" s="6" t="str">
        <f>VLOOKUP(F3356,'Customer Info'!$A$1:$C$501,3,0)</f>
        <v>Zandusky</v>
      </c>
      <c r="I3356" s="6" t="str">
        <f>VLOOKUP(F3356,Customer,5,0)</f>
        <v>Gold Coast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2078</v>
      </c>
      <c r="O3356" s="2">
        <v>51</v>
      </c>
      <c r="P3356" s="8">
        <f t="shared" si="262"/>
        <v>2129</v>
      </c>
      <c r="Q3356" s="8">
        <f t="shared" si="263"/>
        <v>207</v>
      </c>
      <c r="R3356" s="2" t="s">
        <v>28</v>
      </c>
      <c r="S3356" s="24">
        <f t="shared" si="264"/>
        <v>0.02</v>
      </c>
    </row>
    <row r="3357" spans="1:19" x14ac:dyDescent="0.25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>VLOOKUP(F3357,'Customer Info'!$A:$B,2,0)</f>
        <v>Cathy</v>
      </c>
      <c r="H3357" s="6" t="str">
        <f>VLOOKUP(F3357,'Customer Info'!$A$1:$C$501,3,0)</f>
        <v>Hwang</v>
      </c>
      <c r="I3357" s="6" t="str">
        <f>VLOOKUP(F3357,Customer,5,0)</f>
        <v>Ballarat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184</v>
      </c>
      <c r="O3357" s="2">
        <v>10</v>
      </c>
      <c r="P3357" s="8">
        <f t="shared" si="262"/>
        <v>194</v>
      </c>
      <c r="Q3357" s="8">
        <f t="shared" si="263"/>
        <v>14</v>
      </c>
      <c r="R3357" s="2" t="s">
        <v>28</v>
      </c>
      <c r="S3357" s="24">
        <f t="shared" si="264"/>
        <v>0.02</v>
      </c>
    </row>
    <row r="3358" spans="1:19" x14ac:dyDescent="0.25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>VLOOKUP(F3358,'Customer Info'!$A:$B,2,0)</f>
        <v>Lynn</v>
      </c>
      <c r="H3358" s="6" t="str">
        <f>VLOOKUP(F3358,'Customer Info'!$A$1:$C$501,3,0)</f>
        <v>Smith</v>
      </c>
      <c r="I3358" s="6" t="str">
        <f>VLOOKUP(F3358,Customer,5,0)</f>
        <v>Kanpur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294</v>
      </c>
      <c r="O3358" s="2">
        <v>30</v>
      </c>
      <c r="P3358" s="8">
        <f t="shared" si="262"/>
        <v>324</v>
      </c>
      <c r="Q3358" s="8">
        <f t="shared" si="263"/>
        <v>18</v>
      </c>
      <c r="R3358" s="2" t="s">
        <v>28</v>
      </c>
      <c r="S3358" s="24">
        <f t="shared" si="264"/>
        <v>0.02</v>
      </c>
    </row>
    <row r="3359" spans="1:19" x14ac:dyDescent="0.25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>VLOOKUP(F3359,'Customer Info'!$A:$B,2,0)</f>
        <v>Nat</v>
      </c>
      <c r="H3359" s="6" t="str">
        <f>VLOOKUP(F3359,'Customer Info'!$A$1:$C$501,3,0)</f>
        <v>Carroll</v>
      </c>
      <c r="I3359" s="6" t="str">
        <f>VLOOKUP(F3359,Customer,5,0)</f>
        <v>Shanghai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3036</v>
      </c>
      <c r="O3359" s="2">
        <v>46</v>
      </c>
      <c r="P3359" s="8">
        <f t="shared" si="262"/>
        <v>3082</v>
      </c>
      <c r="Q3359" s="8">
        <f t="shared" si="263"/>
        <v>224</v>
      </c>
      <c r="R3359" s="2" t="s">
        <v>28</v>
      </c>
      <c r="S3359" s="24">
        <f t="shared" si="264"/>
        <v>0.02</v>
      </c>
    </row>
    <row r="3360" spans="1:19" x14ac:dyDescent="0.25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>VLOOKUP(F3360,'Customer Info'!$A:$B,2,0)</f>
        <v>Stuart</v>
      </c>
      <c r="H3360" s="6" t="str">
        <f>VLOOKUP(F3360,'Customer Info'!$A$1:$C$501,3,0)</f>
        <v>Calhoun</v>
      </c>
      <c r="I3360" s="6" t="str">
        <f>VLOOKUP(F3360,Customer,5,0)</f>
        <v>Nowra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180</v>
      </c>
      <c r="O3360" s="2">
        <v>10</v>
      </c>
      <c r="P3360" s="8">
        <f t="shared" si="262"/>
        <v>190</v>
      </c>
      <c r="Q3360" s="8">
        <f t="shared" si="263"/>
        <v>15</v>
      </c>
      <c r="R3360" s="2" t="s">
        <v>28</v>
      </c>
      <c r="S3360" s="24">
        <f t="shared" si="264"/>
        <v>0.02</v>
      </c>
    </row>
    <row r="3361" spans="1:19" x14ac:dyDescent="0.25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>VLOOKUP(F3361,'Customer Info'!$A:$B,2,0)</f>
        <v>Valerie</v>
      </c>
      <c r="H3361" s="6" t="str">
        <f>VLOOKUP(F3361,'Customer Info'!$A$1:$C$501,3,0)</f>
        <v>Takahito</v>
      </c>
      <c r="I3361" s="6" t="str">
        <f>VLOOKUP(F3361,Customer,5,0)</f>
        <v>Surat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338</v>
      </c>
      <c r="O3361" s="2">
        <v>30</v>
      </c>
      <c r="P3361" s="8">
        <f t="shared" si="262"/>
        <v>368</v>
      </c>
      <c r="Q3361" s="8">
        <f t="shared" si="263"/>
        <v>30</v>
      </c>
      <c r="R3361" s="2" t="s">
        <v>28</v>
      </c>
      <c r="S3361" s="24">
        <f t="shared" si="264"/>
        <v>0.02</v>
      </c>
    </row>
    <row r="3362" spans="1:19" x14ac:dyDescent="0.25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>VLOOKUP(F3362,'Customer Info'!$A:$B,2,0)</f>
        <v>Michelle</v>
      </c>
      <c r="H3362" s="6" t="str">
        <f>VLOOKUP(F3362,'Customer Info'!$A$1:$C$501,3,0)</f>
        <v>Tran</v>
      </c>
      <c r="I3362" s="6" t="str">
        <f>VLOOKUP(F3362,Customer,5,0)</f>
        <v>Mount Gambier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360</v>
      </c>
      <c r="O3362" s="2">
        <v>10</v>
      </c>
      <c r="P3362" s="8">
        <f t="shared" si="262"/>
        <v>370</v>
      </c>
      <c r="Q3362" s="8">
        <f t="shared" si="263"/>
        <v>36</v>
      </c>
      <c r="R3362" s="2" t="s">
        <v>50</v>
      </c>
      <c r="S3362" s="24">
        <f t="shared" si="264"/>
        <v>0.02</v>
      </c>
    </row>
    <row r="3363" spans="1:19" x14ac:dyDescent="0.25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>VLOOKUP(F3363,'Customer Info'!$A:$B,2,0)</f>
        <v>Sylvia</v>
      </c>
      <c r="H3363" s="6" t="str">
        <f>VLOOKUP(F3363,'Customer Info'!$A$1:$C$501,3,0)</f>
        <v>Foulston</v>
      </c>
      <c r="I3363" s="6" t="str">
        <f>VLOOKUP(F3363,Customer,5,0)</f>
        <v>Ludwigsburg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12366</v>
      </c>
      <c r="O3363" s="2">
        <v>47</v>
      </c>
      <c r="P3363" s="8">
        <f t="shared" si="262"/>
        <v>12413</v>
      </c>
      <c r="Q3363" s="8">
        <f t="shared" si="263"/>
        <v>1023</v>
      </c>
      <c r="R3363" s="2" t="s">
        <v>28</v>
      </c>
      <c r="S3363" s="24">
        <f t="shared" si="264"/>
        <v>0.05</v>
      </c>
    </row>
    <row r="3364" spans="1:19" x14ac:dyDescent="0.25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>VLOOKUP(F3364,'Customer Info'!$A:$B,2,0)</f>
        <v>Nancy</v>
      </c>
      <c r="H3364" s="6" t="str">
        <f>VLOOKUP(F3364,'Customer Info'!$A$1:$C$501,3,0)</f>
        <v>Lomonaco</v>
      </c>
      <c r="I3364" s="6" t="str">
        <f>VLOOKUP(F3364,Customer,5,0)</f>
        <v>Tengzhou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15246</v>
      </c>
      <c r="O3364" s="2">
        <v>23</v>
      </c>
      <c r="P3364" s="8">
        <f t="shared" si="262"/>
        <v>15269</v>
      </c>
      <c r="Q3364" s="8">
        <f t="shared" si="263"/>
        <v>1118</v>
      </c>
      <c r="R3364" s="2" t="s">
        <v>28</v>
      </c>
      <c r="S3364" s="24">
        <f t="shared" si="264"/>
        <v>0.05</v>
      </c>
    </row>
    <row r="3365" spans="1:19" x14ac:dyDescent="0.25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>VLOOKUP(F3365,'Customer Info'!$A:$B,2,0)</f>
        <v>Philisse</v>
      </c>
      <c r="H3365" s="6" t="str">
        <f>VLOOKUP(F3365,'Customer Info'!$A$1:$C$501,3,0)</f>
        <v>Overcash</v>
      </c>
      <c r="I3365" s="6" t="str">
        <f>VLOOKUP(F3365,Customer,5,0)</f>
        <v>Potsdam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27691</v>
      </c>
      <c r="O3365" s="2">
        <v>74</v>
      </c>
      <c r="P3365" s="8">
        <f t="shared" si="262"/>
        <v>27765</v>
      </c>
      <c r="Q3365" s="8">
        <f t="shared" si="263"/>
        <v>2075</v>
      </c>
      <c r="R3365" s="2" t="s">
        <v>26</v>
      </c>
      <c r="S3365" s="24">
        <f t="shared" si="264"/>
        <v>7.0000000000000007E-2</v>
      </c>
    </row>
    <row r="3366" spans="1:19" x14ac:dyDescent="0.25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>VLOOKUP(F3366,'Customer Info'!$A:$B,2,0)</f>
        <v>Darrin</v>
      </c>
      <c r="H3366" s="6" t="str">
        <f>VLOOKUP(F3366,'Customer Info'!$A$1:$C$501,3,0)</f>
        <v>Martin</v>
      </c>
      <c r="I3366" s="6" t="str">
        <f>VLOOKUP(F3366,Customer,5,0)</f>
        <v>Berlin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4905</v>
      </c>
      <c r="O3366" s="2">
        <v>88</v>
      </c>
      <c r="P3366" s="8">
        <f t="shared" si="262"/>
        <v>4993</v>
      </c>
      <c r="Q3366" s="8">
        <f t="shared" si="263"/>
        <v>186</v>
      </c>
      <c r="R3366" s="2" t="s">
        <v>56</v>
      </c>
      <c r="S3366" s="24">
        <f t="shared" si="264"/>
        <v>0.02</v>
      </c>
    </row>
    <row r="3367" spans="1:19" x14ac:dyDescent="0.25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>VLOOKUP(F3367,'Customer Info'!$A:$B,2,0)</f>
        <v>Debra</v>
      </c>
      <c r="H3367" s="6" t="str">
        <f>VLOOKUP(F3367,'Customer Info'!$A$1:$C$501,3,0)</f>
        <v>Catini</v>
      </c>
      <c r="I3367" s="6" t="str">
        <f>VLOOKUP(F3367,Customer,5,0)</f>
        <v>Zhengzhou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834</v>
      </c>
      <c r="O3367" s="2">
        <v>57</v>
      </c>
      <c r="P3367" s="8">
        <f t="shared" si="262"/>
        <v>891</v>
      </c>
      <c r="Q3367" s="8">
        <f t="shared" si="263"/>
        <v>50</v>
      </c>
      <c r="R3367" s="2" t="s">
        <v>56</v>
      </c>
      <c r="S3367" s="24">
        <f t="shared" si="264"/>
        <v>0.02</v>
      </c>
    </row>
    <row r="3368" spans="1:19" x14ac:dyDescent="0.25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>VLOOKUP(F3368,'Customer Info'!$A:$B,2,0)</f>
        <v>Annie</v>
      </c>
      <c r="H3368" s="6" t="str">
        <f>VLOOKUP(F3368,'Customer Info'!$A$1:$C$501,3,0)</f>
        <v>Thurman</v>
      </c>
      <c r="I3368" s="6" t="str">
        <f>VLOOKUP(F3368,Customer,5,0)</f>
        <v>Sydney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18066</v>
      </c>
      <c r="O3368" s="2">
        <v>65</v>
      </c>
      <c r="P3368" s="8">
        <f t="shared" si="262"/>
        <v>18131</v>
      </c>
      <c r="Q3368" s="8">
        <f t="shared" si="263"/>
        <v>1802</v>
      </c>
      <c r="R3368" s="2" t="s">
        <v>50</v>
      </c>
      <c r="S3368" s="24">
        <f t="shared" si="264"/>
        <v>0.05</v>
      </c>
    </row>
    <row r="3369" spans="1:19" x14ac:dyDescent="0.25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>VLOOKUP(F3369,'Customer Info'!$A:$B,2,0)</f>
        <v>Matt</v>
      </c>
      <c r="H3369" s="6" t="str">
        <f>VLOOKUP(F3369,'Customer Info'!$A$1:$C$501,3,0)</f>
        <v>Collins</v>
      </c>
      <c r="I3369" s="6" t="str">
        <f>VLOOKUP(F3369,Customer,5,0)</f>
        <v>Mumbai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55284</v>
      </c>
      <c r="O3369" s="2">
        <v>70</v>
      </c>
      <c r="P3369" s="8">
        <f t="shared" si="262"/>
        <v>55354</v>
      </c>
      <c r="Q3369" s="8">
        <f t="shared" si="263"/>
        <v>5514</v>
      </c>
      <c r="R3369" s="2" t="s">
        <v>56</v>
      </c>
      <c r="S3369" s="24">
        <f t="shared" si="264"/>
        <v>0.09</v>
      </c>
    </row>
    <row r="3370" spans="1:19" x14ac:dyDescent="0.25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>VLOOKUP(F3370,'Customer Info'!$A:$B,2,0)</f>
        <v>Bill</v>
      </c>
      <c r="H3370" s="6" t="str">
        <f>VLOOKUP(F3370,'Customer Info'!$A$1:$C$501,3,0)</f>
        <v>Donatelli</v>
      </c>
      <c r="I3370" s="6" t="str">
        <f>VLOOKUP(F3370,Customer,5,0)</f>
        <v>Kamarhati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4668</v>
      </c>
      <c r="O3370" s="2">
        <v>86</v>
      </c>
      <c r="P3370" s="8">
        <f t="shared" si="262"/>
        <v>4754</v>
      </c>
      <c r="Q3370" s="8">
        <f t="shared" si="263"/>
        <v>426</v>
      </c>
      <c r="R3370" s="2" t="s">
        <v>28</v>
      </c>
      <c r="S3370" s="24">
        <f t="shared" si="264"/>
        <v>0.02</v>
      </c>
    </row>
    <row r="3371" spans="1:19" x14ac:dyDescent="0.25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>VLOOKUP(F3371,'Customer Info'!$A:$B,2,0)</f>
        <v>Filia</v>
      </c>
      <c r="H3371" s="6" t="str">
        <f>VLOOKUP(F3371,'Customer Info'!$A$1:$C$501,3,0)</f>
        <v>McAdams</v>
      </c>
      <c r="I3371" s="6" t="str">
        <f>VLOOKUP(F3371,Customer,5,0)</f>
        <v>Lucknow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7008</v>
      </c>
      <c r="O3371" s="2">
        <v>86</v>
      </c>
      <c r="P3371" s="8">
        <f t="shared" si="262"/>
        <v>7094</v>
      </c>
      <c r="Q3371" s="8">
        <f t="shared" si="263"/>
        <v>704</v>
      </c>
      <c r="R3371" s="2" t="s">
        <v>56</v>
      </c>
      <c r="S3371" s="24">
        <f t="shared" si="264"/>
        <v>0.05</v>
      </c>
    </row>
    <row r="3372" spans="1:19" x14ac:dyDescent="0.25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>VLOOKUP(F3372,'Customer Info'!$A:$B,2,0)</f>
        <v>Lindsay</v>
      </c>
      <c r="H3372" s="6" t="str">
        <f>VLOOKUP(F3372,'Customer Info'!$A$1:$C$501,3,0)</f>
        <v>Williams</v>
      </c>
      <c r="I3372" s="6" t="str">
        <f>VLOOKUP(F3372,Customer,5,0)</f>
        <v>Akola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17508</v>
      </c>
      <c r="O3372" s="2">
        <v>85</v>
      </c>
      <c r="P3372" s="8">
        <f t="shared" si="262"/>
        <v>17593</v>
      </c>
      <c r="Q3372" s="8">
        <f t="shared" si="263"/>
        <v>1137</v>
      </c>
      <c r="R3372" s="2" t="s">
        <v>50</v>
      </c>
      <c r="S3372" s="24">
        <f t="shared" si="264"/>
        <v>0.05</v>
      </c>
    </row>
    <row r="3373" spans="1:19" x14ac:dyDescent="0.25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>VLOOKUP(F3373,'Customer Info'!$A:$B,2,0)</f>
        <v>Matt</v>
      </c>
      <c r="H3373" s="6" t="str">
        <f>VLOOKUP(F3373,'Customer Info'!$A$1:$C$501,3,0)</f>
        <v>Collins</v>
      </c>
      <c r="I3373" s="6" t="str">
        <f>VLOOKUP(F3373,Customer,5,0)</f>
        <v>Mumbai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4176</v>
      </c>
      <c r="O3373" s="2">
        <v>40</v>
      </c>
      <c r="P3373" s="8">
        <f t="shared" si="262"/>
        <v>4216</v>
      </c>
      <c r="Q3373" s="8">
        <f t="shared" si="263"/>
        <v>236</v>
      </c>
      <c r="R3373" s="2" t="s">
        <v>50</v>
      </c>
      <c r="S3373" s="24">
        <f t="shared" si="264"/>
        <v>0.02</v>
      </c>
    </row>
    <row r="3374" spans="1:19" x14ac:dyDescent="0.25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>VLOOKUP(F3374,'Customer Info'!$A:$B,2,0)</f>
        <v>Keith</v>
      </c>
      <c r="H3374" s="6" t="str">
        <f>VLOOKUP(F3374,'Customer Info'!$A$1:$C$501,3,0)</f>
        <v>Herrera</v>
      </c>
      <c r="I3374" s="6" t="str">
        <f>VLOOKUP(F3374,Customer,5,0)</f>
        <v>Jakarta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27462</v>
      </c>
      <c r="O3374" s="2">
        <v>34</v>
      </c>
      <c r="P3374" s="8">
        <f t="shared" si="262"/>
        <v>27496</v>
      </c>
      <c r="Q3374" s="8">
        <f t="shared" si="263"/>
        <v>1782</v>
      </c>
      <c r="R3374" s="2" t="s">
        <v>50</v>
      </c>
      <c r="S3374" s="24">
        <f t="shared" si="264"/>
        <v>7.0000000000000007E-2</v>
      </c>
    </row>
    <row r="3375" spans="1:19" x14ac:dyDescent="0.25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>VLOOKUP(F3375,'Customer Info'!$A:$B,2,0)</f>
        <v>Michael</v>
      </c>
      <c r="H3375" s="6" t="str">
        <f>VLOOKUP(F3375,'Customer Info'!$A$1:$C$501,3,0)</f>
        <v>Chen</v>
      </c>
      <c r="I3375" s="6" t="str">
        <f>VLOOKUP(F3375,Customer,5,0)</f>
        <v>Jakarta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1030</v>
      </c>
      <c r="O3375" s="2">
        <v>80</v>
      </c>
      <c r="P3375" s="8">
        <f t="shared" si="262"/>
        <v>1110</v>
      </c>
      <c r="Q3375" s="8">
        <f t="shared" si="263"/>
        <v>85</v>
      </c>
      <c r="R3375" s="2" t="s">
        <v>50</v>
      </c>
      <c r="S3375" s="24">
        <f t="shared" si="264"/>
        <v>0.02</v>
      </c>
    </row>
    <row r="3376" spans="1:19" x14ac:dyDescent="0.25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>VLOOKUP(F3376,'Customer Info'!$A:$B,2,0)</f>
        <v>George</v>
      </c>
      <c r="H3376" s="6" t="str">
        <f>VLOOKUP(F3376,'Customer Info'!$A$1:$C$501,3,0)</f>
        <v>Ashbrook</v>
      </c>
      <c r="I3376" s="6" t="str">
        <f>VLOOKUP(F3376,Customer,5,0)</f>
        <v>Jakarta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7760</v>
      </c>
      <c r="O3376" s="2">
        <v>57</v>
      </c>
      <c r="P3376" s="8">
        <f t="shared" si="262"/>
        <v>7817</v>
      </c>
      <c r="Q3376" s="8">
        <f t="shared" si="263"/>
        <v>430</v>
      </c>
      <c r="R3376" s="2" t="s">
        <v>50</v>
      </c>
      <c r="S3376" s="24">
        <f t="shared" si="264"/>
        <v>0.05</v>
      </c>
    </row>
    <row r="3377" spans="1:19" x14ac:dyDescent="0.25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>VLOOKUP(F3377,'Customer Info'!$A:$B,2,0)</f>
        <v>Dave</v>
      </c>
      <c r="H3377" s="6" t="str">
        <f>VLOOKUP(F3377,'Customer Info'!$A$1:$C$501,3,0)</f>
        <v>Poirier</v>
      </c>
      <c r="I3377" s="6" t="str">
        <f>VLOOKUP(F3377,Customer,5,0)</f>
        <v>Suizhou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30764</v>
      </c>
      <c r="O3377" s="2">
        <v>48</v>
      </c>
      <c r="P3377" s="8">
        <f t="shared" si="262"/>
        <v>30812</v>
      </c>
      <c r="Q3377" s="8">
        <f t="shared" si="263"/>
        <v>1744</v>
      </c>
      <c r="R3377" s="2" t="s">
        <v>26</v>
      </c>
      <c r="S3377" s="24">
        <f t="shared" si="264"/>
        <v>7.0000000000000007E-2</v>
      </c>
    </row>
    <row r="3378" spans="1:19" x14ac:dyDescent="0.25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>VLOOKUP(F3378,'Customer Info'!$A:$B,2,0)</f>
        <v>Candace</v>
      </c>
      <c r="H3378" s="6" t="str">
        <f>VLOOKUP(F3378,'Customer Info'!$A$1:$C$501,3,0)</f>
        <v>McMahon</v>
      </c>
      <c r="I3378" s="6" t="str">
        <f>VLOOKUP(F3378,Customer,5,0)</f>
        <v>Canberra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45048</v>
      </c>
      <c r="O3378" s="2">
        <v>34</v>
      </c>
      <c r="P3378" s="8">
        <f t="shared" si="262"/>
        <v>45082</v>
      </c>
      <c r="Q3378" s="8">
        <f t="shared" si="263"/>
        <v>3312</v>
      </c>
      <c r="R3378" s="2" t="s">
        <v>50</v>
      </c>
      <c r="S3378" s="24">
        <f t="shared" si="264"/>
        <v>7.0000000000000007E-2</v>
      </c>
    </row>
    <row r="3379" spans="1:19" x14ac:dyDescent="0.25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>VLOOKUP(F3379,'Customer Info'!$A:$B,2,0)</f>
        <v>Larry</v>
      </c>
      <c r="H3379" s="6" t="str">
        <f>VLOOKUP(F3379,'Customer Info'!$A$1:$C$501,3,0)</f>
        <v>Blacks</v>
      </c>
      <c r="I3379" s="6" t="str">
        <f>VLOOKUP(F3379,Customer,5,0)</f>
        <v>Shangyu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5355</v>
      </c>
      <c r="O3379" s="2">
        <v>46</v>
      </c>
      <c r="P3379" s="8">
        <f t="shared" si="262"/>
        <v>5401</v>
      </c>
      <c r="Q3379" s="8">
        <f t="shared" si="263"/>
        <v>305</v>
      </c>
      <c r="R3379" s="2" t="s">
        <v>50</v>
      </c>
      <c r="S3379" s="24">
        <f t="shared" si="264"/>
        <v>0.05</v>
      </c>
    </row>
    <row r="3380" spans="1:19" x14ac:dyDescent="0.25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>VLOOKUP(F3380,'Customer Info'!$A:$B,2,0)</f>
        <v>Resi</v>
      </c>
      <c r="H3380" s="6" t="str">
        <f>VLOOKUP(F3380,'Customer Info'!$A$1:$C$501,3,0)</f>
        <v>Pšlking</v>
      </c>
      <c r="I3380" s="6" t="str">
        <f>VLOOKUP(F3380,Customer,5,0)</f>
        <v>Gelsenkirchen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1734</v>
      </c>
      <c r="O3380" s="2">
        <v>70</v>
      </c>
      <c r="P3380" s="8">
        <f t="shared" si="262"/>
        <v>1804</v>
      </c>
      <c r="Q3380" s="8">
        <f t="shared" si="263"/>
        <v>32</v>
      </c>
      <c r="R3380" s="2" t="s">
        <v>50</v>
      </c>
      <c r="S3380" s="24">
        <f t="shared" si="264"/>
        <v>0.02</v>
      </c>
    </row>
    <row r="3381" spans="1:19" x14ac:dyDescent="0.25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>VLOOKUP(F3381,'Customer Info'!$A:$B,2,0)</f>
        <v>Ann</v>
      </c>
      <c r="H3381" s="6" t="str">
        <f>VLOOKUP(F3381,'Customer Info'!$A$1:$C$501,3,0)</f>
        <v>Chong</v>
      </c>
      <c r="I3381" s="6" t="str">
        <f>VLOOKUP(F3381,Customer,5,0)</f>
        <v>Sydney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567</v>
      </c>
      <c r="O3381" s="2">
        <v>10</v>
      </c>
      <c r="P3381" s="8">
        <f t="shared" si="262"/>
        <v>577</v>
      </c>
      <c r="Q3381" s="8">
        <f t="shared" si="263"/>
        <v>45</v>
      </c>
      <c r="R3381" s="2" t="s">
        <v>28</v>
      </c>
      <c r="S3381" s="24">
        <f t="shared" si="264"/>
        <v>0.02</v>
      </c>
    </row>
    <row r="3382" spans="1:19" x14ac:dyDescent="0.25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>VLOOKUP(F3382,'Customer Info'!$A:$B,2,0)</f>
        <v>Kristina</v>
      </c>
      <c r="H3382" s="6" t="str">
        <f>VLOOKUP(F3382,'Customer Info'!$A$1:$C$501,3,0)</f>
        <v>Nunn</v>
      </c>
      <c r="I3382" s="6" t="str">
        <f>VLOOKUP(F3382,Customer,5,0)</f>
        <v>Jakarta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998</v>
      </c>
      <c r="O3382" s="2">
        <v>50</v>
      </c>
      <c r="P3382" s="8">
        <f t="shared" si="262"/>
        <v>1048</v>
      </c>
      <c r="Q3382" s="8">
        <f t="shared" si="263"/>
        <v>67</v>
      </c>
      <c r="R3382" s="2" t="s">
        <v>28</v>
      </c>
      <c r="S3382" s="24">
        <f t="shared" si="264"/>
        <v>0.02</v>
      </c>
    </row>
    <row r="3383" spans="1:19" x14ac:dyDescent="0.25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>VLOOKUP(F3383,'Customer Info'!$A:$B,2,0)</f>
        <v>Rob</v>
      </c>
      <c r="H3383" s="6" t="str">
        <f>VLOOKUP(F3383,'Customer Info'!$A$1:$C$501,3,0)</f>
        <v>Haberlin</v>
      </c>
      <c r="I3383" s="6" t="str">
        <f>VLOOKUP(F3383,Customer,5,0)</f>
        <v>Harbin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46277</v>
      </c>
      <c r="O3383" s="2">
        <v>37</v>
      </c>
      <c r="P3383" s="8">
        <f t="shared" si="262"/>
        <v>46314</v>
      </c>
      <c r="Q3383" s="8">
        <f t="shared" si="263"/>
        <v>4676</v>
      </c>
      <c r="R3383" s="2" t="s">
        <v>28</v>
      </c>
      <c r="S3383" s="24">
        <f t="shared" si="264"/>
        <v>7.0000000000000007E-2</v>
      </c>
    </row>
    <row r="3384" spans="1:19" x14ac:dyDescent="0.25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>VLOOKUP(F3384,'Customer Info'!$A:$B,2,0)</f>
        <v>Tony</v>
      </c>
      <c r="H3384" s="6" t="str">
        <f>VLOOKUP(F3384,'Customer Info'!$A$1:$C$501,3,0)</f>
        <v>Sayre</v>
      </c>
      <c r="I3384" s="6" t="str">
        <f>VLOOKUP(F3384,Customer,5,0)</f>
        <v>Jakarta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501</v>
      </c>
      <c r="O3384" s="2">
        <v>30</v>
      </c>
      <c r="P3384" s="8">
        <f t="shared" si="262"/>
        <v>531</v>
      </c>
      <c r="Q3384" s="8">
        <f t="shared" si="263"/>
        <v>36</v>
      </c>
      <c r="R3384" s="2" t="s">
        <v>28</v>
      </c>
      <c r="S3384" s="24">
        <f t="shared" si="264"/>
        <v>0.02</v>
      </c>
    </row>
    <row r="3385" spans="1:19" x14ac:dyDescent="0.25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>VLOOKUP(F3385,'Customer Info'!$A:$B,2,0)</f>
        <v>Dave</v>
      </c>
      <c r="H3385" s="6" t="str">
        <f>VLOOKUP(F3385,'Customer Info'!$A$1:$C$501,3,0)</f>
        <v>Hallsten</v>
      </c>
      <c r="I3385" s="6" t="str">
        <f>VLOOKUP(F3385,Customer,5,0)</f>
        <v>Coimbatore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3309</v>
      </c>
      <c r="O3385" s="2">
        <v>44</v>
      </c>
      <c r="P3385" s="8">
        <f t="shared" si="262"/>
        <v>3353</v>
      </c>
      <c r="Q3385" s="8">
        <f t="shared" si="263"/>
        <v>219</v>
      </c>
      <c r="R3385" s="2" t="s">
        <v>50</v>
      </c>
      <c r="S3385" s="24">
        <f t="shared" si="264"/>
        <v>0.02</v>
      </c>
    </row>
    <row r="3386" spans="1:19" x14ac:dyDescent="0.25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>VLOOKUP(F3386,'Customer Info'!$A:$B,2,0)</f>
        <v>Vivek</v>
      </c>
      <c r="H3386" s="6" t="str">
        <f>VLOOKUP(F3386,'Customer Info'!$A$1:$C$501,3,0)</f>
        <v>Grady</v>
      </c>
      <c r="I3386" s="6" t="str">
        <f>VLOOKUP(F3386,Customer,5,0)</f>
        <v>Shantou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5788</v>
      </c>
      <c r="O3386" s="2">
        <v>39</v>
      </c>
      <c r="P3386" s="8">
        <f t="shared" si="262"/>
        <v>5827</v>
      </c>
      <c r="Q3386" s="8">
        <f t="shared" si="263"/>
        <v>484</v>
      </c>
      <c r="R3386" s="2" t="s">
        <v>28</v>
      </c>
      <c r="S3386" s="24">
        <f t="shared" si="264"/>
        <v>0.05</v>
      </c>
    </row>
    <row r="3387" spans="1:19" x14ac:dyDescent="0.25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>VLOOKUP(F3387,'Customer Info'!$A:$B,2,0)</f>
        <v>Nick</v>
      </c>
      <c r="H3387" s="6" t="str">
        <f>VLOOKUP(F3387,'Customer Info'!$A$1:$C$501,3,0)</f>
        <v>Radford</v>
      </c>
      <c r="I3387" s="6" t="str">
        <f>VLOOKUP(F3387,Customer,5,0)</f>
        <v>Lucknow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596</v>
      </c>
      <c r="O3387" s="2">
        <v>30</v>
      </c>
      <c r="P3387" s="8">
        <f t="shared" si="262"/>
        <v>626</v>
      </c>
      <c r="Q3387" s="8">
        <f t="shared" si="263"/>
        <v>72</v>
      </c>
      <c r="R3387" s="2" t="s">
        <v>28</v>
      </c>
      <c r="S3387" s="24">
        <f t="shared" si="264"/>
        <v>0.02</v>
      </c>
    </row>
    <row r="3388" spans="1:19" x14ac:dyDescent="0.25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>VLOOKUP(F3388,'Customer Info'!$A:$B,2,0)</f>
        <v>Caroline</v>
      </c>
      <c r="H3388" s="6" t="str">
        <f>VLOOKUP(F3388,'Customer Info'!$A$1:$C$501,3,0)</f>
        <v>Jumper</v>
      </c>
      <c r="I3388" s="6" t="str">
        <f>VLOOKUP(F3388,Customer,5,0)</f>
        <v>Xuzhou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2400</v>
      </c>
      <c r="O3388" s="2">
        <v>70</v>
      </c>
      <c r="P3388" s="8">
        <f t="shared" si="262"/>
        <v>2470</v>
      </c>
      <c r="Q3388" s="8">
        <f t="shared" si="263"/>
        <v>240</v>
      </c>
      <c r="R3388" s="2" t="s">
        <v>28</v>
      </c>
      <c r="S3388" s="24">
        <f t="shared" si="264"/>
        <v>0.02</v>
      </c>
    </row>
    <row r="3389" spans="1:19" x14ac:dyDescent="0.25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>VLOOKUP(F3389,'Customer Info'!$A:$B,2,0)</f>
        <v>Lindsay</v>
      </c>
      <c r="H3389" s="6" t="str">
        <f>VLOOKUP(F3389,'Customer Info'!$A$1:$C$501,3,0)</f>
        <v>Williams</v>
      </c>
      <c r="I3389" s="6" t="str">
        <f>VLOOKUP(F3389,Customer,5,0)</f>
        <v>Akola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5580</v>
      </c>
      <c r="O3389" s="2">
        <v>25</v>
      </c>
      <c r="P3389" s="8">
        <f t="shared" si="262"/>
        <v>5605</v>
      </c>
      <c r="Q3389" s="8">
        <f t="shared" si="263"/>
        <v>466</v>
      </c>
      <c r="R3389" s="2" t="s">
        <v>50</v>
      </c>
      <c r="S3389" s="24">
        <f t="shared" si="264"/>
        <v>0.05</v>
      </c>
    </row>
    <row r="3390" spans="1:19" x14ac:dyDescent="0.25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>VLOOKUP(F3390,'Customer Info'!$A:$B,2,0)</f>
        <v>Anna</v>
      </c>
      <c r="H3390" s="6" t="str">
        <f>VLOOKUP(F3390,'Customer Info'!$A$1:$C$501,3,0)</f>
        <v>Gayman</v>
      </c>
      <c r="I3390" s="6" t="str">
        <f>VLOOKUP(F3390,Customer,5,0)</f>
        <v>Surat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2787</v>
      </c>
      <c r="O3390" s="2">
        <v>97</v>
      </c>
      <c r="P3390" s="8">
        <f t="shared" si="262"/>
        <v>2884</v>
      </c>
      <c r="Q3390" s="8">
        <f t="shared" si="263"/>
        <v>106</v>
      </c>
      <c r="R3390" s="2" t="s">
        <v>56</v>
      </c>
      <c r="S3390" s="24">
        <f t="shared" si="264"/>
        <v>0.02</v>
      </c>
    </row>
    <row r="3391" spans="1:19" x14ac:dyDescent="0.25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>VLOOKUP(F3391,'Customer Info'!$A:$B,2,0)</f>
        <v>Larry</v>
      </c>
      <c r="H3391" s="6" t="str">
        <f>VLOOKUP(F3391,'Customer Info'!$A$1:$C$501,3,0)</f>
        <v>Blacks</v>
      </c>
      <c r="I3391" s="6" t="str">
        <f>VLOOKUP(F3391,Customer,5,0)</f>
        <v>Shangyu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40206</v>
      </c>
      <c r="O3391" s="2">
        <v>29</v>
      </c>
      <c r="P3391" s="8">
        <f t="shared" si="262"/>
        <v>40235</v>
      </c>
      <c r="Q3391" s="8">
        <f t="shared" si="263"/>
        <v>1902</v>
      </c>
      <c r="R3391" s="2" t="s">
        <v>28</v>
      </c>
      <c r="S3391" s="24">
        <f t="shared" si="264"/>
        <v>7.0000000000000007E-2</v>
      </c>
    </row>
    <row r="3392" spans="1:19" x14ac:dyDescent="0.25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>VLOOKUP(F3392,'Customer Info'!$A:$B,2,0)</f>
        <v>Valerie</v>
      </c>
      <c r="H3392" s="6" t="str">
        <f>VLOOKUP(F3392,'Customer Info'!$A$1:$C$501,3,0)</f>
        <v>Mitchum</v>
      </c>
      <c r="I3392" s="6" t="str">
        <f>VLOOKUP(F3392,Customer,5,0)</f>
        <v>Chengdu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996</v>
      </c>
      <c r="O3392" s="2">
        <v>30</v>
      </c>
      <c r="P3392" s="8">
        <f t="shared" si="262"/>
        <v>1026</v>
      </c>
      <c r="Q3392" s="8">
        <f t="shared" si="263"/>
        <v>54</v>
      </c>
      <c r="R3392" s="2" t="s">
        <v>50</v>
      </c>
      <c r="S3392" s="24">
        <f t="shared" si="264"/>
        <v>0.02</v>
      </c>
    </row>
    <row r="3393" spans="1:19" x14ac:dyDescent="0.25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>VLOOKUP(F3393,'Customer Info'!$A:$B,2,0)</f>
        <v>Rachel</v>
      </c>
      <c r="H3393" s="6" t="str">
        <f>VLOOKUP(F3393,'Customer Info'!$A$1:$C$501,3,0)</f>
        <v>Payne</v>
      </c>
      <c r="I3393" s="6" t="str">
        <f>VLOOKUP(F3393,Customer,5,0)</f>
        <v>Fuzhou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9790</v>
      </c>
      <c r="O3393" s="2">
        <v>58</v>
      </c>
      <c r="P3393" s="8">
        <f t="shared" si="262"/>
        <v>9848</v>
      </c>
      <c r="Q3393" s="8">
        <f t="shared" si="263"/>
        <v>560</v>
      </c>
      <c r="R3393" s="2" t="s">
        <v>28</v>
      </c>
      <c r="S3393" s="24">
        <f t="shared" si="264"/>
        <v>0.05</v>
      </c>
    </row>
    <row r="3394" spans="1:19" x14ac:dyDescent="0.25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>VLOOKUP(F3394,'Customer Info'!$A:$B,2,0)</f>
        <v>Lynn</v>
      </c>
      <c r="H3394" s="6" t="str">
        <f>VLOOKUP(F3394,'Customer Info'!$A$1:$C$501,3,0)</f>
        <v>Smith</v>
      </c>
      <c r="I3394" s="6" t="str">
        <f>VLOOKUP(F3394,Customer,5,0)</f>
        <v>Guiping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2700</v>
      </c>
      <c r="O3394" s="2">
        <v>52</v>
      </c>
      <c r="P3394" s="8">
        <f t="shared" si="262"/>
        <v>2752</v>
      </c>
      <c r="Q3394" s="8">
        <f t="shared" si="263"/>
        <v>198</v>
      </c>
      <c r="R3394" s="2" t="s">
        <v>28</v>
      </c>
      <c r="S3394" s="24">
        <f t="shared" si="264"/>
        <v>0.02</v>
      </c>
    </row>
    <row r="3395" spans="1:19" x14ac:dyDescent="0.25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>VLOOKUP(F3395,'Customer Info'!$A:$B,2,0)</f>
        <v>Shaun</v>
      </c>
      <c r="H3395" s="6" t="str">
        <f>VLOOKUP(F3395,'Customer Info'!$A$1:$C$501,3,0)</f>
        <v>Weien</v>
      </c>
      <c r="I3395" s="6" t="str">
        <f>VLOOKUP(F3395,Customer,5,0)</f>
        <v>Medan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5952</v>
      </c>
      <c r="O3395" s="2">
        <v>74</v>
      </c>
      <c r="P3395" s="8">
        <f t="shared" si="262"/>
        <v>6026</v>
      </c>
      <c r="Q3395" s="8">
        <f t="shared" si="263"/>
        <v>384</v>
      </c>
      <c r="R3395" s="2" t="s">
        <v>50</v>
      </c>
      <c r="S3395" s="24">
        <f t="shared" si="264"/>
        <v>0.05</v>
      </c>
    </row>
    <row r="3396" spans="1:19" x14ac:dyDescent="0.25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>VLOOKUP(F3396,'Customer Info'!$A:$B,2,0)</f>
        <v>Anthony</v>
      </c>
      <c r="H3396" s="6" t="str">
        <f>VLOOKUP(F3396,'Customer Info'!$A$1:$C$501,3,0)</f>
        <v>Garverick</v>
      </c>
      <c r="I3396" s="6" t="str">
        <f>VLOOKUP(F3396,Customer,5,0)</f>
        <v>Delhi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3225</v>
      </c>
      <c r="O3396" s="2">
        <v>74</v>
      </c>
      <c r="P3396" s="8">
        <f t="shared" si="262"/>
        <v>3299</v>
      </c>
      <c r="Q3396" s="8">
        <f t="shared" si="263"/>
        <v>400</v>
      </c>
      <c r="R3396" s="2" t="s">
        <v>28</v>
      </c>
      <c r="S3396" s="24">
        <f t="shared" si="264"/>
        <v>0.02</v>
      </c>
    </row>
    <row r="3397" spans="1:19" x14ac:dyDescent="0.25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>VLOOKUP(F3397,'Customer Info'!$A:$B,2,0)</f>
        <v>Muhammed</v>
      </c>
      <c r="H3397" s="6" t="str">
        <f>VLOOKUP(F3397,'Customer Info'!$A$1:$C$501,3,0)</f>
        <v>Lee</v>
      </c>
      <c r="I3397" s="6" t="str">
        <f>VLOOKUP(F3397,Customer,5,0)</f>
        <v>Nellore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2958</v>
      </c>
      <c r="O3397" s="2">
        <v>72</v>
      </c>
      <c r="P3397" s="8">
        <f t="shared" si="262"/>
        <v>3030</v>
      </c>
      <c r="Q3397" s="8">
        <f t="shared" si="263"/>
        <v>215</v>
      </c>
      <c r="R3397" s="2" t="s">
        <v>50</v>
      </c>
      <c r="S3397" s="24">
        <f t="shared" si="264"/>
        <v>0.02</v>
      </c>
    </row>
    <row r="3398" spans="1:19" x14ac:dyDescent="0.25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>VLOOKUP(F3398,'Customer Info'!$A:$B,2,0)</f>
        <v>Patrick</v>
      </c>
      <c r="H3398" s="6" t="str">
        <f>VLOOKUP(F3398,'Customer Info'!$A$1:$C$501,3,0)</f>
        <v>O'Donnell</v>
      </c>
      <c r="I3398" s="6" t="str">
        <f>VLOOKUP(F3398,Customer,5,0)</f>
        <v>Sydney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5621</v>
      </c>
      <c r="O3398" s="2">
        <v>89</v>
      </c>
      <c r="P3398" s="8">
        <f t="shared" si="262"/>
        <v>5710</v>
      </c>
      <c r="Q3398" s="8">
        <f t="shared" si="263"/>
        <v>473</v>
      </c>
      <c r="R3398" s="2" t="s">
        <v>28</v>
      </c>
      <c r="S3398" s="24">
        <f t="shared" si="264"/>
        <v>0.05</v>
      </c>
    </row>
    <row r="3399" spans="1:19" x14ac:dyDescent="0.25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>VLOOKUP(F3399,'Customer Info'!$A:$B,2,0)</f>
        <v>Ionia</v>
      </c>
      <c r="H3399" s="6" t="str">
        <f>VLOOKUP(F3399,'Customer Info'!$A$1:$C$501,3,0)</f>
        <v>McGrath</v>
      </c>
      <c r="I3399" s="6" t="str">
        <f>VLOOKUP(F3399,Customer,5,0)</f>
        <v>Dormagen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97920</v>
      </c>
      <c r="O3399" s="2">
        <v>95</v>
      </c>
      <c r="P3399" s="8">
        <f t="shared" si="262"/>
        <v>98015</v>
      </c>
      <c r="Q3399" s="8">
        <f t="shared" si="263"/>
        <v>8220</v>
      </c>
      <c r="R3399" s="2" t="s">
        <v>56</v>
      </c>
      <c r="S3399" s="24">
        <f t="shared" si="264"/>
        <v>0.09</v>
      </c>
    </row>
    <row r="3400" spans="1:19" x14ac:dyDescent="0.25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>VLOOKUP(F3400,'Customer Info'!$A:$B,2,0)</f>
        <v>Sheri</v>
      </c>
      <c r="H3400" s="6" t="str">
        <f>VLOOKUP(F3400,'Customer Info'!$A$1:$C$501,3,0)</f>
        <v>Gordon</v>
      </c>
      <c r="I3400" s="6" t="str">
        <f>VLOOKUP(F3400,Customer,5,0)</f>
        <v>Bogor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315</v>
      </c>
      <c r="O3400" s="2">
        <v>10</v>
      </c>
      <c r="P3400" s="8">
        <f t="shared" si="262"/>
        <v>325</v>
      </c>
      <c r="Q3400" s="8">
        <f t="shared" si="263"/>
        <v>25</v>
      </c>
      <c r="R3400" s="2" t="s">
        <v>50</v>
      </c>
      <c r="S3400" s="24">
        <f t="shared" si="264"/>
        <v>0.02</v>
      </c>
    </row>
    <row r="3401" spans="1:19" x14ac:dyDescent="0.25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>VLOOKUP(F3401,'Customer Info'!$A:$B,2,0)</f>
        <v>Michelle</v>
      </c>
      <c r="H3401" s="6" t="str">
        <f>VLOOKUP(F3401,'Customer Info'!$A$1:$C$501,3,0)</f>
        <v>Arnett</v>
      </c>
      <c r="I3401" s="6" t="str">
        <f>VLOOKUP(F3401,Customer,5,0)</f>
        <v>Palembang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6219</v>
      </c>
      <c r="O3401" s="2">
        <v>91</v>
      </c>
      <c r="P3401" s="8">
        <f t="shared" si="262"/>
        <v>6310</v>
      </c>
      <c r="Q3401" s="8">
        <f t="shared" si="263"/>
        <v>405</v>
      </c>
      <c r="R3401" s="2" t="s">
        <v>50</v>
      </c>
      <c r="S3401" s="24">
        <f t="shared" si="264"/>
        <v>0.05</v>
      </c>
    </row>
    <row r="3402" spans="1:19" x14ac:dyDescent="0.25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>VLOOKUP(F3402,'Customer Info'!$A:$B,2,0)</f>
        <v>Filia</v>
      </c>
      <c r="H3402" s="6" t="str">
        <f>VLOOKUP(F3402,'Customer Info'!$A$1:$C$501,3,0)</f>
        <v>McAdams</v>
      </c>
      <c r="I3402" s="6" t="str">
        <f>VLOOKUP(F3402,Customer,5,0)</f>
        <v>Lucknow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5930</v>
      </c>
      <c r="O3402" s="2">
        <v>53</v>
      </c>
      <c r="P3402" s="8">
        <f t="shared" si="262"/>
        <v>5983</v>
      </c>
      <c r="Q3402" s="8">
        <f t="shared" si="263"/>
        <v>542</v>
      </c>
      <c r="R3402" s="2" t="s">
        <v>26</v>
      </c>
      <c r="S3402" s="24">
        <f t="shared" si="264"/>
        <v>0.05</v>
      </c>
    </row>
    <row r="3403" spans="1:19" x14ac:dyDescent="0.25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>VLOOKUP(F3403,'Customer Info'!$A:$B,2,0)</f>
        <v>Max</v>
      </c>
      <c r="H3403" s="6" t="str">
        <f>VLOOKUP(F3403,'Customer Info'!$A$1:$C$501,3,0)</f>
        <v>Jones</v>
      </c>
      <c r="I3403" s="6" t="str">
        <f>VLOOKUP(F3403,Customer,5,0)</f>
        <v>Yuncheng</v>
      </c>
      <c r="J3403" s="2">
        <v>2478</v>
      </c>
      <c r="K3403" s="2">
        <v>2406</v>
      </c>
      <c r="L3403" s="2">
        <v>2</v>
      </c>
      <c r="M3403" s="7">
        <f t="shared" ref="M3403:M3466" si="265">K3403*L3403</f>
        <v>4812</v>
      </c>
      <c r="N3403" s="7">
        <f t="shared" ref="N3403:N3466" si="266">J3403*L3403</f>
        <v>4956</v>
      </c>
      <c r="O3403" s="2">
        <v>77</v>
      </c>
      <c r="P3403" s="8">
        <f t="shared" ref="P3403:P3466" si="267">N3403+O3403</f>
        <v>5033</v>
      </c>
      <c r="Q3403" s="8">
        <f t="shared" ref="Q3403:Q3466" si="268">N3403-M3403</f>
        <v>144</v>
      </c>
      <c r="R3403" s="2" t="s">
        <v>50</v>
      </c>
      <c r="S3403" s="24">
        <f t="shared" ref="S3403:S3466" si="269">VLOOKUP(N3403,$T$1:$U$7,2,TRUE)</f>
        <v>0.02</v>
      </c>
    </row>
    <row r="3404" spans="1:19" x14ac:dyDescent="0.25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>VLOOKUP(F3404,'Customer Info'!$A:$B,2,0)</f>
        <v>Thomas</v>
      </c>
      <c r="H3404" s="6" t="str">
        <f>VLOOKUP(F3404,'Customer Info'!$A$1:$C$501,3,0)</f>
        <v>Brumley</v>
      </c>
      <c r="I3404" s="6" t="str">
        <f>VLOOKUP(F3404,Customer,5,0)</f>
        <v>Launceston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8">
        <f t="shared" si="267"/>
        <v>5179</v>
      </c>
      <c r="Q3404" s="8">
        <f t="shared" si="268"/>
        <v>286</v>
      </c>
      <c r="R3404" s="2" t="s">
        <v>50</v>
      </c>
      <c r="S3404" s="24">
        <f t="shared" si="269"/>
        <v>0.05</v>
      </c>
    </row>
    <row r="3405" spans="1:19" x14ac:dyDescent="0.25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>VLOOKUP(F3405,'Customer Info'!$A:$B,2,0)</f>
        <v>Brian</v>
      </c>
      <c r="H3405" s="6" t="str">
        <f>VLOOKUP(F3405,'Customer Info'!$A$1:$C$501,3,0)</f>
        <v>Dahlen</v>
      </c>
      <c r="I3405" s="6" t="str">
        <f>VLOOKUP(F3405,Customer,5,0)</f>
        <v>Shantou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8">
        <f t="shared" si="267"/>
        <v>12629</v>
      </c>
      <c r="Q3405" s="8">
        <f t="shared" si="268"/>
        <v>480</v>
      </c>
      <c r="R3405" s="2" t="s">
        <v>50</v>
      </c>
      <c r="S3405" s="24">
        <f t="shared" si="269"/>
        <v>0.05</v>
      </c>
    </row>
    <row r="3406" spans="1:19" x14ac:dyDescent="0.25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>VLOOKUP(F3406,'Customer Info'!$A:$B,2,0)</f>
        <v>Jim</v>
      </c>
      <c r="H3406" s="6" t="str">
        <f>VLOOKUP(F3406,'Customer Info'!$A$1:$C$501,3,0)</f>
        <v>Karlsson</v>
      </c>
      <c r="I3406" s="6" t="str">
        <f>VLOOKUP(F3406,Customer,5,0)</f>
        <v>Geelong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8">
        <f t="shared" si="267"/>
        <v>3852</v>
      </c>
      <c r="Q3406" s="8">
        <f t="shared" si="268"/>
        <v>402</v>
      </c>
      <c r="R3406" s="2" t="s">
        <v>28</v>
      </c>
      <c r="S3406" s="24">
        <f t="shared" si="269"/>
        <v>0.02</v>
      </c>
    </row>
    <row r="3407" spans="1:19" x14ac:dyDescent="0.25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>VLOOKUP(F3407,'Customer Info'!$A:$B,2,0)</f>
        <v>Justin</v>
      </c>
      <c r="H3407" s="6" t="str">
        <f>VLOOKUP(F3407,'Customer Info'!$A$1:$C$501,3,0)</f>
        <v>Hirsh</v>
      </c>
      <c r="I3407" s="6" t="str">
        <f>VLOOKUP(F3407,Customer,5,0)</f>
        <v>Shangzhi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8">
        <f t="shared" si="267"/>
        <v>606</v>
      </c>
      <c r="Q3407" s="8">
        <f t="shared" si="268"/>
        <v>48</v>
      </c>
      <c r="R3407" s="2" t="s">
        <v>50</v>
      </c>
      <c r="S3407" s="24">
        <f t="shared" si="269"/>
        <v>0.02</v>
      </c>
    </row>
    <row r="3408" spans="1:19" x14ac:dyDescent="0.25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>VLOOKUP(F3408,'Customer Info'!$A:$B,2,0)</f>
        <v>Monica</v>
      </c>
      <c r="H3408" s="6" t="str">
        <f>VLOOKUP(F3408,'Customer Info'!$A$1:$C$501,3,0)</f>
        <v>Federle</v>
      </c>
      <c r="I3408" s="6" t="str">
        <f>VLOOKUP(F3408,Customer,5,0)</f>
        <v>Lismore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2277</v>
      </c>
      <c r="O3408" s="2">
        <v>84</v>
      </c>
      <c r="P3408" s="8">
        <f t="shared" si="267"/>
        <v>2361</v>
      </c>
      <c r="Q3408" s="8">
        <f t="shared" si="268"/>
        <v>168</v>
      </c>
      <c r="R3408" s="2" t="s">
        <v>28</v>
      </c>
      <c r="S3408" s="24">
        <f t="shared" si="269"/>
        <v>0.02</v>
      </c>
    </row>
    <row r="3409" spans="1:19" x14ac:dyDescent="0.25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>VLOOKUP(F3409,'Customer Info'!$A:$B,2,0)</f>
        <v>Natalie</v>
      </c>
      <c r="H3409" s="6" t="str">
        <f>VLOOKUP(F3409,'Customer Info'!$A$1:$C$501,3,0)</f>
        <v>Webber</v>
      </c>
      <c r="I3409" s="6" t="str">
        <f>VLOOKUP(F3409,Customer,5,0)</f>
        <v>Ningbo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5163</v>
      </c>
      <c r="O3409" s="2">
        <v>21</v>
      </c>
      <c r="P3409" s="8">
        <f t="shared" si="267"/>
        <v>5184</v>
      </c>
      <c r="Q3409" s="8">
        <f t="shared" si="268"/>
        <v>243</v>
      </c>
      <c r="R3409" s="2" t="s">
        <v>28</v>
      </c>
      <c r="S3409" s="24">
        <f t="shared" si="269"/>
        <v>0.05</v>
      </c>
    </row>
    <row r="3410" spans="1:19" x14ac:dyDescent="0.25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>VLOOKUP(F3410,'Customer Info'!$A:$B,2,0)</f>
        <v>Corey</v>
      </c>
      <c r="H3410" s="6" t="str">
        <f>VLOOKUP(F3410,'Customer Info'!$A$1:$C$501,3,0)</f>
        <v>Lock</v>
      </c>
      <c r="I3410" s="6" t="str">
        <f>VLOOKUP(F3410,Customer,5,0)</f>
        <v>Geelong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1545</v>
      </c>
      <c r="O3410" s="2">
        <v>55</v>
      </c>
      <c r="P3410" s="8">
        <f t="shared" si="267"/>
        <v>1600</v>
      </c>
      <c r="Q3410" s="8">
        <f t="shared" si="268"/>
        <v>59</v>
      </c>
      <c r="R3410" s="2" t="s">
        <v>28</v>
      </c>
      <c r="S3410" s="24">
        <f t="shared" si="269"/>
        <v>0.02</v>
      </c>
    </row>
    <row r="3411" spans="1:19" x14ac:dyDescent="0.25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>VLOOKUP(F3411,'Customer Info'!$A:$B,2,0)</f>
        <v>Jeremy</v>
      </c>
      <c r="H3411" s="6" t="str">
        <f>VLOOKUP(F3411,'Customer Info'!$A$1:$C$501,3,0)</f>
        <v>Ellison</v>
      </c>
      <c r="I3411" s="6" t="str">
        <f>VLOOKUP(F3411,Customer,5,0)</f>
        <v>Jammu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250</v>
      </c>
      <c r="O3411" s="2">
        <v>30</v>
      </c>
      <c r="P3411" s="8">
        <f t="shared" si="267"/>
        <v>280</v>
      </c>
      <c r="Q3411" s="8">
        <f t="shared" si="268"/>
        <v>24</v>
      </c>
      <c r="R3411" s="2" t="s">
        <v>50</v>
      </c>
      <c r="S3411" s="24">
        <f t="shared" si="269"/>
        <v>0.02</v>
      </c>
    </row>
    <row r="3412" spans="1:19" x14ac:dyDescent="0.25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>VLOOKUP(F3412,'Customer Info'!$A:$B,2,0)</f>
        <v>Ruben</v>
      </c>
      <c r="H3412" s="6" t="str">
        <f>VLOOKUP(F3412,'Customer Info'!$A$1:$C$501,3,0)</f>
        <v>Ausman</v>
      </c>
      <c r="I3412" s="6" t="str">
        <f>VLOOKUP(F3412,Customer,5,0)</f>
        <v>Sonneberg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8026</v>
      </c>
      <c r="O3412" s="2">
        <v>89</v>
      </c>
      <c r="P3412" s="8">
        <f t="shared" si="267"/>
        <v>8115</v>
      </c>
      <c r="Q3412" s="8">
        <f t="shared" si="268"/>
        <v>454</v>
      </c>
      <c r="R3412" s="2" t="s">
        <v>50</v>
      </c>
      <c r="S3412" s="24">
        <f t="shared" si="269"/>
        <v>0.05</v>
      </c>
    </row>
    <row r="3413" spans="1:19" x14ac:dyDescent="0.25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>VLOOKUP(F3413,'Customer Info'!$A:$B,2,0)</f>
        <v>Toby</v>
      </c>
      <c r="H3413" s="6" t="str">
        <f>VLOOKUP(F3413,'Customer Info'!$A$1:$C$501,3,0)</f>
        <v>Carlisle</v>
      </c>
      <c r="I3413" s="6" t="str">
        <f>VLOOKUP(F3413,Customer,5,0)</f>
        <v>Depok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19443</v>
      </c>
      <c r="O3413" s="2">
        <v>26</v>
      </c>
      <c r="P3413" s="8">
        <f t="shared" si="267"/>
        <v>19469</v>
      </c>
      <c r="Q3413" s="8">
        <f t="shared" si="268"/>
        <v>1791</v>
      </c>
      <c r="R3413" s="2" t="s">
        <v>28</v>
      </c>
      <c r="S3413" s="24">
        <f t="shared" si="269"/>
        <v>0.05</v>
      </c>
    </row>
    <row r="3414" spans="1:19" x14ac:dyDescent="0.25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>VLOOKUP(F3414,'Customer Info'!$A:$B,2,0)</f>
        <v>Logan</v>
      </c>
      <c r="H3414" s="6" t="str">
        <f>VLOOKUP(F3414,'Customer Info'!$A$1:$C$501,3,0)</f>
        <v>Currie</v>
      </c>
      <c r="I3414" s="6" t="str">
        <f>VLOOKUP(F3414,Customer,5,0)</f>
        <v>Anshan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61</v>
      </c>
      <c r="O3414" s="2">
        <v>10</v>
      </c>
      <c r="P3414" s="8">
        <f t="shared" si="267"/>
        <v>71</v>
      </c>
      <c r="Q3414" s="8">
        <f t="shared" si="268"/>
        <v>4</v>
      </c>
      <c r="R3414" s="2" t="s">
        <v>28</v>
      </c>
      <c r="S3414" s="24">
        <f t="shared" si="269"/>
        <v>0.02</v>
      </c>
    </row>
    <row r="3415" spans="1:19" x14ac:dyDescent="0.25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>VLOOKUP(F3415,'Customer Info'!$A:$B,2,0)</f>
        <v>Sarah</v>
      </c>
      <c r="H3415" s="6" t="str">
        <f>VLOOKUP(F3415,'Customer Info'!$A$1:$C$501,3,0)</f>
        <v>Foster</v>
      </c>
      <c r="I3415" s="6" t="str">
        <f>VLOOKUP(F3415,Customer,5,0)</f>
        <v>Harbin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1482</v>
      </c>
      <c r="O3415" s="2">
        <v>25</v>
      </c>
      <c r="P3415" s="8">
        <f t="shared" si="267"/>
        <v>1507</v>
      </c>
      <c r="Q3415" s="8">
        <f t="shared" si="268"/>
        <v>29</v>
      </c>
      <c r="R3415" s="2" t="s">
        <v>28</v>
      </c>
      <c r="S3415" s="24">
        <f t="shared" si="269"/>
        <v>0.02</v>
      </c>
    </row>
    <row r="3416" spans="1:19" x14ac:dyDescent="0.25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>VLOOKUP(F3416,'Customer Info'!$A:$B,2,0)</f>
        <v>Peter</v>
      </c>
      <c r="H3416" s="6" t="str">
        <f>VLOOKUP(F3416,'Customer Info'!$A$1:$C$501,3,0)</f>
        <v>BŸhler</v>
      </c>
      <c r="I3416" s="6" t="str">
        <f>VLOOKUP(F3416,Customer,5,0)</f>
        <v>Wolfsburg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4456</v>
      </c>
      <c r="O3416" s="2">
        <v>48</v>
      </c>
      <c r="P3416" s="8">
        <f t="shared" si="267"/>
        <v>4504</v>
      </c>
      <c r="Q3416" s="8">
        <f t="shared" si="268"/>
        <v>170</v>
      </c>
      <c r="R3416" s="2" t="s">
        <v>28</v>
      </c>
      <c r="S3416" s="24">
        <f t="shared" si="269"/>
        <v>0.02</v>
      </c>
    </row>
    <row r="3417" spans="1:19" x14ac:dyDescent="0.25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>VLOOKUP(F3417,'Customer Info'!$A:$B,2,0)</f>
        <v>Tim</v>
      </c>
      <c r="H3417" s="6" t="str">
        <f>VLOOKUP(F3417,'Customer Info'!$A$1:$C$501,3,0)</f>
        <v>Brockman</v>
      </c>
      <c r="I3417" s="6" t="str">
        <f>VLOOKUP(F3417,Customer,5,0)</f>
        <v>Toowoomba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5432</v>
      </c>
      <c r="O3417" s="2">
        <v>39</v>
      </c>
      <c r="P3417" s="8">
        <f t="shared" si="267"/>
        <v>5471</v>
      </c>
      <c r="Q3417" s="8">
        <f t="shared" si="268"/>
        <v>352</v>
      </c>
      <c r="R3417" s="2" t="s">
        <v>28</v>
      </c>
      <c r="S3417" s="24">
        <f t="shared" si="269"/>
        <v>0.05</v>
      </c>
    </row>
    <row r="3418" spans="1:19" x14ac:dyDescent="0.25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>VLOOKUP(F3418,'Customer Info'!$A:$B,2,0)</f>
        <v>Alejandro</v>
      </c>
      <c r="H3418" s="6" t="str">
        <f>VLOOKUP(F3418,'Customer Info'!$A$1:$C$501,3,0)</f>
        <v>Ballentine</v>
      </c>
      <c r="I3418" s="6" t="str">
        <f>VLOOKUP(F3418,Customer,5,0)</f>
        <v>Mannheim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143</v>
      </c>
      <c r="O3418" s="2">
        <v>30</v>
      </c>
      <c r="P3418" s="8">
        <f t="shared" si="267"/>
        <v>173</v>
      </c>
      <c r="Q3418" s="8">
        <f t="shared" si="268"/>
        <v>6</v>
      </c>
      <c r="R3418" s="2" t="s">
        <v>50</v>
      </c>
      <c r="S3418" s="24">
        <f t="shared" si="269"/>
        <v>0.02</v>
      </c>
    </row>
    <row r="3419" spans="1:19" x14ac:dyDescent="0.25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>VLOOKUP(F3419,'Customer Info'!$A:$B,2,0)</f>
        <v>Dorothy</v>
      </c>
      <c r="H3419" s="6" t="str">
        <f>VLOOKUP(F3419,'Customer Info'!$A$1:$C$501,3,0)</f>
        <v>Badders</v>
      </c>
      <c r="I3419" s="6" t="str">
        <f>VLOOKUP(F3419,Customer,5,0)</f>
        <v>Nanning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1700</v>
      </c>
      <c r="O3419" s="2">
        <v>94</v>
      </c>
      <c r="P3419" s="8">
        <f t="shared" si="267"/>
        <v>1794</v>
      </c>
      <c r="Q3419" s="8">
        <f t="shared" si="268"/>
        <v>80</v>
      </c>
      <c r="R3419" s="2" t="s">
        <v>50</v>
      </c>
      <c r="S3419" s="24">
        <f t="shared" si="269"/>
        <v>0.02</v>
      </c>
    </row>
    <row r="3420" spans="1:19" x14ac:dyDescent="0.25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>VLOOKUP(F3420,'Customer Info'!$A:$B,2,0)</f>
        <v>Sung</v>
      </c>
      <c r="H3420" s="6" t="str">
        <f>VLOOKUP(F3420,'Customer Info'!$A$1:$C$501,3,0)</f>
        <v>Pak</v>
      </c>
      <c r="I3420" s="6" t="str">
        <f>VLOOKUP(F3420,Customer,5,0)</f>
        <v>Chaozhou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282</v>
      </c>
      <c r="O3420" s="2">
        <v>30</v>
      </c>
      <c r="P3420" s="8">
        <f t="shared" si="267"/>
        <v>312</v>
      </c>
      <c r="Q3420" s="8">
        <f t="shared" si="268"/>
        <v>20</v>
      </c>
      <c r="R3420" s="2" t="s">
        <v>28</v>
      </c>
      <c r="S3420" s="24">
        <f t="shared" si="269"/>
        <v>0.02</v>
      </c>
    </row>
    <row r="3421" spans="1:19" x14ac:dyDescent="0.25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>VLOOKUP(F3421,'Customer Info'!$A:$B,2,0)</f>
        <v>Craig</v>
      </c>
      <c r="H3421" s="6" t="str">
        <f>VLOOKUP(F3421,'Customer Info'!$A$1:$C$501,3,0)</f>
        <v>Carroll</v>
      </c>
      <c r="I3421" s="6" t="str">
        <f>VLOOKUP(F3421,Customer,5,0)</f>
        <v>Suzhou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2481</v>
      </c>
      <c r="O3421" s="2">
        <v>75</v>
      </c>
      <c r="P3421" s="8">
        <f t="shared" si="267"/>
        <v>2556</v>
      </c>
      <c r="Q3421" s="8">
        <f t="shared" si="268"/>
        <v>117</v>
      </c>
      <c r="R3421" s="2" t="s">
        <v>28</v>
      </c>
      <c r="S3421" s="24">
        <f t="shared" si="269"/>
        <v>0.02</v>
      </c>
    </row>
    <row r="3422" spans="1:19" x14ac:dyDescent="0.25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>VLOOKUP(F3422,'Customer Info'!$A:$B,2,0)</f>
        <v>Neil</v>
      </c>
      <c r="H3422" s="6" t="str">
        <f>VLOOKUP(F3422,'Customer Info'!$A$1:$C$501,3,0)</f>
        <v>Knudson</v>
      </c>
      <c r="I3422" s="6" t="str">
        <f>VLOOKUP(F3422,Customer,5,0)</f>
        <v>Malang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42475</v>
      </c>
      <c r="O3422" s="2">
        <v>65</v>
      </c>
      <c r="P3422" s="8">
        <f t="shared" si="267"/>
        <v>42540</v>
      </c>
      <c r="Q3422" s="8">
        <f t="shared" si="268"/>
        <v>4240</v>
      </c>
      <c r="R3422" s="2" t="s">
        <v>28</v>
      </c>
      <c r="S3422" s="24">
        <f t="shared" si="269"/>
        <v>7.0000000000000007E-2</v>
      </c>
    </row>
    <row r="3423" spans="1:19" x14ac:dyDescent="0.25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>VLOOKUP(F3423,'Customer Info'!$A:$B,2,0)</f>
        <v>Ted</v>
      </c>
      <c r="H3423" s="6" t="str">
        <f>VLOOKUP(F3423,'Customer Info'!$A$1:$C$501,3,0)</f>
        <v>Trevino</v>
      </c>
      <c r="I3423" s="6" t="str">
        <f>VLOOKUP(F3423,Customer,5,0)</f>
        <v>Bendigo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2338</v>
      </c>
      <c r="O3423" s="2">
        <v>52</v>
      </c>
      <c r="P3423" s="8">
        <f t="shared" si="267"/>
        <v>2390</v>
      </c>
      <c r="Q3423" s="8">
        <f t="shared" si="268"/>
        <v>194</v>
      </c>
      <c r="R3423" s="2" t="s">
        <v>26</v>
      </c>
      <c r="S3423" s="24">
        <f t="shared" si="269"/>
        <v>0.02</v>
      </c>
    </row>
    <row r="3424" spans="1:19" x14ac:dyDescent="0.25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>VLOOKUP(F3424,'Customer Info'!$A:$B,2,0)</f>
        <v>Bradley</v>
      </c>
      <c r="H3424" s="6" t="str">
        <f>VLOOKUP(F3424,'Customer Info'!$A$1:$C$501,3,0)</f>
        <v>Nguyen</v>
      </c>
      <c r="I3424" s="6" t="str">
        <f>VLOOKUP(F3424,Customer,5,0)</f>
        <v>Shenzhen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1416</v>
      </c>
      <c r="O3424" s="2">
        <v>26</v>
      </c>
      <c r="P3424" s="8">
        <f t="shared" si="267"/>
        <v>1442</v>
      </c>
      <c r="Q3424" s="8">
        <f t="shared" si="268"/>
        <v>120</v>
      </c>
      <c r="R3424" s="2" t="s">
        <v>56</v>
      </c>
      <c r="S3424" s="24">
        <f t="shared" si="269"/>
        <v>0.02</v>
      </c>
    </row>
    <row r="3425" spans="1:19" x14ac:dyDescent="0.25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>VLOOKUP(F3425,'Customer Info'!$A:$B,2,0)</f>
        <v>Sung</v>
      </c>
      <c r="H3425" s="6" t="str">
        <f>VLOOKUP(F3425,'Customer Info'!$A$1:$C$501,3,0)</f>
        <v>Shariari</v>
      </c>
      <c r="I3425" s="6" t="str">
        <f>VLOOKUP(F3425,Customer,5,0)</f>
        <v>Solapur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3030</v>
      </c>
      <c r="O3425" s="2">
        <v>32</v>
      </c>
      <c r="P3425" s="8">
        <f t="shared" si="267"/>
        <v>3062</v>
      </c>
      <c r="Q3425" s="8">
        <f t="shared" si="268"/>
        <v>252</v>
      </c>
      <c r="R3425" s="2" t="s">
        <v>28</v>
      </c>
      <c r="S3425" s="24">
        <f t="shared" si="269"/>
        <v>0.02</v>
      </c>
    </row>
    <row r="3426" spans="1:19" x14ac:dyDescent="0.25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>VLOOKUP(F3426,'Customer Info'!$A:$B,2,0)</f>
        <v>Mitch</v>
      </c>
      <c r="H3426" s="6" t="str">
        <f>VLOOKUP(F3426,'Customer Info'!$A$1:$C$501,3,0)</f>
        <v>Willingham</v>
      </c>
      <c r="I3426" s="6" t="str">
        <f>VLOOKUP(F3426,Customer,5,0)</f>
        <v>Berlin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11355</v>
      </c>
      <c r="O3426" s="2">
        <v>75</v>
      </c>
      <c r="P3426" s="8">
        <f t="shared" si="267"/>
        <v>11430</v>
      </c>
      <c r="Q3426" s="8">
        <f t="shared" si="268"/>
        <v>635</v>
      </c>
      <c r="R3426" s="2" t="s">
        <v>50</v>
      </c>
      <c r="S3426" s="24">
        <f t="shared" si="269"/>
        <v>0.05</v>
      </c>
    </row>
    <row r="3427" spans="1:19" x14ac:dyDescent="0.25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>VLOOKUP(F3427,'Customer Info'!$A:$B,2,0)</f>
        <v>Robert</v>
      </c>
      <c r="H3427" s="6" t="str">
        <f>VLOOKUP(F3427,'Customer Info'!$A$1:$C$501,3,0)</f>
        <v>Dilbeck</v>
      </c>
      <c r="I3427" s="6" t="str">
        <f>VLOOKUP(F3427,Customer,5,0)</f>
        <v>Melton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370</v>
      </c>
      <c r="O3427" s="2">
        <v>30</v>
      </c>
      <c r="P3427" s="8">
        <f t="shared" si="267"/>
        <v>400</v>
      </c>
      <c r="Q3427" s="8">
        <f t="shared" si="268"/>
        <v>28</v>
      </c>
      <c r="R3427" s="2" t="s">
        <v>50</v>
      </c>
      <c r="S3427" s="24">
        <f t="shared" si="269"/>
        <v>0.02</v>
      </c>
    </row>
    <row r="3428" spans="1:19" x14ac:dyDescent="0.25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>VLOOKUP(F3428,'Customer Info'!$A:$B,2,0)</f>
        <v>Monica</v>
      </c>
      <c r="H3428" s="6" t="str">
        <f>VLOOKUP(F3428,'Customer Info'!$A$1:$C$501,3,0)</f>
        <v>Federle</v>
      </c>
      <c r="I3428" s="6" t="str">
        <f>VLOOKUP(F3428,Customer,5,0)</f>
        <v>Lismore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17504</v>
      </c>
      <c r="O3428" s="2">
        <v>50</v>
      </c>
      <c r="P3428" s="8">
        <f t="shared" si="267"/>
        <v>17554</v>
      </c>
      <c r="Q3428" s="8">
        <f t="shared" si="268"/>
        <v>1750</v>
      </c>
      <c r="R3428" s="2" t="s">
        <v>50</v>
      </c>
      <c r="S3428" s="24">
        <f t="shared" si="269"/>
        <v>0.05</v>
      </c>
    </row>
    <row r="3429" spans="1:19" x14ac:dyDescent="0.25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>VLOOKUP(F3429,'Customer Info'!$A:$B,2,0)</f>
        <v>Tracy</v>
      </c>
      <c r="H3429" s="6" t="str">
        <f>VLOOKUP(F3429,'Customer Info'!$A$1:$C$501,3,0)</f>
        <v>Blumstein</v>
      </c>
      <c r="I3429" s="6" t="str">
        <f>VLOOKUP(F3429,Customer,5,0)</f>
        <v>Guangzhou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55382</v>
      </c>
      <c r="O3429" s="2">
        <v>39</v>
      </c>
      <c r="P3429" s="8">
        <f t="shared" si="267"/>
        <v>55421</v>
      </c>
      <c r="Q3429" s="8">
        <f t="shared" si="268"/>
        <v>4150</v>
      </c>
      <c r="R3429" s="2" t="s">
        <v>28</v>
      </c>
      <c r="S3429" s="24">
        <f t="shared" si="269"/>
        <v>0.09</v>
      </c>
    </row>
    <row r="3430" spans="1:19" x14ac:dyDescent="0.25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>VLOOKUP(F3430,'Customer Info'!$A:$B,2,0)</f>
        <v>Craig</v>
      </c>
      <c r="H3430" s="6" t="str">
        <f>VLOOKUP(F3430,'Customer Info'!$A$1:$C$501,3,0)</f>
        <v>Carreira</v>
      </c>
      <c r="I3430" s="6" t="str">
        <f>VLOOKUP(F3430,Customer,5,0)</f>
        <v>Worms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96</v>
      </c>
      <c r="O3430" s="2">
        <v>10</v>
      </c>
      <c r="P3430" s="8">
        <f t="shared" si="267"/>
        <v>106</v>
      </c>
      <c r="Q3430" s="8">
        <f t="shared" si="268"/>
        <v>9</v>
      </c>
      <c r="R3430" s="2" t="s">
        <v>50</v>
      </c>
      <c r="S3430" s="24">
        <f t="shared" si="269"/>
        <v>0.02</v>
      </c>
    </row>
    <row r="3431" spans="1:19" x14ac:dyDescent="0.25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>VLOOKUP(F3431,'Customer Info'!$A:$B,2,0)</f>
        <v>Cyra</v>
      </c>
      <c r="H3431" s="6" t="str">
        <f>VLOOKUP(F3431,'Customer Info'!$A$1:$C$501,3,0)</f>
        <v>Reiten</v>
      </c>
      <c r="I3431" s="6" t="str">
        <f>VLOOKUP(F3431,Customer,5,0)</f>
        <v>Srinagar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7640</v>
      </c>
      <c r="O3431" s="2">
        <v>98</v>
      </c>
      <c r="P3431" s="8">
        <f t="shared" si="267"/>
        <v>7738</v>
      </c>
      <c r="Q3431" s="8">
        <f t="shared" si="268"/>
        <v>900</v>
      </c>
      <c r="R3431" s="2" t="s">
        <v>28</v>
      </c>
      <c r="S3431" s="24">
        <f t="shared" si="269"/>
        <v>0.05</v>
      </c>
    </row>
    <row r="3432" spans="1:19" x14ac:dyDescent="0.25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>VLOOKUP(F3432,'Customer Info'!$A:$B,2,0)</f>
        <v>Vivek</v>
      </c>
      <c r="H3432" s="6" t="str">
        <f>VLOOKUP(F3432,'Customer Info'!$A$1:$C$501,3,0)</f>
        <v>Sundaresam</v>
      </c>
      <c r="I3432" s="6" t="str">
        <f>VLOOKUP(F3432,Customer,5,0)</f>
        <v>Hamburg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340</v>
      </c>
      <c r="O3432" s="2">
        <v>30</v>
      </c>
      <c r="P3432" s="8">
        <f t="shared" si="267"/>
        <v>370</v>
      </c>
      <c r="Q3432" s="8">
        <f t="shared" si="268"/>
        <v>34</v>
      </c>
      <c r="R3432" s="2" t="s">
        <v>28</v>
      </c>
      <c r="S3432" s="24">
        <f t="shared" si="269"/>
        <v>0.02</v>
      </c>
    </row>
    <row r="3433" spans="1:19" x14ac:dyDescent="0.25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>VLOOKUP(F3433,'Customer Info'!$A:$B,2,0)</f>
        <v>Mitch</v>
      </c>
      <c r="H3433" s="6" t="str">
        <f>VLOOKUP(F3433,'Customer Info'!$A$1:$C$501,3,0)</f>
        <v>Willingham</v>
      </c>
      <c r="I3433" s="6" t="str">
        <f>VLOOKUP(F3433,Customer,5,0)</f>
        <v>Berlin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23764</v>
      </c>
      <c r="O3433" s="2">
        <v>51</v>
      </c>
      <c r="P3433" s="8">
        <f t="shared" si="267"/>
        <v>23815</v>
      </c>
      <c r="Q3433" s="8">
        <f t="shared" si="268"/>
        <v>456</v>
      </c>
      <c r="R3433" s="2" t="s">
        <v>50</v>
      </c>
      <c r="S3433" s="24">
        <f t="shared" si="269"/>
        <v>0.05</v>
      </c>
    </row>
    <row r="3434" spans="1:19" x14ac:dyDescent="0.25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>VLOOKUP(F3434,'Customer Info'!$A:$B,2,0)</f>
        <v>Alan</v>
      </c>
      <c r="H3434" s="6" t="str">
        <f>VLOOKUP(F3434,'Customer Info'!$A$1:$C$501,3,0)</f>
        <v>Shonely</v>
      </c>
      <c r="I3434" s="6" t="str">
        <f>VLOOKUP(F3434,Customer,5,0)</f>
        <v>Canberra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17244</v>
      </c>
      <c r="O3434" s="2">
        <v>56</v>
      </c>
      <c r="P3434" s="8">
        <f t="shared" si="267"/>
        <v>17300</v>
      </c>
      <c r="Q3434" s="8">
        <f t="shared" si="268"/>
        <v>1746</v>
      </c>
      <c r="R3434" s="2" t="s">
        <v>28</v>
      </c>
      <c r="S3434" s="24">
        <f t="shared" si="269"/>
        <v>0.05</v>
      </c>
    </row>
    <row r="3435" spans="1:19" x14ac:dyDescent="0.25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>VLOOKUP(F3435,'Customer Info'!$A:$B,2,0)</f>
        <v>Shirley</v>
      </c>
      <c r="H3435" s="6" t="str">
        <f>VLOOKUP(F3435,'Customer Info'!$A$1:$C$501,3,0)</f>
        <v>Schmidt</v>
      </c>
      <c r="I3435" s="6" t="str">
        <f>VLOOKUP(F3435,Customer,5,0)</f>
        <v>Bijapur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6747</v>
      </c>
      <c r="O3435" s="2">
        <v>30</v>
      </c>
      <c r="P3435" s="8">
        <f t="shared" si="267"/>
        <v>6777</v>
      </c>
      <c r="Q3435" s="8">
        <f t="shared" si="268"/>
        <v>441</v>
      </c>
      <c r="R3435" s="2" t="s">
        <v>50</v>
      </c>
      <c r="S3435" s="24">
        <f t="shared" si="269"/>
        <v>0.05</v>
      </c>
    </row>
    <row r="3436" spans="1:19" x14ac:dyDescent="0.25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>VLOOKUP(F3436,'Customer Info'!$A:$B,2,0)</f>
        <v>Delfina</v>
      </c>
      <c r="H3436" s="6" t="str">
        <f>VLOOKUP(F3436,'Customer Info'!$A$1:$C$501,3,0)</f>
        <v>Latchford</v>
      </c>
      <c r="I3436" s="6" t="str">
        <f>VLOOKUP(F3436,Customer,5,0)</f>
        <v>Yogyakarta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2310</v>
      </c>
      <c r="O3436" s="2">
        <v>48</v>
      </c>
      <c r="P3436" s="8">
        <f t="shared" si="267"/>
        <v>2358</v>
      </c>
      <c r="Q3436" s="8">
        <f t="shared" si="268"/>
        <v>270</v>
      </c>
      <c r="R3436" s="2" t="s">
        <v>28</v>
      </c>
      <c r="S3436" s="24">
        <f t="shared" si="269"/>
        <v>0.02</v>
      </c>
    </row>
    <row r="3437" spans="1:19" x14ac:dyDescent="0.25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>VLOOKUP(F3437,'Customer Info'!$A:$B,2,0)</f>
        <v>Annie</v>
      </c>
      <c r="H3437" s="6" t="str">
        <f>VLOOKUP(F3437,'Customer Info'!$A$1:$C$501,3,0)</f>
        <v>Zypern</v>
      </c>
      <c r="I3437" s="6" t="str">
        <f>VLOOKUP(F3437,Customer,5,0)</f>
        <v>Brisbane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29016</v>
      </c>
      <c r="O3437" s="2">
        <v>74</v>
      </c>
      <c r="P3437" s="8">
        <f t="shared" si="267"/>
        <v>29090</v>
      </c>
      <c r="Q3437" s="8">
        <f t="shared" si="268"/>
        <v>2907</v>
      </c>
      <c r="R3437" s="2" t="s">
        <v>50</v>
      </c>
      <c r="S3437" s="24">
        <f t="shared" si="269"/>
        <v>7.0000000000000007E-2</v>
      </c>
    </row>
    <row r="3438" spans="1:19" x14ac:dyDescent="0.25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>VLOOKUP(F3438,'Customer Info'!$A:$B,2,0)</f>
        <v>Toby</v>
      </c>
      <c r="H3438" s="6" t="str">
        <f>VLOOKUP(F3438,'Customer Info'!$A$1:$C$501,3,0)</f>
        <v>Braunhardt</v>
      </c>
      <c r="I3438" s="6" t="str">
        <f>VLOOKUP(F3438,Customer,5,0)</f>
        <v>Jiangyan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1774</v>
      </c>
      <c r="O3438" s="2">
        <v>44</v>
      </c>
      <c r="P3438" s="8">
        <f t="shared" si="267"/>
        <v>1818</v>
      </c>
      <c r="Q3438" s="8">
        <f t="shared" si="268"/>
        <v>146</v>
      </c>
      <c r="R3438" s="2" t="s">
        <v>28</v>
      </c>
      <c r="S3438" s="24">
        <f t="shared" si="269"/>
        <v>0.02</v>
      </c>
    </row>
    <row r="3439" spans="1:19" x14ac:dyDescent="0.25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>VLOOKUP(F3439,'Customer Info'!$A:$B,2,0)</f>
        <v>Cynthia</v>
      </c>
      <c r="H3439" s="6" t="str">
        <f>VLOOKUP(F3439,'Customer Info'!$A$1:$C$501,3,0)</f>
        <v>Delaney</v>
      </c>
      <c r="I3439" s="6" t="str">
        <f>VLOOKUP(F3439,Customer,5,0)</f>
        <v>Gold Coast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17260</v>
      </c>
      <c r="O3439" s="2">
        <v>57</v>
      </c>
      <c r="P3439" s="8">
        <f t="shared" si="267"/>
        <v>17317</v>
      </c>
      <c r="Q3439" s="8">
        <f t="shared" si="268"/>
        <v>654</v>
      </c>
      <c r="R3439" s="2" t="s">
        <v>28</v>
      </c>
      <c r="S3439" s="24">
        <f t="shared" si="269"/>
        <v>0.05</v>
      </c>
    </row>
    <row r="3440" spans="1:19" x14ac:dyDescent="0.25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>VLOOKUP(F3440,'Customer Info'!$A:$B,2,0)</f>
        <v>Trudy</v>
      </c>
      <c r="H3440" s="6" t="str">
        <f>VLOOKUP(F3440,'Customer Info'!$A$1:$C$501,3,0)</f>
        <v>Glocke</v>
      </c>
      <c r="I3440" s="6" t="str">
        <f>VLOOKUP(F3440,Customer,5,0)</f>
        <v>Brisbane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1956</v>
      </c>
      <c r="O3440" s="2">
        <v>68</v>
      </c>
      <c r="P3440" s="8">
        <f t="shared" si="267"/>
        <v>2024</v>
      </c>
      <c r="Q3440" s="8">
        <f t="shared" si="268"/>
        <v>112</v>
      </c>
      <c r="R3440" s="2" t="s">
        <v>50</v>
      </c>
      <c r="S3440" s="24">
        <f t="shared" si="269"/>
        <v>0.02</v>
      </c>
    </row>
    <row r="3441" spans="1:19" x14ac:dyDescent="0.25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>VLOOKUP(F3441,'Customer Info'!$A:$B,2,0)</f>
        <v>Alex</v>
      </c>
      <c r="H3441" s="6" t="str">
        <f>VLOOKUP(F3441,'Customer Info'!$A$1:$C$501,3,0)</f>
        <v>Avila</v>
      </c>
      <c r="I3441" s="6" t="str">
        <f>VLOOKUP(F3441,Customer,5,0)</f>
        <v>Newcastle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4984</v>
      </c>
      <c r="O3441" s="2">
        <v>86</v>
      </c>
      <c r="P3441" s="8">
        <f t="shared" si="267"/>
        <v>5070</v>
      </c>
      <c r="Q3441" s="8">
        <f t="shared" si="268"/>
        <v>328</v>
      </c>
      <c r="R3441" s="2" t="s">
        <v>28</v>
      </c>
      <c r="S3441" s="24">
        <f t="shared" si="269"/>
        <v>0.02</v>
      </c>
    </row>
    <row r="3442" spans="1:19" x14ac:dyDescent="0.25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>VLOOKUP(F3442,'Customer Info'!$A:$B,2,0)</f>
        <v>Jack</v>
      </c>
      <c r="H3442" s="6" t="str">
        <f>VLOOKUP(F3442,'Customer Info'!$A$1:$C$501,3,0)</f>
        <v>Garza</v>
      </c>
      <c r="I3442" s="6" t="str">
        <f>VLOOKUP(F3442,Customer,5,0)</f>
        <v>Taiyuan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925</v>
      </c>
      <c r="O3442" s="2">
        <v>30</v>
      </c>
      <c r="P3442" s="8">
        <f t="shared" si="267"/>
        <v>955</v>
      </c>
      <c r="Q3442" s="8">
        <f t="shared" si="268"/>
        <v>55</v>
      </c>
      <c r="R3442" s="2" t="s">
        <v>50</v>
      </c>
      <c r="S3442" s="24">
        <f t="shared" si="269"/>
        <v>0.02</v>
      </c>
    </row>
    <row r="3443" spans="1:19" x14ac:dyDescent="0.25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>VLOOKUP(F3443,'Customer Info'!$A:$B,2,0)</f>
        <v>Carol</v>
      </c>
      <c r="H3443" s="6" t="str">
        <f>VLOOKUP(F3443,'Customer Info'!$A$1:$C$501,3,0)</f>
        <v>Triggs</v>
      </c>
      <c r="I3443" s="6" t="str">
        <f>VLOOKUP(F3443,Customer,5,0)</f>
        <v>Durgapur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6717</v>
      </c>
      <c r="O3443" s="2">
        <v>84</v>
      </c>
      <c r="P3443" s="8">
        <f t="shared" si="267"/>
        <v>6801</v>
      </c>
      <c r="Q3443" s="8">
        <f t="shared" si="268"/>
        <v>429</v>
      </c>
      <c r="R3443" s="2" t="s">
        <v>28</v>
      </c>
      <c r="S3443" s="24">
        <f t="shared" si="269"/>
        <v>0.05</v>
      </c>
    </row>
    <row r="3444" spans="1:19" x14ac:dyDescent="0.25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>VLOOKUP(F3444,'Customer Info'!$A:$B,2,0)</f>
        <v>Trudy</v>
      </c>
      <c r="H3444" s="6" t="str">
        <f>VLOOKUP(F3444,'Customer Info'!$A$1:$C$501,3,0)</f>
        <v>Glocke</v>
      </c>
      <c r="I3444" s="6" t="str">
        <f>VLOOKUP(F3444,Customer,5,0)</f>
        <v>Huaiyin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338</v>
      </c>
      <c r="O3444" s="2">
        <v>30</v>
      </c>
      <c r="P3444" s="8">
        <f t="shared" si="267"/>
        <v>368</v>
      </c>
      <c r="Q3444" s="8">
        <f t="shared" si="268"/>
        <v>30</v>
      </c>
      <c r="R3444" s="2" t="s">
        <v>28</v>
      </c>
      <c r="S3444" s="24">
        <f t="shared" si="269"/>
        <v>0.02</v>
      </c>
    </row>
    <row r="3445" spans="1:19" x14ac:dyDescent="0.25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>VLOOKUP(F3445,'Customer Info'!$A:$B,2,0)</f>
        <v>Fred</v>
      </c>
      <c r="H3445" s="6" t="str">
        <f>VLOOKUP(F3445,'Customer Info'!$A$1:$C$501,3,0)</f>
        <v>Hopkins</v>
      </c>
      <c r="I3445" s="6" t="str">
        <f>VLOOKUP(F3445,Customer,5,0)</f>
        <v>Sydney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9576</v>
      </c>
      <c r="O3445" s="2">
        <v>72</v>
      </c>
      <c r="P3445" s="8">
        <f t="shared" si="267"/>
        <v>9648</v>
      </c>
      <c r="Q3445" s="8">
        <f t="shared" si="268"/>
        <v>543</v>
      </c>
      <c r="R3445" s="2" t="s">
        <v>28</v>
      </c>
      <c r="S3445" s="24">
        <f t="shared" si="269"/>
        <v>0.05</v>
      </c>
    </row>
    <row r="3446" spans="1:19" x14ac:dyDescent="0.25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>VLOOKUP(F3446,'Customer Info'!$A:$B,2,0)</f>
        <v>Philip</v>
      </c>
      <c r="H3446" s="6" t="str">
        <f>VLOOKUP(F3446,'Customer Info'!$A$1:$C$501,3,0)</f>
        <v>Fox</v>
      </c>
      <c r="I3446" s="6" t="str">
        <f>VLOOKUP(F3446,Customer,5,0)</f>
        <v>Mount Isa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1030</v>
      </c>
      <c r="O3446" s="2">
        <v>30</v>
      </c>
      <c r="P3446" s="8">
        <f t="shared" si="267"/>
        <v>1060</v>
      </c>
      <c r="Q3446" s="8">
        <f t="shared" si="268"/>
        <v>85</v>
      </c>
      <c r="R3446" s="2" t="s">
        <v>28</v>
      </c>
      <c r="S3446" s="24">
        <f t="shared" si="269"/>
        <v>0.02</v>
      </c>
    </row>
    <row r="3447" spans="1:19" x14ac:dyDescent="0.25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>VLOOKUP(F3447,'Customer Info'!$A:$B,2,0)</f>
        <v>Kelly</v>
      </c>
      <c r="H3447" s="6" t="str">
        <f>VLOOKUP(F3447,'Customer Info'!$A$1:$C$501,3,0)</f>
        <v>Williams</v>
      </c>
      <c r="I3447" s="6" t="str">
        <f>VLOOKUP(F3447,Customer,5,0)</f>
        <v>Palu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21063</v>
      </c>
      <c r="O3447" s="2">
        <v>64</v>
      </c>
      <c r="P3447" s="8">
        <f t="shared" si="267"/>
        <v>21127</v>
      </c>
      <c r="Q3447" s="8">
        <f t="shared" si="268"/>
        <v>1005</v>
      </c>
      <c r="R3447" s="2" t="s">
        <v>50</v>
      </c>
      <c r="S3447" s="24">
        <f t="shared" si="269"/>
        <v>0.05</v>
      </c>
    </row>
    <row r="3448" spans="1:19" x14ac:dyDescent="0.25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>VLOOKUP(F3448,'Customer Info'!$A:$B,2,0)</f>
        <v>Justin</v>
      </c>
      <c r="H3448" s="6" t="str">
        <f>VLOOKUP(F3448,'Customer Info'!$A$1:$C$501,3,0)</f>
        <v>Hirsh</v>
      </c>
      <c r="I3448" s="6" t="str">
        <f>VLOOKUP(F3448,Customer,5,0)</f>
        <v>Shangzhi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3963</v>
      </c>
      <c r="O3448" s="2">
        <v>21</v>
      </c>
      <c r="P3448" s="8">
        <f t="shared" si="267"/>
        <v>3984</v>
      </c>
      <c r="Q3448" s="8">
        <f t="shared" si="268"/>
        <v>330</v>
      </c>
      <c r="R3448" s="2" t="s">
        <v>28</v>
      </c>
      <c r="S3448" s="24">
        <f t="shared" si="269"/>
        <v>0.02</v>
      </c>
    </row>
    <row r="3449" spans="1:19" x14ac:dyDescent="0.25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>VLOOKUP(F3449,'Customer Info'!$A:$B,2,0)</f>
        <v>Tracy</v>
      </c>
      <c r="H3449" s="6" t="str">
        <f>VLOOKUP(F3449,'Customer Info'!$A$1:$C$501,3,0)</f>
        <v>Blumstein</v>
      </c>
      <c r="I3449" s="6" t="str">
        <f>VLOOKUP(F3449,Customer,5,0)</f>
        <v>Guangzhou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2700</v>
      </c>
      <c r="O3449" s="2">
        <v>28</v>
      </c>
      <c r="P3449" s="8">
        <f t="shared" si="267"/>
        <v>2728</v>
      </c>
      <c r="Q3449" s="8">
        <f t="shared" si="268"/>
        <v>198</v>
      </c>
      <c r="R3449" s="2" t="s">
        <v>28</v>
      </c>
      <c r="S3449" s="24">
        <f t="shared" si="269"/>
        <v>0.02</v>
      </c>
    </row>
    <row r="3450" spans="1:19" x14ac:dyDescent="0.25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>VLOOKUP(F3450,'Customer Info'!$A:$B,2,0)</f>
        <v>Ruben</v>
      </c>
      <c r="H3450" s="6" t="str">
        <f>VLOOKUP(F3450,'Customer Info'!$A$1:$C$501,3,0)</f>
        <v>Ausman</v>
      </c>
      <c r="I3450" s="6" t="str">
        <f>VLOOKUP(F3450,Customer,5,0)</f>
        <v>Sonneberg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13402</v>
      </c>
      <c r="O3450" s="2">
        <v>87</v>
      </c>
      <c r="P3450" s="8">
        <f t="shared" si="267"/>
        <v>13489</v>
      </c>
      <c r="Q3450" s="8">
        <f t="shared" si="268"/>
        <v>634</v>
      </c>
      <c r="R3450" s="2" t="s">
        <v>28</v>
      </c>
      <c r="S3450" s="24">
        <f t="shared" si="269"/>
        <v>0.05</v>
      </c>
    </row>
    <row r="3451" spans="1:19" x14ac:dyDescent="0.25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>VLOOKUP(F3451,'Customer Info'!$A:$B,2,0)</f>
        <v>Maribeth</v>
      </c>
      <c r="H3451" s="6" t="str">
        <f>VLOOKUP(F3451,'Customer Info'!$A$1:$C$501,3,0)</f>
        <v>Dona</v>
      </c>
      <c r="I3451" s="6" t="str">
        <f>VLOOKUP(F3451,Customer,5,0)</f>
        <v>Adelaide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20448</v>
      </c>
      <c r="O3451" s="2">
        <v>20</v>
      </c>
      <c r="P3451" s="8">
        <f t="shared" si="267"/>
        <v>20468</v>
      </c>
      <c r="Q3451" s="8">
        <f t="shared" si="268"/>
        <v>1158</v>
      </c>
      <c r="R3451" s="2" t="s">
        <v>26</v>
      </c>
      <c r="S3451" s="24">
        <f t="shared" si="269"/>
        <v>0.05</v>
      </c>
    </row>
    <row r="3452" spans="1:19" x14ac:dyDescent="0.25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>VLOOKUP(F3452,'Customer Info'!$A:$B,2,0)</f>
        <v>Michael</v>
      </c>
      <c r="H3452" s="6" t="str">
        <f>VLOOKUP(F3452,'Customer Info'!$A$1:$C$501,3,0)</f>
        <v>Granlund</v>
      </c>
      <c r="I3452" s="6" t="str">
        <f>VLOOKUP(F3452,Customer,5,0)</f>
        <v>Sydney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49212</v>
      </c>
      <c r="O3452" s="2">
        <v>48</v>
      </c>
      <c r="P3452" s="8">
        <f t="shared" si="267"/>
        <v>49260</v>
      </c>
      <c r="Q3452" s="8">
        <f t="shared" si="268"/>
        <v>3648</v>
      </c>
      <c r="R3452" s="2" t="s">
        <v>50</v>
      </c>
      <c r="S3452" s="24">
        <f t="shared" si="269"/>
        <v>7.0000000000000007E-2</v>
      </c>
    </row>
    <row r="3453" spans="1:19" x14ac:dyDescent="0.25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>VLOOKUP(F3453,'Customer Info'!$A:$B,2,0)</f>
        <v>Lisa</v>
      </c>
      <c r="H3453" s="6" t="str">
        <f>VLOOKUP(F3453,'Customer Info'!$A$1:$C$501,3,0)</f>
        <v>Ryan</v>
      </c>
      <c r="I3453" s="6" t="str">
        <f>VLOOKUP(F3453,Customer,5,0)</f>
        <v>Berlin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398</v>
      </c>
      <c r="O3453" s="2">
        <v>30</v>
      </c>
      <c r="P3453" s="8">
        <f t="shared" si="267"/>
        <v>428</v>
      </c>
      <c r="Q3453" s="8">
        <f t="shared" si="268"/>
        <v>46</v>
      </c>
      <c r="R3453" s="2" t="s">
        <v>28</v>
      </c>
      <c r="S3453" s="24">
        <f t="shared" si="269"/>
        <v>0.02</v>
      </c>
    </row>
    <row r="3454" spans="1:19" x14ac:dyDescent="0.25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>VLOOKUP(F3454,'Customer Info'!$A:$B,2,0)</f>
        <v>Jesus</v>
      </c>
      <c r="H3454" s="6" t="str">
        <f>VLOOKUP(F3454,'Customer Info'!$A$1:$C$501,3,0)</f>
        <v>Ocampo</v>
      </c>
      <c r="I3454" s="6" t="str">
        <f>VLOOKUP(F3454,Customer,5,0)</f>
        <v>Herten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19384</v>
      </c>
      <c r="O3454" s="2">
        <v>22</v>
      </c>
      <c r="P3454" s="8">
        <f t="shared" si="267"/>
        <v>19406</v>
      </c>
      <c r="Q3454" s="8">
        <f t="shared" si="268"/>
        <v>1416</v>
      </c>
      <c r="R3454" s="2" t="s">
        <v>50</v>
      </c>
      <c r="S3454" s="24">
        <f t="shared" si="269"/>
        <v>0.05</v>
      </c>
    </row>
    <row r="3455" spans="1:19" x14ac:dyDescent="0.25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>VLOOKUP(F3455,'Customer Info'!$A:$B,2,0)</f>
        <v>Tamara</v>
      </c>
      <c r="H3455" s="6" t="str">
        <f>VLOOKUP(F3455,'Customer Info'!$A$1:$C$501,3,0)</f>
        <v>Chand</v>
      </c>
      <c r="I3455" s="6" t="str">
        <f>VLOOKUP(F3455,Customer,5,0)</f>
        <v>Yogyakarta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3274</v>
      </c>
      <c r="O3455" s="2">
        <v>67</v>
      </c>
      <c r="P3455" s="8">
        <f t="shared" si="267"/>
        <v>3341</v>
      </c>
      <c r="Q3455" s="8">
        <f t="shared" si="268"/>
        <v>210</v>
      </c>
      <c r="R3455" s="2" t="s">
        <v>50</v>
      </c>
      <c r="S3455" s="24">
        <f t="shared" si="269"/>
        <v>0.02</v>
      </c>
    </row>
    <row r="3456" spans="1:19" x14ac:dyDescent="0.25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>VLOOKUP(F3456,'Customer Info'!$A:$B,2,0)</f>
        <v>Laurel</v>
      </c>
      <c r="H3456" s="6" t="str">
        <f>VLOOKUP(F3456,'Customer Info'!$A$1:$C$501,3,0)</f>
        <v>Beltran</v>
      </c>
      <c r="I3456" s="6" t="str">
        <f>VLOOKUP(F3456,Customer,5,0)</f>
        <v>Bonn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7315</v>
      </c>
      <c r="O3456" s="2">
        <v>52</v>
      </c>
      <c r="P3456" s="8">
        <f t="shared" si="267"/>
        <v>7367</v>
      </c>
      <c r="Q3456" s="8">
        <f t="shared" si="268"/>
        <v>348</v>
      </c>
      <c r="R3456" s="2" t="s">
        <v>28</v>
      </c>
      <c r="S3456" s="24">
        <f t="shared" si="269"/>
        <v>0.05</v>
      </c>
    </row>
    <row r="3457" spans="1:19" x14ac:dyDescent="0.25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>VLOOKUP(F3457,'Customer Info'!$A:$B,2,0)</f>
        <v>Dorothy</v>
      </c>
      <c r="H3457" s="6" t="str">
        <f>VLOOKUP(F3457,'Customer Info'!$A$1:$C$501,3,0)</f>
        <v>Badders</v>
      </c>
      <c r="I3457" s="6" t="str">
        <f>VLOOKUP(F3457,Customer,5,0)</f>
        <v>Nanning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5882</v>
      </c>
      <c r="O3457" s="2">
        <v>33</v>
      </c>
      <c r="P3457" s="8">
        <f t="shared" si="267"/>
        <v>5915</v>
      </c>
      <c r="Q3457" s="8">
        <f t="shared" si="268"/>
        <v>169</v>
      </c>
      <c r="R3457" s="2" t="s">
        <v>26</v>
      </c>
      <c r="S3457" s="24">
        <f t="shared" si="269"/>
        <v>0.05</v>
      </c>
    </row>
    <row r="3458" spans="1:19" x14ac:dyDescent="0.25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>VLOOKUP(F3458,'Customer Info'!$A:$B,2,0)</f>
        <v>Sarah</v>
      </c>
      <c r="H3458" s="6" t="str">
        <f>VLOOKUP(F3458,'Customer Info'!$A$1:$C$501,3,0)</f>
        <v>Foster</v>
      </c>
      <c r="I3458" s="6" t="str">
        <f>VLOOKUP(F3458,Customer,5,0)</f>
        <v>Harbin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2100</v>
      </c>
      <c r="O3458" s="2">
        <v>43</v>
      </c>
      <c r="P3458" s="8">
        <f t="shared" si="267"/>
        <v>2143</v>
      </c>
      <c r="Q3458" s="8">
        <f t="shared" si="268"/>
        <v>170</v>
      </c>
      <c r="R3458" s="2" t="s">
        <v>28</v>
      </c>
      <c r="S3458" s="24">
        <f t="shared" si="269"/>
        <v>0.02</v>
      </c>
    </row>
    <row r="3459" spans="1:19" x14ac:dyDescent="0.25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>VLOOKUP(F3459,'Customer Info'!$A:$B,2,0)</f>
        <v>Kelly</v>
      </c>
      <c r="H3459" s="6" t="str">
        <f>VLOOKUP(F3459,'Customer Info'!$A$1:$C$501,3,0)</f>
        <v>Collister</v>
      </c>
      <c r="I3459" s="6" t="str">
        <f>VLOOKUP(F3459,Customer,5,0)</f>
        <v>Sydney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177</v>
      </c>
      <c r="O3459" s="2">
        <v>10</v>
      </c>
      <c r="P3459" s="8">
        <f t="shared" si="267"/>
        <v>187</v>
      </c>
      <c r="Q3459" s="8">
        <f t="shared" si="268"/>
        <v>12</v>
      </c>
      <c r="R3459" s="2" t="s">
        <v>28</v>
      </c>
      <c r="S3459" s="24">
        <f t="shared" si="269"/>
        <v>0.02</v>
      </c>
    </row>
    <row r="3460" spans="1:19" x14ac:dyDescent="0.25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>VLOOKUP(F3460,'Customer Info'!$A:$B,2,0)</f>
        <v>Katrina</v>
      </c>
      <c r="H3460" s="6" t="str">
        <f>VLOOKUP(F3460,'Customer Info'!$A$1:$C$501,3,0)</f>
        <v>Bavinger</v>
      </c>
      <c r="I3460" s="6" t="str">
        <f>VLOOKUP(F3460,Customer,5,0)</f>
        <v>Melbourne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10062</v>
      </c>
      <c r="O3460" s="2">
        <v>41</v>
      </c>
      <c r="P3460" s="8">
        <f t="shared" si="267"/>
        <v>10103</v>
      </c>
      <c r="Q3460" s="8">
        <f t="shared" si="268"/>
        <v>756</v>
      </c>
      <c r="R3460" s="2" t="s">
        <v>28</v>
      </c>
      <c r="S3460" s="24">
        <f t="shared" si="269"/>
        <v>0.05</v>
      </c>
    </row>
    <row r="3461" spans="1:19" x14ac:dyDescent="0.25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>VLOOKUP(F3461,'Customer Info'!$A:$B,2,0)</f>
        <v>Carl</v>
      </c>
      <c r="H3461" s="6" t="str">
        <f>VLOOKUP(F3461,'Customer Info'!$A$1:$C$501,3,0)</f>
        <v>Weiss</v>
      </c>
      <c r="I3461" s="6" t="str">
        <f>VLOOKUP(F3461,Customer,5,0)</f>
        <v>Delhi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101</v>
      </c>
      <c r="O3461" s="2">
        <v>10</v>
      </c>
      <c r="P3461" s="8">
        <f t="shared" si="267"/>
        <v>111</v>
      </c>
      <c r="Q3461" s="8">
        <f t="shared" si="268"/>
        <v>3</v>
      </c>
      <c r="R3461" s="2" t="s">
        <v>56</v>
      </c>
      <c r="S3461" s="24">
        <f t="shared" si="269"/>
        <v>0.02</v>
      </c>
    </row>
    <row r="3462" spans="1:19" x14ac:dyDescent="0.25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>VLOOKUP(F3462,'Customer Info'!$A:$B,2,0)</f>
        <v>Meg</v>
      </c>
      <c r="H3462" s="6" t="str">
        <f>VLOOKUP(F3462,'Customer Info'!$A$1:$C$501,3,0)</f>
        <v>Tillman</v>
      </c>
      <c r="I3462" s="6" t="str">
        <f>VLOOKUP(F3462,Customer,5,0)</f>
        <v>Bangalore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1626</v>
      </c>
      <c r="O3462" s="2">
        <v>69</v>
      </c>
      <c r="P3462" s="8">
        <f t="shared" si="267"/>
        <v>1695</v>
      </c>
      <c r="Q3462" s="8">
        <f t="shared" si="268"/>
        <v>150</v>
      </c>
      <c r="R3462" s="2" t="s">
        <v>28</v>
      </c>
      <c r="S3462" s="24">
        <f t="shared" si="269"/>
        <v>0.02</v>
      </c>
    </row>
    <row r="3463" spans="1:19" x14ac:dyDescent="0.25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>VLOOKUP(F3463,'Customer Info'!$A:$B,2,0)</f>
        <v>Robert</v>
      </c>
      <c r="H3463" s="6" t="str">
        <f>VLOOKUP(F3463,'Customer Info'!$A$1:$C$501,3,0)</f>
        <v>Dilbeck</v>
      </c>
      <c r="I3463" s="6" t="str">
        <f>VLOOKUP(F3463,Customer,5,0)</f>
        <v>Bihar Sharif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626</v>
      </c>
      <c r="O3463" s="2">
        <v>40</v>
      </c>
      <c r="P3463" s="8">
        <f t="shared" si="267"/>
        <v>666</v>
      </c>
      <c r="Q3463" s="8">
        <f t="shared" si="268"/>
        <v>67</v>
      </c>
      <c r="R3463" s="2" t="s">
        <v>26</v>
      </c>
      <c r="S3463" s="24">
        <f t="shared" si="269"/>
        <v>0.02</v>
      </c>
    </row>
    <row r="3464" spans="1:19" x14ac:dyDescent="0.25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>VLOOKUP(F3464,'Customer Info'!$A:$B,2,0)</f>
        <v>Ben</v>
      </c>
      <c r="H3464" s="6" t="str">
        <f>VLOOKUP(F3464,'Customer Info'!$A$1:$C$501,3,0)</f>
        <v>Wallace</v>
      </c>
      <c r="I3464" s="6" t="str">
        <f>VLOOKUP(F3464,Customer,5,0)</f>
        <v>Shanghai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1557</v>
      </c>
      <c r="O3464" s="2">
        <v>30</v>
      </c>
      <c r="P3464" s="8">
        <f t="shared" si="267"/>
        <v>1587</v>
      </c>
      <c r="Q3464" s="8">
        <f t="shared" si="268"/>
        <v>162</v>
      </c>
      <c r="R3464" s="2" t="s">
        <v>28</v>
      </c>
      <c r="S3464" s="24">
        <f t="shared" si="269"/>
        <v>0.02</v>
      </c>
    </row>
    <row r="3465" spans="1:19" x14ac:dyDescent="0.25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>VLOOKUP(F3465,'Customer Info'!$A:$B,2,0)</f>
        <v>Alan</v>
      </c>
      <c r="H3465" s="6" t="str">
        <f>VLOOKUP(F3465,'Customer Info'!$A$1:$C$501,3,0)</f>
        <v>Shonely</v>
      </c>
      <c r="I3465" s="6" t="str">
        <f>VLOOKUP(F3465,Customer,5,0)</f>
        <v>Canberra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8022</v>
      </c>
      <c r="O3465" s="2">
        <v>83</v>
      </c>
      <c r="P3465" s="8">
        <f t="shared" si="267"/>
        <v>8105</v>
      </c>
      <c r="Q3465" s="8">
        <f t="shared" si="268"/>
        <v>595</v>
      </c>
      <c r="R3465" s="2" t="s">
        <v>50</v>
      </c>
      <c r="S3465" s="24">
        <f t="shared" si="269"/>
        <v>0.05</v>
      </c>
    </row>
    <row r="3466" spans="1:19" x14ac:dyDescent="0.25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>VLOOKUP(F3466,'Customer Info'!$A:$B,2,0)</f>
        <v>Jill</v>
      </c>
      <c r="H3466" s="6" t="str">
        <f>VLOOKUP(F3466,'Customer Info'!$A$1:$C$501,3,0)</f>
        <v>Fjeld</v>
      </c>
      <c r="I3466" s="6" t="str">
        <f>VLOOKUP(F3466,Customer,5,0)</f>
        <v>Wollongong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9072</v>
      </c>
      <c r="O3466" s="2">
        <v>84</v>
      </c>
      <c r="P3466" s="8">
        <f t="shared" si="267"/>
        <v>9156</v>
      </c>
      <c r="Q3466" s="8">
        <f t="shared" si="268"/>
        <v>90</v>
      </c>
      <c r="R3466" s="2" t="s">
        <v>28</v>
      </c>
      <c r="S3466" s="24">
        <f t="shared" si="269"/>
        <v>0.05</v>
      </c>
    </row>
    <row r="3467" spans="1:19" x14ac:dyDescent="0.25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>VLOOKUP(F3467,'Customer Info'!$A:$B,2,0)</f>
        <v>Michael</v>
      </c>
      <c r="H3467" s="6" t="str">
        <f>VLOOKUP(F3467,'Customer Info'!$A$1:$C$501,3,0)</f>
        <v>Moore</v>
      </c>
      <c r="I3467" s="6" t="str">
        <f>VLOOKUP(F3467,Customer,5,0)</f>
        <v>Melbourne</v>
      </c>
      <c r="J3467" s="2">
        <v>151</v>
      </c>
      <c r="K3467" s="2">
        <v>139</v>
      </c>
      <c r="L3467" s="2">
        <v>1</v>
      </c>
      <c r="M3467" s="7">
        <f t="shared" ref="M3467:M3530" si="270">K3467*L3467</f>
        <v>139</v>
      </c>
      <c r="N3467" s="7">
        <f t="shared" ref="N3467:N3530" si="271">J3467*L3467</f>
        <v>151</v>
      </c>
      <c r="O3467" s="2">
        <v>30</v>
      </c>
      <c r="P3467" s="8">
        <f t="shared" ref="P3467:P3530" si="272">N3467+O3467</f>
        <v>181</v>
      </c>
      <c r="Q3467" s="8">
        <f t="shared" ref="Q3467:Q3530" si="273">N3467-M3467</f>
        <v>12</v>
      </c>
      <c r="R3467" s="2" t="s">
        <v>50</v>
      </c>
      <c r="S3467" s="24">
        <f t="shared" ref="S3467:S3530" si="274">VLOOKUP(N3467,$T$1:$U$7,2,TRUE)</f>
        <v>0.02</v>
      </c>
    </row>
    <row r="3468" spans="1:19" x14ac:dyDescent="0.25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>VLOOKUP(F3468,'Customer Info'!$A:$B,2,0)</f>
        <v>Dianna</v>
      </c>
      <c r="H3468" s="6" t="str">
        <f>VLOOKUP(F3468,'Customer Info'!$A$1:$C$501,3,0)</f>
        <v>Vittorini</v>
      </c>
      <c r="I3468" s="6" t="str">
        <f>VLOOKUP(F3468,Customer,5,0)</f>
        <v>Gold Coast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8">
        <f t="shared" si="272"/>
        <v>14132</v>
      </c>
      <c r="Q3468" s="8">
        <f t="shared" si="273"/>
        <v>1029</v>
      </c>
      <c r="R3468" s="2" t="s">
        <v>28</v>
      </c>
      <c r="S3468" s="24">
        <f t="shared" si="274"/>
        <v>0.05</v>
      </c>
    </row>
    <row r="3469" spans="1:19" x14ac:dyDescent="0.25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>VLOOKUP(F3469,'Customer Info'!$A:$B,2,0)</f>
        <v>Candace</v>
      </c>
      <c r="H3469" s="6" t="str">
        <f>VLOOKUP(F3469,'Customer Info'!$A$1:$C$501,3,0)</f>
        <v>McMahon</v>
      </c>
      <c r="I3469" s="6" t="str">
        <f>VLOOKUP(F3469,Customer,5,0)</f>
        <v>Canberra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8">
        <f t="shared" si="272"/>
        <v>6714</v>
      </c>
      <c r="Q3469" s="8">
        <f t="shared" si="273"/>
        <v>308</v>
      </c>
      <c r="R3469" s="2" t="s">
        <v>26</v>
      </c>
      <c r="S3469" s="24">
        <f t="shared" si="274"/>
        <v>0.05</v>
      </c>
    </row>
    <row r="3470" spans="1:19" x14ac:dyDescent="0.25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>VLOOKUP(F3470,'Customer Info'!$A:$B,2,0)</f>
        <v>Guy</v>
      </c>
      <c r="H3470" s="6" t="str">
        <f>VLOOKUP(F3470,'Customer Info'!$A$1:$C$501,3,0)</f>
        <v>Phonely</v>
      </c>
      <c r="I3470" s="6" t="str">
        <f>VLOOKUP(F3470,Customer,5,0)</f>
        <v>Jodhpur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8">
        <f t="shared" si="272"/>
        <v>2397</v>
      </c>
      <c r="Q3470" s="8">
        <f t="shared" si="273"/>
        <v>270</v>
      </c>
      <c r="R3470" s="2" t="s">
        <v>28</v>
      </c>
      <c r="S3470" s="24">
        <f t="shared" si="274"/>
        <v>0.02</v>
      </c>
    </row>
    <row r="3471" spans="1:19" x14ac:dyDescent="0.25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>VLOOKUP(F3471,'Customer Info'!$A:$B,2,0)</f>
        <v>Eugene</v>
      </c>
      <c r="H3471" s="6" t="str">
        <f>VLOOKUP(F3471,'Customer Info'!$A$1:$C$501,3,0)</f>
        <v>Hildebrand</v>
      </c>
      <c r="I3471" s="6" t="str">
        <f>VLOOKUP(F3471,Customer,5,0)</f>
        <v>Sindelfingen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8">
        <f t="shared" si="272"/>
        <v>15032</v>
      </c>
      <c r="Q3471" s="8">
        <f t="shared" si="273"/>
        <v>1232</v>
      </c>
      <c r="R3471" s="2" t="s">
        <v>50</v>
      </c>
      <c r="S3471" s="24">
        <f t="shared" si="274"/>
        <v>0.05</v>
      </c>
    </row>
    <row r="3472" spans="1:19" x14ac:dyDescent="0.25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>VLOOKUP(F3472,'Customer Info'!$A:$B,2,0)</f>
        <v>Tom</v>
      </c>
      <c r="H3472" s="6" t="str">
        <f>VLOOKUP(F3472,'Customer Info'!$A$1:$C$501,3,0)</f>
        <v>Stivers</v>
      </c>
      <c r="I3472" s="6" t="str">
        <f>VLOOKUP(F3472,Customer,5,0)</f>
        <v>Thane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15085</v>
      </c>
      <c r="O3472" s="2">
        <v>72</v>
      </c>
      <c r="P3472" s="8">
        <f t="shared" si="272"/>
        <v>15157</v>
      </c>
      <c r="Q3472" s="8">
        <f t="shared" si="273"/>
        <v>960</v>
      </c>
      <c r="R3472" s="2" t="s">
        <v>28</v>
      </c>
      <c r="S3472" s="24">
        <f t="shared" si="274"/>
        <v>0.05</v>
      </c>
    </row>
    <row r="3473" spans="1:19" x14ac:dyDescent="0.25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>VLOOKUP(F3473,'Customer Info'!$A:$B,2,0)</f>
        <v>Harry</v>
      </c>
      <c r="H3473" s="6" t="str">
        <f>VLOOKUP(F3473,'Customer Info'!$A$1:$C$501,3,0)</f>
        <v>Marie</v>
      </c>
      <c r="I3473" s="6" t="str">
        <f>VLOOKUP(F3473,Customer,5,0)</f>
        <v>Mataram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346</v>
      </c>
      <c r="O3473" s="2">
        <v>30</v>
      </c>
      <c r="P3473" s="8">
        <f t="shared" si="272"/>
        <v>376</v>
      </c>
      <c r="Q3473" s="8">
        <f t="shared" si="273"/>
        <v>36</v>
      </c>
      <c r="R3473" s="2" t="s">
        <v>28</v>
      </c>
      <c r="S3473" s="24">
        <f t="shared" si="274"/>
        <v>0.02</v>
      </c>
    </row>
    <row r="3474" spans="1:19" x14ac:dyDescent="0.25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>VLOOKUP(F3474,'Customer Info'!$A:$B,2,0)</f>
        <v>Michelle</v>
      </c>
      <c r="H3474" s="6" t="str">
        <f>VLOOKUP(F3474,'Customer Info'!$A$1:$C$501,3,0)</f>
        <v>Arnett</v>
      </c>
      <c r="I3474" s="6" t="str">
        <f>VLOOKUP(F3474,Customer,5,0)</f>
        <v>Yancheng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2906</v>
      </c>
      <c r="O3474" s="2">
        <v>89</v>
      </c>
      <c r="P3474" s="8">
        <f t="shared" si="272"/>
        <v>2995</v>
      </c>
      <c r="Q3474" s="8">
        <f t="shared" si="273"/>
        <v>84</v>
      </c>
      <c r="R3474" s="2" t="s">
        <v>28</v>
      </c>
      <c r="S3474" s="24">
        <f t="shared" si="274"/>
        <v>0.02</v>
      </c>
    </row>
    <row r="3475" spans="1:19" x14ac:dyDescent="0.25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>VLOOKUP(F3475,'Customer Info'!$A:$B,2,0)</f>
        <v>Marina</v>
      </c>
      <c r="H3475" s="6" t="str">
        <f>VLOOKUP(F3475,'Customer Info'!$A$1:$C$501,3,0)</f>
        <v>Lichtenstein</v>
      </c>
      <c r="I3475" s="6" t="str">
        <f>VLOOKUP(F3475,Customer,5,0)</f>
        <v>Denpasar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61</v>
      </c>
      <c r="O3475" s="2">
        <v>10</v>
      </c>
      <c r="P3475" s="8">
        <f t="shared" si="272"/>
        <v>71</v>
      </c>
      <c r="Q3475" s="8">
        <f t="shared" si="273"/>
        <v>5</v>
      </c>
      <c r="R3475" s="2" t="s">
        <v>50</v>
      </c>
      <c r="S3475" s="24">
        <f t="shared" si="274"/>
        <v>0.02</v>
      </c>
    </row>
    <row r="3476" spans="1:19" x14ac:dyDescent="0.25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>VLOOKUP(F3476,'Customer Info'!$A:$B,2,0)</f>
        <v>Jeremy</v>
      </c>
      <c r="H3476" s="6" t="str">
        <f>VLOOKUP(F3476,'Customer Info'!$A$1:$C$501,3,0)</f>
        <v>Ellison</v>
      </c>
      <c r="I3476" s="6" t="str">
        <f>VLOOKUP(F3476,Customer,5,0)</f>
        <v>Jammu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169</v>
      </c>
      <c r="O3476" s="2">
        <v>30</v>
      </c>
      <c r="P3476" s="8">
        <f t="shared" si="272"/>
        <v>199</v>
      </c>
      <c r="Q3476" s="8">
        <f t="shared" si="273"/>
        <v>15</v>
      </c>
      <c r="R3476" s="2" t="s">
        <v>28</v>
      </c>
      <c r="S3476" s="24">
        <f t="shared" si="274"/>
        <v>0.02</v>
      </c>
    </row>
    <row r="3477" spans="1:19" x14ac:dyDescent="0.25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>VLOOKUP(F3477,'Customer Info'!$A:$B,2,0)</f>
        <v>Rachel</v>
      </c>
      <c r="H3477" s="6" t="str">
        <f>VLOOKUP(F3477,'Customer Info'!$A$1:$C$501,3,0)</f>
        <v>Payne</v>
      </c>
      <c r="I3477" s="6" t="str">
        <f>VLOOKUP(F3477,Customer,5,0)</f>
        <v>Caloundra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15156</v>
      </c>
      <c r="O3477" s="2">
        <v>24</v>
      </c>
      <c r="P3477" s="8">
        <f t="shared" si="272"/>
        <v>15180</v>
      </c>
      <c r="Q3477" s="8">
        <f t="shared" si="273"/>
        <v>708</v>
      </c>
      <c r="R3477" s="2" t="s">
        <v>28</v>
      </c>
      <c r="S3477" s="24">
        <f t="shared" si="274"/>
        <v>0.05</v>
      </c>
    </row>
    <row r="3478" spans="1:19" x14ac:dyDescent="0.25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>VLOOKUP(F3478,'Customer Info'!$A:$B,2,0)</f>
        <v>Hilary</v>
      </c>
      <c r="H3478" s="6" t="str">
        <f>VLOOKUP(F3478,'Customer Info'!$A$1:$C$501,3,0)</f>
        <v>Holden</v>
      </c>
      <c r="I3478" s="6" t="str">
        <f>VLOOKUP(F3478,Customer,5,0)</f>
        <v>Mysore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948</v>
      </c>
      <c r="O3478" s="2">
        <v>38</v>
      </c>
      <c r="P3478" s="8">
        <f t="shared" si="272"/>
        <v>986</v>
      </c>
      <c r="Q3478" s="8">
        <f t="shared" si="273"/>
        <v>62</v>
      </c>
      <c r="R3478" s="2" t="s">
        <v>28</v>
      </c>
      <c r="S3478" s="24">
        <f t="shared" si="274"/>
        <v>0.02</v>
      </c>
    </row>
    <row r="3479" spans="1:19" x14ac:dyDescent="0.25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>VLOOKUP(F3479,'Customer Info'!$A:$B,2,0)</f>
        <v>Harold</v>
      </c>
      <c r="H3479" s="6" t="str">
        <f>VLOOKUP(F3479,'Customer Info'!$A$1:$C$501,3,0)</f>
        <v>Engle</v>
      </c>
      <c r="I3479" s="6" t="str">
        <f>VLOOKUP(F3479,Customer,5,0)</f>
        <v>Chennai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3210</v>
      </c>
      <c r="O3479" s="2">
        <v>68</v>
      </c>
      <c r="P3479" s="8">
        <f t="shared" si="272"/>
        <v>3278</v>
      </c>
      <c r="Q3479" s="8">
        <f t="shared" si="273"/>
        <v>236</v>
      </c>
      <c r="R3479" s="2" t="s">
        <v>28</v>
      </c>
      <c r="S3479" s="24">
        <f t="shared" si="274"/>
        <v>0.02</v>
      </c>
    </row>
    <row r="3480" spans="1:19" x14ac:dyDescent="0.25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>VLOOKUP(F3480,'Customer Info'!$A:$B,2,0)</f>
        <v>Patrick</v>
      </c>
      <c r="H3480" s="6" t="str">
        <f>VLOOKUP(F3480,'Customer Info'!$A$1:$C$501,3,0)</f>
        <v>Bzostek</v>
      </c>
      <c r="I3480" s="6" t="str">
        <f>VLOOKUP(F3480,Customer,5,0)</f>
        <v>Brisbane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2142</v>
      </c>
      <c r="O3480" s="2">
        <v>56</v>
      </c>
      <c r="P3480" s="8">
        <f t="shared" si="272"/>
        <v>2198</v>
      </c>
      <c r="Q3480" s="8">
        <f t="shared" si="273"/>
        <v>122</v>
      </c>
      <c r="R3480" s="2" t="s">
        <v>50</v>
      </c>
      <c r="S3480" s="24">
        <f t="shared" si="274"/>
        <v>0.02</v>
      </c>
    </row>
    <row r="3481" spans="1:19" x14ac:dyDescent="0.25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>VLOOKUP(F3481,'Customer Info'!$A:$B,2,0)</f>
        <v>Ryan</v>
      </c>
      <c r="H3481" s="6" t="str">
        <f>VLOOKUP(F3481,'Customer Info'!$A$1:$C$501,3,0)</f>
        <v>Crowe</v>
      </c>
      <c r="I3481" s="6" t="str">
        <f>VLOOKUP(F3481,Customer,5,0)</f>
        <v>Kanpur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3994</v>
      </c>
      <c r="O3481" s="2">
        <v>93</v>
      </c>
      <c r="P3481" s="8">
        <f t="shared" si="272"/>
        <v>4087</v>
      </c>
      <c r="Q3481" s="8">
        <f t="shared" si="273"/>
        <v>362</v>
      </c>
      <c r="R3481" s="2" t="s">
        <v>50</v>
      </c>
      <c r="S3481" s="24">
        <f t="shared" si="274"/>
        <v>0.02</v>
      </c>
    </row>
    <row r="3482" spans="1:19" x14ac:dyDescent="0.25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>VLOOKUP(F3482,'Customer Info'!$A:$B,2,0)</f>
        <v>Anemone</v>
      </c>
      <c r="H3482" s="6" t="str">
        <f>VLOOKUP(F3482,'Customer Info'!$A$1:$C$501,3,0)</f>
        <v>Ratner</v>
      </c>
      <c r="I3482" s="6" t="str">
        <f>VLOOKUP(F3482,Customer,5,0)</f>
        <v>Berlin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474</v>
      </c>
      <c r="O3482" s="2">
        <v>37</v>
      </c>
      <c r="P3482" s="8">
        <f t="shared" si="272"/>
        <v>511</v>
      </c>
      <c r="Q3482" s="8">
        <f t="shared" si="273"/>
        <v>31</v>
      </c>
      <c r="R3482" s="2" t="s">
        <v>28</v>
      </c>
      <c r="S3482" s="24">
        <f t="shared" si="274"/>
        <v>0.02</v>
      </c>
    </row>
    <row r="3483" spans="1:19" x14ac:dyDescent="0.25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>VLOOKUP(F3483,'Customer Info'!$A:$B,2,0)</f>
        <v>Christopher</v>
      </c>
      <c r="H3483" s="6" t="str">
        <f>VLOOKUP(F3483,'Customer Info'!$A$1:$C$501,3,0)</f>
        <v>Martinez</v>
      </c>
      <c r="I3483" s="6" t="str">
        <f>VLOOKUP(F3483,Customer,5,0)</f>
        <v>Qingdao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1052</v>
      </c>
      <c r="O3483" s="2">
        <v>60</v>
      </c>
      <c r="P3483" s="8">
        <f t="shared" si="272"/>
        <v>1112</v>
      </c>
      <c r="Q3483" s="8">
        <f t="shared" si="273"/>
        <v>78</v>
      </c>
      <c r="R3483" s="2" t="s">
        <v>50</v>
      </c>
      <c r="S3483" s="24">
        <f t="shared" si="274"/>
        <v>0.02</v>
      </c>
    </row>
    <row r="3484" spans="1:19" x14ac:dyDescent="0.25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>VLOOKUP(F3484,'Customer Info'!$A:$B,2,0)</f>
        <v>Denise</v>
      </c>
      <c r="H3484" s="6" t="str">
        <f>VLOOKUP(F3484,'Customer Info'!$A$1:$C$501,3,0)</f>
        <v>Leinenbach</v>
      </c>
      <c r="I3484" s="6" t="str">
        <f>VLOOKUP(F3484,Customer,5,0)</f>
        <v>Bhiwandi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4767</v>
      </c>
      <c r="O3484" s="2">
        <v>43</v>
      </c>
      <c r="P3484" s="8">
        <f t="shared" si="272"/>
        <v>4810</v>
      </c>
      <c r="Q3484" s="8">
        <f t="shared" si="273"/>
        <v>273</v>
      </c>
      <c r="R3484" s="2" t="s">
        <v>28</v>
      </c>
      <c r="S3484" s="24">
        <f t="shared" si="274"/>
        <v>0.02</v>
      </c>
    </row>
    <row r="3485" spans="1:19" x14ac:dyDescent="0.25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>VLOOKUP(F3485,'Customer Info'!$A:$B,2,0)</f>
        <v>Brendan</v>
      </c>
      <c r="H3485" s="6" t="str">
        <f>VLOOKUP(F3485,'Customer Info'!$A$1:$C$501,3,0)</f>
        <v>Murry</v>
      </c>
      <c r="I3485" s="6" t="str">
        <f>VLOOKUP(F3485,Customer,5,0)</f>
        <v>Schwerin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3930</v>
      </c>
      <c r="O3485" s="2">
        <v>100</v>
      </c>
      <c r="P3485" s="8">
        <f t="shared" si="272"/>
        <v>4030</v>
      </c>
      <c r="Q3485" s="8">
        <f t="shared" si="273"/>
        <v>190</v>
      </c>
      <c r="R3485" s="2" t="s">
        <v>50</v>
      </c>
      <c r="S3485" s="24">
        <f t="shared" si="274"/>
        <v>0.02</v>
      </c>
    </row>
    <row r="3486" spans="1:19" x14ac:dyDescent="0.25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>VLOOKUP(F3486,'Customer Info'!$A:$B,2,0)</f>
        <v>Darren</v>
      </c>
      <c r="H3486" s="6" t="str">
        <f>VLOOKUP(F3486,'Customer Info'!$A$1:$C$501,3,0)</f>
        <v>Budd</v>
      </c>
      <c r="I3486" s="6" t="str">
        <f>VLOOKUP(F3486,Customer,5,0)</f>
        <v>Jakarta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768</v>
      </c>
      <c r="O3486" s="2">
        <v>30</v>
      </c>
      <c r="P3486" s="8">
        <f t="shared" si="272"/>
        <v>798</v>
      </c>
      <c r="Q3486" s="8">
        <f t="shared" si="273"/>
        <v>78</v>
      </c>
      <c r="R3486" s="2" t="s">
        <v>50</v>
      </c>
      <c r="S3486" s="24">
        <f t="shared" si="274"/>
        <v>0.02</v>
      </c>
    </row>
    <row r="3487" spans="1:19" x14ac:dyDescent="0.25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>VLOOKUP(F3487,'Customer Info'!$A:$B,2,0)</f>
        <v>Craig</v>
      </c>
      <c r="H3487" s="6" t="str">
        <f>VLOOKUP(F3487,'Customer Info'!$A$1:$C$501,3,0)</f>
        <v>Leslie</v>
      </c>
      <c r="I3487" s="6" t="str">
        <f>VLOOKUP(F3487,Customer,5,0)</f>
        <v>Wetzlar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4554</v>
      </c>
      <c r="O3487" s="2">
        <v>35</v>
      </c>
      <c r="P3487" s="8">
        <f t="shared" si="272"/>
        <v>4589</v>
      </c>
      <c r="Q3487" s="8">
        <f t="shared" si="273"/>
        <v>378</v>
      </c>
      <c r="R3487" s="2" t="s">
        <v>26</v>
      </c>
      <c r="S3487" s="24">
        <f t="shared" si="274"/>
        <v>0.02</v>
      </c>
    </row>
    <row r="3488" spans="1:19" x14ac:dyDescent="0.25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>VLOOKUP(F3488,'Customer Info'!$A:$B,2,0)</f>
        <v>Nicole</v>
      </c>
      <c r="H3488" s="6" t="str">
        <f>VLOOKUP(F3488,'Customer Info'!$A$1:$C$501,3,0)</f>
        <v>Fjeld</v>
      </c>
      <c r="I3488" s="6" t="str">
        <f>VLOOKUP(F3488,Customer,5,0)</f>
        <v>Berlin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55836</v>
      </c>
      <c r="O3488" s="2">
        <v>70</v>
      </c>
      <c r="P3488" s="8">
        <f t="shared" si="272"/>
        <v>55906</v>
      </c>
      <c r="Q3488" s="8">
        <f t="shared" si="273"/>
        <v>5070</v>
      </c>
      <c r="R3488" s="2" t="s">
        <v>28</v>
      </c>
      <c r="S3488" s="24">
        <f t="shared" si="274"/>
        <v>0.09</v>
      </c>
    </row>
    <row r="3489" spans="1:19" x14ac:dyDescent="0.25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>VLOOKUP(F3489,'Customer Info'!$A:$B,2,0)</f>
        <v>Roland</v>
      </c>
      <c r="H3489" s="6" t="str">
        <f>VLOOKUP(F3489,'Customer Info'!$A$1:$C$501,3,0)</f>
        <v>Fjeld</v>
      </c>
      <c r="I3489" s="6" t="str">
        <f>VLOOKUP(F3489,Customer,5,0)</f>
        <v>Caloundra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765</v>
      </c>
      <c r="O3489" s="2">
        <v>85</v>
      </c>
      <c r="P3489" s="8">
        <f t="shared" si="272"/>
        <v>850</v>
      </c>
      <c r="Q3489" s="8">
        <f t="shared" si="273"/>
        <v>64</v>
      </c>
      <c r="R3489" s="2" t="s">
        <v>50</v>
      </c>
      <c r="S3489" s="24">
        <f t="shared" si="274"/>
        <v>0.02</v>
      </c>
    </row>
    <row r="3490" spans="1:19" x14ac:dyDescent="0.25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>VLOOKUP(F3490,'Customer Info'!$A:$B,2,0)</f>
        <v>Jesus</v>
      </c>
      <c r="H3490" s="6" t="str">
        <f>VLOOKUP(F3490,'Customer Info'!$A$1:$C$501,3,0)</f>
        <v>Ocampo</v>
      </c>
      <c r="I3490" s="6" t="str">
        <f>VLOOKUP(F3490,Customer,5,0)</f>
        <v>Herten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4034</v>
      </c>
      <c r="O3490" s="2">
        <v>53</v>
      </c>
      <c r="P3490" s="8">
        <f t="shared" si="272"/>
        <v>4087</v>
      </c>
      <c r="Q3490" s="8">
        <f t="shared" si="273"/>
        <v>366</v>
      </c>
      <c r="R3490" s="2" t="s">
        <v>28</v>
      </c>
      <c r="S3490" s="24">
        <f t="shared" si="274"/>
        <v>0.02</v>
      </c>
    </row>
    <row r="3491" spans="1:19" x14ac:dyDescent="0.25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>VLOOKUP(F3491,'Customer Info'!$A:$B,2,0)</f>
        <v>Cynthia</v>
      </c>
      <c r="H3491" s="6" t="str">
        <f>VLOOKUP(F3491,'Customer Info'!$A$1:$C$501,3,0)</f>
        <v>Delaney</v>
      </c>
      <c r="I3491" s="6" t="str">
        <f>VLOOKUP(F3491,Customer,5,0)</f>
        <v>Wodonga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3230</v>
      </c>
      <c r="O3491" s="2">
        <v>41</v>
      </c>
      <c r="P3491" s="8">
        <f t="shared" si="272"/>
        <v>3271</v>
      </c>
      <c r="Q3491" s="8">
        <f t="shared" si="273"/>
        <v>180</v>
      </c>
      <c r="R3491" s="2" t="s">
        <v>26</v>
      </c>
      <c r="S3491" s="24">
        <f t="shared" si="274"/>
        <v>0.02</v>
      </c>
    </row>
    <row r="3492" spans="1:19" x14ac:dyDescent="0.25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>VLOOKUP(F3492,'Customer Info'!$A:$B,2,0)</f>
        <v>Rick</v>
      </c>
      <c r="H3492" s="6" t="str">
        <f>VLOOKUP(F3492,'Customer Info'!$A$1:$C$501,3,0)</f>
        <v>Duston</v>
      </c>
      <c r="I3492" s="6" t="str">
        <f>VLOOKUP(F3492,Customer,5,0)</f>
        <v>Surakarta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10656</v>
      </c>
      <c r="O3492" s="2">
        <v>53</v>
      </c>
      <c r="P3492" s="8">
        <f t="shared" si="272"/>
        <v>10709</v>
      </c>
      <c r="Q3492" s="8">
        <f t="shared" si="273"/>
        <v>984</v>
      </c>
      <c r="R3492" s="2" t="s">
        <v>50</v>
      </c>
      <c r="S3492" s="24">
        <f t="shared" si="274"/>
        <v>0.05</v>
      </c>
    </row>
    <row r="3493" spans="1:19" x14ac:dyDescent="0.25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>VLOOKUP(F3493,'Customer Info'!$A:$B,2,0)</f>
        <v>Justin</v>
      </c>
      <c r="H3493" s="6" t="str">
        <f>VLOOKUP(F3493,'Customer Info'!$A$1:$C$501,3,0)</f>
        <v>Hirsh</v>
      </c>
      <c r="I3493" s="6" t="str">
        <f>VLOOKUP(F3493,Customer,5,0)</f>
        <v>Shangzhi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34936</v>
      </c>
      <c r="O3493" s="2">
        <v>31</v>
      </c>
      <c r="P3493" s="8">
        <f t="shared" si="272"/>
        <v>34967</v>
      </c>
      <c r="Q3493" s="8">
        <f t="shared" si="273"/>
        <v>660</v>
      </c>
      <c r="R3493" s="2" t="s">
        <v>50</v>
      </c>
      <c r="S3493" s="24">
        <f t="shared" si="274"/>
        <v>7.0000000000000007E-2</v>
      </c>
    </row>
    <row r="3494" spans="1:19" x14ac:dyDescent="0.25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>VLOOKUP(F3494,'Customer Info'!$A:$B,2,0)</f>
        <v>Ed</v>
      </c>
      <c r="H3494" s="6" t="str">
        <f>VLOOKUP(F3494,'Customer Info'!$A$1:$C$501,3,0)</f>
        <v>Braxton</v>
      </c>
      <c r="I3494" s="6" t="str">
        <f>VLOOKUP(F3494,Customer,5,0)</f>
        <v>Bhatpara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9435</v>
      </c>
      <c r="O3494" s="2">
        <v>97</v>
      </c>
      <c r="P3494" s="8">
        <f t="shared" si="272"/>
        <v>9532</v>
      </c>
      <c r="Q3494" s="8">
        <f t="shared" si="273"/>
        <v>360</v>
      </c>
      <c r="R3494" s="2" t="s">
        <v>28</v>
      </c>
      <c r="S3494" s="24">
        <f t="shared" si="274"/>
        <v>0.05</v>
      </c>
    </row>
    <row r="3495" spans="1:19" x14ac:dyDescent="0.25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>VLOOKUP(F3495,'Customer Info'!$A:$B,2,0)</f>
        <v>James</v>
      </c>
      <c r="H3495" s="6" t="str">
        <f>VLOOKUP(F3495,'Customer Info'!$A$1:$C$501,3,0)</f>
        <v>Lanier</v>
      </c>
      <c r="I3495" s="6" t="str">
        <f>VLOOKUP(F3495,Customer,5,0)</f>
        <v>Dortmund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3690</v>
      </c>
      <c r="O3495" s="2">
        <v>39</v>
      </c>
      <c r="P3495" s="8">
        <f t="shared" si="272"/>
        <v>3729</v>
      </c>
      <c r="Q3495" s="8">
        <f t="shared" si="273"/>
        <v>206</v>
      </c>
      <c r="R3495" s="2" t="s">
        <v>28</v>
      </c>
      <c r="S3495" s="24">
        <f t="shared" si="274"/>
        <v>0.02</v>
      </c>
    </row>
    <row r="3496" spans="1:19" x14ac:dyDescent="0.25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>VLOOKUP(F3496,'Customer Info'!$A:$B,2,0)</f>
        <v>Dan</v>
      </c>
      <c r="H3496" s="6" t="str">
        <f>VLOOKUP(F3496,'Customer Info'!$A$1:$C$501,3,0)</f>
        <v>Campbell</v>
      </c>
      <c r="I3496" s="6" t="str">
        <f>VLOOKUP(F3496,Customer,5,0)</f>
        <v>Perth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24129</v>
      </c>
      <c r="O3496" s="2">
        <v>85</v>
      </c>
      <c r="P3496" s="8">
        <f t="shared" si="272"/>
        <v>24214</v>
      </c>
      <c r="Q3496" s="8">
        <f t="shared" si="273"/>
        <v>2007</v>
      </c>
      <c r="R3496" s="2" t="s">
        <v>28</v>
      </c>
      <c r="S3496" s="24">
        <f t="shared" si="274"/>
        <v>0.05</v>
      </c>
    </row>
    <row r="3497" spans="1:19" x14ac:dyDescent="0.25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>VLOOKUP(F3497,'Customer Info'!$A:$B,2,0)</f>
        <v>Ralph</v>
      </c>
      <c r="H3497" s="6" t="str">
        <f>VLOOKUP(F3497,'Customer Info'!$A$1:$C$501,3,0)</f>
        <v>Arnett</v>
      </c>
      <c r="I3497" s="6" t="str">
        <f>VLOOKUP(F3497,Customer,5,0)</f>
        <v>Wolfsburg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9000</v>
      </c>
      <c r="O3497" s="2">
        <v>62</v>
      </c>
      <c r="P3497" s="8">
        <f t="shared" si="272"/>
        <v>9062</v>
      </c>
      <c r="Q3497" s="8">
        <f t="shared" si="273"/>
        <v>172</v>
      </c>
      <c r="R3497" s="2" t="s">
        <v>28</v>
      </c>
      <c r="S3497" s="24">
        <f t="shared" si="274"/>
        <v>0.05</v>
      </c>
    </row>
    <row r="3498" spans="1:19" x14ac:dyDescent="0.25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>VLOOKUP(F3498,'Customer Info'!$A:$B,2,0)</f>
        <v>Julia</v>
      </c>
      <c r="H3498" s="6" t="str">
        <f>VLOOKUP(F3498,'Customer Info'!$A$1:$C$501,3,0)</f>
        <v>Dunbar</v>
      </c>
      <c r="I3498" s="6" t="str">
        <f>VLOOKUP(F3498,Customer,5,0)</f>
        <v>Cologne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17756</v>
      </c>
      <c r="O3498" s="2">
        <v>21</v>
      </c>
      <c r="P3498" s="8">
        <f t="shared" si="272"/>
        <v>17777</v>
      </c>
      <c r="Q3498" s="8">
        <f t="shared" si="273"/>
        <v>1928</v>
      </c>
      <c r="R3498" s="2" t="s">
        <v>50</v>
      </c>
      <c r="S3498" s="24">
        <f t="shared" si="274"/>
        <v>0.05</v>
      </c>
    </row>
    <row r="3499" spans="1:19" x14ac:dyDescent="0.25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>VLOOKUP(F3499,'Customer Info'!$A:$B,2,0)</f>
        <v>Mike</v>
      </c>
      <c r="H3499" s="6" t="str">
        <f>VLOOKUP(F3499,'Customer Info'!$A$1:$C$501,3,0)</f>
        <v>Gockenbach</v>
      </c>
      <c r="I3499" s="6" t="str">
        <f>VLOOKUP(F3499,Customer,5,0)</f>
        <v>Caloundra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7026</v>
      </c>
      <c r="O3499" s="2">
        <v>76</v>
      </c>
      <c r="P3499" s="8">
        <f t="shared" si="272"/>
        <v>7102</v>
      </c>
      <c r="Q3499" s="8">
        <f t="shared" si="273"/>
        <v>396</v>
      </c>
      <c r="R3499" s="2" t="s">
        <v>28</v>
      </c>
      <c r="S3499" s="24">
        <f t="shared" si="274"/>
        <v>0.05</v>
      </c>
    </row>
    <row r="3500" spans="1:19" x14ac:dyDescent="0.25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>VLOOKUP(F3500,'Customer Info'!$A:$B,2,0)</f>
        <v>Peter</v>
      </c>
      <c r="H3500" s="6" t="str">
        <f>VLOOKUP(F3500,'Customer Info'!$A$1:$C$501,3,0)</f>
        <v>BŸhler</v>
      </c>
      <c r="I3500" s="6" t="str">
        <f>VLOOKUP(F3500,Customer,5,0)</f>
        <v>Dresden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567</v>
      </c>
      <c r="O3500" s="2">
        <v>10</v>
      </c>
      <c r="P3500" s="8">
        <f t="shared" si="272"/>
        <v>577</v>
      </c>
      <c r="Q3500" s="8">
        <f t="shared" si="273"/>
        <v>45</v>
      </c>
      <c r="R3500" s="2" t="s">
        <v>28</v>
      </c>
      <c r="S3500" s="24">
        <f t="shared" si="274"/>
        <v>0.02</v>
      </c>
    </row>
    <row r="3501" spans="1:19" x14ac:dyDescent="0.25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>VLOOKUP(F3501,'Customer Info'!$A:$B,2,0)</f>
        <v>Kristina</v>
      </c>
      <c r="H3501" s="6" t="str">
        <f>VLOOKUP(F3501,'Customer Info'!$A$1:$C$501,3,0)</f>
        <v>Nunn</v>
      </c>
      <c r="I3501" s="6" t="str">
        <f>VLOOKUP(F3501,Customer,5,0)</f>
        <v>Jakarta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22232</v>
      </c>
      <c r="O3501" s="2">
        <v>21</v>
      </c>
      <c r="P3501" s="8">
        <f t="shared" si="272"/>
        <v>22253</v>
      </c>
      <c r="Q3501" s="8">
        <f t="shared" si="273"/>
        <v>420</v>
      </c>
      <c r="R3501" s="2" t="s">
        <v>28</v>
      </c>
      <c r="S3501" s="24">
        <f t="shared" si="274"/>
        <v>0.05</v>
      </c>
    </row>
    <row r="3502" spans="1:19" x14ac:dyDescent="0.25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>VLOOKUP(F3502,'Customer Info'!$A:$B,2,0)</f>
        <v>Eugene</v>
      </c>
      <c r="H3502" s="6" t="str">
        <f>VLOOKUP(F3502,'Customer Info'!$A$1:$C$501,3,0)</f>
        <v>Hildebrand</v>
      </c>
      <c r="I3502" s="6" t="str">
        <f>VLOOKUP(F3502,Customer,5,0)</f>
        <v>Sindelfingen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3274</v>
      </c>
      <c r="O3502" s="2">
        <v>53</v>
      </c>
      <c r="P3502" s="8">
        <f t="shared" si="272"/>
        <v>3327</v>
      </c>
      <c r="Q3502" s="8">
        <f t="shared" si="273"/>
        <v>92</v>
      </c>
      <c r="R3502" s="2" t="s">
        <v>28</v>
      </c>
      <c r="S3502" s="24">
        <f t="shared" si="274"/>
        <v>0.02</v>
      </c>
    </row>
    <row r="3503" spans="1:19" x14ac:dyDescent="0.25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>VLOOKUP(F3503,'Customer Info'!$A:$B,2,0)</f>
        <v>Sung</v>
      </c>
      <c r="H3503" s="6" t="str">
        <f>VLOOKUP(F3503,'Customer Info'!$A$1:$C$501,3,0)</f>
        <v>Shariari</v>
      </c>
      <c r="I3503" s="6" t="str">
        <f>VLOOKUP(F3503,Customer,5,0)</f>
        <v>Solapur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5195</v>
      </c>
      <c r="O3503" s="2">
        <v>51</v>
      </c>
      <c r="P3503" s="8">
        <f t="shared" si="272"/>
        <v>5246</v>
      </c>
      <c r="Q3503" s="8">
        <f t="shared" si="273"/>
        <v>425</v>
      </c>
      <c r="R3503" s="2" t="s">
        <v>26</v>
      </c>
      <c r="S3503" s="24">
        <f t="shared" si="274"/>
        <v>0.05</v>
      </c>
    </row>
    <row r="3504" spans="1:19" x14ac:dyDescent="0.25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>VLOOKUP(F3504,'Customer Info'!$A:$B,2,0)</f>
        <v>Eileen</v>
      </c>
      <c r="H3504" s="6" t="str">
        <f>VLOOKUP(F3504,'Customer Info'!$A$1:$C$501,3,0)</f>
        <v>Kiefer</v>
      </c>
      <c r="I3504" s="6" t="str">
        <f>VLOOKUP(F3504,Customer,5,0)</f>
        <v>Cologne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7052</v>
      </c>
      <c r="O3504" s="2">
        <v>31</v>
      </c>
      <c r="P3504" s="8">
        <f t="shared" si="272"/>
        <v>7083</v>
      </c>
      <c r="Q3504" s="8">
        <f t="shared" si="273"/>
        <v>644</v>
      </c>
      <c r="R3504" s="2" t="s">
        <v>28</v>
      </c>
      <c r="S3504" s="24">
        <f t="shared" si="274"/>
        <v>0.05</v>
      </c>
    </row>
    <row r="3505" spans="1:19" x14ac:dyDescent="0.25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>VLOOKUP(F3505,'Customer Info'!$A:$B,2,0)</f>
        <v>Darren</v>
      </c>
      <c r="H3505" s="6" t="str">
        <f>VLOOKUP(F3505,'Customer Info'!$A$1:$C$501,3,0)</f>
        <v>Powers</v>
      </c>
      <c r="I3505" s="6" t="str">
        <f>VLOOKUP(F3505,Customer,5,0)</f>
        <v>Depok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8277</v>
      </c>
      <c r="O3505" s="2">
        <v>57</v>
      </c>
      <c r="P3505" s="8">
        <f t="shared" si="272"/>
        <v>8334</v>
      </c>
      <c r="Q3505" s="8">
        <f t="shared" si="273"/>
        <v>393</v>
      </c>
      <c r="R3505" s="2" t="s">
        <v>28</v>
      </c>
      <c r="S3505" s="24">
        <f t="shared" si="274"/>
        <v>0.05</v>
      </c>
    </row>
    <row r="3506" spans="1:19" x14ac:dyDescent="0.25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>VLOOKUP(F3506,'Customer Info'!$A:$B,2,0)</f>
        <v>Rob</v>
      </c>
      <c r="H3506" s="6" t="str">
        <f>VLOOKUP(F3506,'Customer Info'!$A$1:$C$501,3,0)</f>
        <v>Williams</v>
      </c>
      <c r="I3506" s="6" t="str">
        <f>VLOOKUP(F3506,Customer,5,0)</f>
        <v>Wodonga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6666</v>
      </c>
      <c r="O3506" s="2">
        <v>50</v>
      </c>
      <c r="P3506" s="8">
        <f t="shared" si="272"/>
        <v>6716</v>
      </c>
      <c r="Q3506" s="8">
        <f t="shared" si="273"/>
        <v>423</v>
      </c>
      <c r="R3506" s="2" t="s">
        <v>28</v>
      </c>
      <c r="S3506" s="24">
        <f t="shared" si="274"/>
        <v>0.05</v>
      </c>
    </row>
    <row r="3507" spans="1:19" x14ac:dyDescent="0.25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>VLOOKUP(F3507,'Customer Info'!$A:$B,2,0)</f>
        <v>Guy</v>
      </c>
      <c r="H3507" s="6" t="str">
        <f>VLOOKUP(F3507,'Customer Info'!$A$1:$C$501,3,0)</f>
        <v>Phonely</v>
      </c>
      <c r="I3507" s="6" t="str">
        <f>VLOOKUP(F3507,Customer,5,0)</f>
        <v>Jodhpur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582</v>
      </c>
      <c r="O3507" s="2">
        <v>30</v>
      </c>
      <c r="P3507" s="8">
        <f t="shared" si="272"/>
        <v>612</v>
      </c>
      <c r="Q3507" s="8">
        <f t="shared" si="273"/>
        <v>54</v>
      </c>
      <c r="R3507" s="2" t="s">
        <v>50</v>
      </c>
      <c r="S3507" s="24">
        <f t="shared" si="274"/>
        <v>0.02</v>
      </c>
    </row>
    <row r="3508" spans="1:19" x14ac:dyDescent="0.25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>VLOOKUP(F3508,'Customer Info'!$A:$B,2,0)</f>
        <v>Kean</v>
      </c>
      <c r="H3508" s="6" t="str">
        <f>VLOOKUP(F3508,'Customer Info'!$A$1:$C$501,3,0)</f>
        <v>Thornton</v>
      </c>
      <c r="I3508" s="6" t="str">
        <f>VLOOKUP(F3508,Customer,5,0)</f>
        <v>Melbourne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3526</v>
      </c>
      <c r="O3508" s="2">
        <v>92</v>
      </c>
      <c r="P3508" s="8">
        <f t="shared" si="272"/>
        <v>3618</v>
      </c>
      <c r="Q3508" s="8">
        <f t="shared" si="273"/>
        <v>322</v>
      </c>
      <c r="R3508" s="2" t="s">
        <v>26</v>
      </c>
      <c r="S3508" s="24">
        <f t="shared" si="274"/>
        <v>0.02</v>
      </c>
    </row>
    <row r="3509" spans="1:19" x14ac:dyDescent="0.25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>VLOOKUP(F3509,'Customer Info'!$A:$B,2,0)</f>
        <v>Jack</v>
      </c>
      <c r="H3509" s="6" t="str">
        <f>VLOOKUP(F3509,'Customer Info'!$A$1:$C$501,3,0)</f>
        <v>Lebron</v>
      </c>
      <c r="I3509" s="6" t="str">
        <f>VLOOKUP(F3509,Customer,5,0)</f>
        <v>Erftstadt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64810</v>
      </c>
      <c r="O3509" s="2">
        <v>43</v>
      </c>
      <c r="P3509" s="8">
        <f t="shared" si="272"/>
        <v>64853</v>
      </c>
      <c r="Q3509" s="8">
        <f t="shared" si="273"/>
        <v>5970</v>
      </c>
      <c r="R3509" s="2" t="s">
        <v>26</v>
      </c>
      <c r="S3509" s="24">
        <f t="shared" si="274"/>
        <v>0.09</v>
      </c>
    </row>
    <row r="3510" spans="1:19" x14ac:dyDescent="0.25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>VLOOKUP(F3510,'Customer Info'!$A:$B,2,0)</f>
        <v>Nick</v>
      </c>
      <c r="H3510" s="6" t="str">
        <f>VLOOKUP(F3510,'Customer Info'!$A$1:$C$501,3,0)</f>
        <v>Zandusky</v>
      </c>
      <c r="I3510" s="6" t="str">
        <f>VLOOKUP(F3510,Customer,5,0)</f>
        <v>Surabaya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3056</v>
      </c>
      <c r="O3510" s="2">
        <v>38</v>
      </c>
      <c r="P3510" s="8">
        <f t="shared" si="272"/>
        <v>3094</v>
      </c>
      <c r="Q3510" s="8">
        <f t="shared" si="273"/>
        <v>360</v>
      </c>
      <c r="R3510" s="2" t="s">
        <v>28</v>
      </c>
      <c r="S3510" s="24">
        <f t="shared" si="274"/>
        <v>0.02</v>
      </c>
    </row>
    <row r="3511" spans="1:19" x14ac:dyDescent="0.25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>VLOOKUP(F3511,'Customer Info'!$A:$B,2,0)</f>
        <v>Greg</v>
      </c>
      <c r="H3511" s="6" t="str">
        <f>VLOOKUP(F3511,'Customer Info'!$A$1:$C$501,3,0)</f>
        <v>Hansen</v>
      </c>
      <c r="I3511" s="6" t="str">
        <f>VLOOKUP(F3511,Customer,5,0)</f>
        <v>Canberra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17260</v>
      </c>
      <c r="O3511" s="2">
        <v>96</v>
      </c>
      <c r="P3511" s="8">
        <f t="shared" si="272"/>
        <v>17356</v>
      </c>
      <c r="Q3511" s="8">
        <f t="shared" si="273"/>
        <v>654</v>
      </c>
      <c r="R3511" s="2" t="s">
        <v>28</v>
      </c>
      <c r="S3511" s="24">
        <f t="shared" si="274"/>
        <v>0.05</v>
      </c>
    </row>
    <row r="3512" spans="1:19" x14ac:dyDescent="0.25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>VLOOKUP(F3512,'Customer Info'!$A:$B,2,0)</f>
        <v>Hunter</v>
      </c>
      <c r="H3512" s="6" t="str">
        <f>VLOOKUP(F3512,'Customer Info'!$A$1:$C$501,3,0)</f>
        <v>Lopez</v>
      </c>
      <c r="I3512" s="6" t="str">
        <f>VLOOKUP(F3512,Customer,5,0)</f>
        <v>Wollongong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1623</v>
      </c>
      <c r="O3512" s="2">
        <v>86</v>
      </c>
      <c r="P3512" s="8">
        <f t="shared" si="272"/>
        <v>1709</v>
      </c>
      <c r="Q3512" s="8">
        <f t="shared" si="273"/>
        <v>77</v>
      </c>
      <c r="R3512" s="2" t="s">
        <v>50</v>
      </c>
      <c r="S3512" s="24">
        <f t="shared" si="274"/>
        <v>0.02</v>
      </c>
    </row>
    <row r="3513" spans="1:19" x14ac:dyDescent="0.25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>VLOOKUP(F3513,'Customer Info'!$A:$B,2,0)</f>
        <v>Deanra</v>
      </c>
      <c r="H3513" s="6" t="str">
        <f>VLOOKUP(F3513,'Customer Info'!$A$1:$C$501,3,0)</f>
        <v>Eno</v>
      </c>
      <c r="I3513" s="6" t="str">
        <f>VLOOKUP(F3513,Customer,5,0)</f>
        <v>Langen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1453</v>
      </c>
      <c r="O3513" s="2">
        <v>84</v>
      </c>
      <c r="P3513" s="8">
        <f t="shared" si="272"/>
        <v>1537</v>
      </c>
      <c r="Q3513" s="8">
        <f t="shared" si="273"/>
        <v>42</v>
      </c>
      <c r="R3513" s="2" t="s">
        <v>28</v>
      </c>
      <c r="S3513" s="24">
        <f t="shared" si="274"/>
        <v>0.02</v>
      </c>
    </row>
    <row r="3514" spans="1:19" x14ac:dyDescent="0.25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>VLOOKUP(F3514,'Customer Info'!$A:$B,2,0)</f>
        <v>Steven</v>
      </c>
      <c r="H3514" s="6" t="str">
        <f>VLOOKUP(F3514,'Customer Info'!$A$1:$C$501,3,0)</f>
        <v>Cartwright</v>
      </c>
      <c r="I3514" s="6" t="str">
        <f>VLOOKUP(F3514,Customer,5,0)</f>
        <v>Newcastle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3180</v>
      </c>
      <c r="O3514" s="2">
        <v>97</v>
      </c>
      <c r="P3514" s="8">
        <f t="shared" si="272"/>
        <v>3277</v>
      </c>
      <c r="Q3514" s="8">
        <f t="shared" si="273"/>
        <v>288</v>
      </c>
      <c r="R3514" s="2" t="s">
        <v>28</v>
      </c>
      <c r="S3514" s="24">
        <f t="shared" si="274"/>
        <v>0.02</v>
      </c>
    </row>
    <row r="3515" spans="1:19" x14ac:dyDescent="0.25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>VLOOKUP(F3515,'Customer Info'!$A:$B,2,0)</f>
        <v>Dave</v>
      </c>
      <c r="H3515" s="6" t="str">
        <f>VLOOKUP(F3515,'Customer Info'!$A$1:$C$501,3,0)</f>
        <v>Poirier</v>
      </c>
      <c r="I3515" s="6" t="str">
        <f>VLOOKUP(F3515,Customer,5,0)</f>
        <v>Changchun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1190</v>
      </c>
      <c r="O3515" s="2">
        <v>30</v>
      </c>
      <c r="P3515" s="8">
        <f t="shared" si="272"/>
        <v>1220</v>
      </c>
      <c r="Q3515" s="8">
        <f t="shared" si="273"/>
        <v>119</v>
      </c>
      <c r="R3515" s="2" t="s">
        <v>28</v>
      </c>
      <c r="S3515" s="24">
        <f t="shared" si="274"/>
        <v>0.02</v>
      </c>
    </row>
    <row r="3516" spans="1:19" x14ac:dyDescent="0.25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>VLOOKUP(F3516,'Customer Info'!$A:$B,2,0)</f>
        <v>Eric</v>
      </c>
      <c r="H3516" s="6" t="str">
        <f>VLOOKUP(F3516,'Customer Info'!$A$1:$C$501,3,0)</f>
        <v>Barreto</v>
      </c>
      <c r="I3516" s="6" t="str">
        <f>VLOOKUP(F3516,Customer,5,0)</f>
        <v>Liaoyang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300</v>
      </c>
      <c r="O3516" s="2">
        <v>10</v>
      </c>
      <c r="P3516" s="8">
        <f t="shared" si="272"/>
        <v>310</v>
      </c>
      <c r="Q3516" s="8">
        <f t="shared" si="273"/>
        <v>25</v>
      </c>
      <c r="R3516" s="2" t="s">
        <v>28</v>
      </c>
      <c r="S3516" s="24">
        <f t="shared" si="274"/>
        <v>0.02</v>
      </c>
    </row>
    <row r="3517" spans="1:19" x14ac:dyDescent="0.25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>VLOOKUP(F3517,'Customer Info'!$A:$B,2,0)</f>
        <v>Stuart</v>
      </c>
      <c r="H3517" s="6" t="str">
        <f>VLOOKUP(F3517,'Customer Info'!$A$1:$C$501,3,0)</f>
        <v>Calhoun</v>
      </c>
      <c r="I3517" s="6" t="str">
        <f>VLOOKUP(F3517,Customer,5,0)</f>
        <v>Bochum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25197</v>
      </c>
      <c r="O3517" s="2">
        <v>57</v>
      </c>
      <c r="P3517" s="8">
        <f t="shared" si="272"/>
        <v>25254</v>
      </c>
      <c r="Q3517" s="8">
        <f t="shared" si="273"/>
        <v>1194</v>
      </c>
      <c r="R3517" s="2" t="s">
        <v>50</v>
      </c>
      <c r="S3517" s="24">
        <f t="shared" si="274"/>
        <v>7.0000000000000007E-2</v>
      </c>
    </row>
    <row r="3518" spans="1:19" x14ac:dyDescent="0.25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>VLOOKUP(F3518,'Customer Info'!$A:$B,2,0)</f>
        <v>Thais</v>
      </c>
      <c r="H3518" s="6" t="str">
        <f>VLOOKUP(F3518,'Customer Info'!$A$1:$C$501,3,0)</f>
        <v>Sissman</v>
      </c>
      <c r="I3518" s="6" t="str">
        <f>VLOOKUP(F3518,Customer,5,0)</f>
        <v>Essen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5596</v>
      </c>
      <c r="O3518" s="2">
        <v>95</v>
      </c>
      <c r="P3518" s="8">
        <f t="shared" si="272"/>
        <v>5691</v>
      </c>
      <c r="Q3518" s="8">
        <f t="shared" si="273"/>
        <v>264</v>
      </c>
      <c r="R3518" s="2" t="s">
        <v>28</v>
      </c>
      <c r="S3518" s="24">
        <f t="shared" si="274"/>
        <v>0.05</v>
      </c>
    </row>
    <row r="3519" spans="1:19" x14ac:dyDescent="0.25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>VLOOKUP(F3519,'Customer Info'!$A:$B,2,0)</f>
        <v>Claire</v>
      </c>
      <c r="H3519" s="6" t="str">
        <f>VLOOKUP(F3519,'Customer Info'!$A$1:$C$501,3,0)</f>
        <v>Gute</v>
      </c>
      <c r="I3519" s="6" t="str">
        <f>VLOOKUP(F3519,Customer,5,0)</f>
        <v>Shenzhen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416</v>
      </c>
      <c r="O3519" s="2">
        <v>39</v>
      </c>
      <c r="P3519" s="8">
        <f t="shared" si="272"/>
        <v>455</v>
      </c>
      <c r="Q3519" s="8">
        <f t="shared" si="273"/>
        <v>42</v>
      </c>
      <c r="R3519" s="2" t="s">
        <v>28</v>
      </c>
      <c r="S3519" s="24">
        <f t="shared" si="274"/>
        <v>0.02</v>
      </c>
    </row>
    <row r="3520" spans="1:19" x14ac:dyDescent="0.25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>VLOOKUP(F3520,'Customer Info'!$A:$B,2,0)</f>
        <v>Toby</v>
      </c>
      <c r="H3520" s="6" t="str">
        <f>VLOOKUP(F3520,'Customer Info'!$A$1:$C$501,3,0)</f>
        <v>Gnade</v>
      </c>
      <c r="I3520" s="6" t="str">
        <f>VLOOKUP(F3520,Customer,5,0)</f>
        <v>Wagga Wagga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19200</v>
      </c>
      <c r="O3520" s="2">
        <v>79</v>
      </c>
      <c r="P3520" s="8">
        <f t="shared" si="272"/>
        <v>19279</v>
      </c>
      <c r="Q3520" s="8">
        <f t="shared" si="273"/>
        <v>-3</v>
      </c>
      <c r="R3520" s="2" t="s">
        <v>28</v>
      </c>
      <c r="S3520" s="24">
        <f t="shared" si="274"/>
        <v>0.05</v>
      </c>
    </row>
    <row r="3521" spans="1:19" x14ac:dyDescent="0.25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>VLOOKUP(F3521,'Customer Info'!$A:$B,2,0)</f>
        <v>Barry</v>
      </c>
      <c r="H3521" s="6" t="str">
        <f>VLOOKUP(F3521,'Customer Info'!$A$1:$C$501,3,0)</f>
        <v>Blumstein</v>
      </c>
      <c r="I3521" s="6" t="str">
        <f>VLOOKUP(F3521,Customer,5,0)</f>
        <v>Gold Coast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25416</v>
      </c>
      <c r="O3521" s="2">
        <v>48</v>
      </c>
      <c r="P3521" s="8">
        <f t="shared" si="272"/>
        <v>25464</v>
      </c>
      <c r="Q3521" s="8">
        <f t="shared" si="273"/>
        <v>2340</v>
      </c>
      <c r="R3521" s="2" t="s">
        <v>28</v>
      </c>
      <c r="S3521" s="24">
        <f t="shared" si="274"/>
        <v>7.0000000000000007E-2</v>
      </c>
    </row>
    <row r="3522" spans="1:19" x14ac:dyDescent="0.25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>VLOOKUP(F3522,'Customer Info'!$A:$B,2,0)</f>
        <v>David</v>
      </c>
      <c r="H3522" s="6" t="str">
        <f>VLOOKUP(F3522,'Customer Info'!$A$1:$C$501,3,0)</f>
        <v>Philippe</v>
      </c>
      <c r="I3522" s="6" t="str">
        <f>VLOOKUP(F3522,Customer,5,0)</f>
        <v>Hamburg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1342</v>
      </c>
      <c r="O3522" s="2">
        <v>23</v>
      </c>
      <c r="P3522" s="8">
        <f t="shared" si="272"/>
        <v>1365</v>
      </c>
      <c r="Q3522" s="8">
        <f t="shared" si="273"/>
        <v>88</v>
      </c>
      <c r="R3522" s="2" t="s">
        <v>28</v>
      </c>
      <c r="S3522" s="24">
        <f t="shared" si="274"/>
        <v>0.02</v>
      </c>
    </row>
    <row r="3523" spans="1:19" x14ac:dyDescent="0.25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>VLOOKUP(F3523,'Customer Info'!$A:$B,2,0)</f>
        <v>Tom</v>
      </c>
      <c r="H3523" s="6" t="str">
        <f>VLOOKUP(F3523,'Customer Info'!$A$1:$C$501,3,0)</f>
        <v>Stivers</v>
      </c>
      <c r="I3523" s="6" t="str">
        <f>VLOOKUP(F3523,Customer,5,0)</f>
        <v>Thane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17886</v>
      </c>
      <c r="O3523" s="2">
        <v>79</v>
      </c>
      <c r="P3523" s="8">
        <f t="shared" si="272"/>
        <v>17965</v>
      </c>
      <c r="Q3523" s="8">
        <f t="shared" si="273"/>
        <v>666</v>
      </c>
      <c r="R3523" s="2" t="s">
        <v>50</v>
      </c>
      <c r="S3523" s="24">
        <f t="shared" si="274"/>
        <v>0.05</v>
      </c>
    </row>
    <row r="3524" spans="1:19" x14ac:dyDescent="0.25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>VLOOKUP(F3524,'Customer Info'!$A:$B,2,0)</f>
        <v>Sung</v>
      </c>
      <c r="H3524" s="6" t="str">
        <f>VLOOKUP(F3524,'Customer Info'!$A$1:$C$501,3,0)</f>
        <v>Shariari</v>
      </c>
      <c r="I3524" s="6" t="str">
        <f>VLOOKUP(F3524,Customer,5,0)</f>
        <v>Solapur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6404</v>
      </c>
      <c r="O3524" s="2">
        <v>94</v>
      </c>
      <c r="P3524" s="8">
        <f t="shared" si="272"/>
        <v>6498</v>
      </c>
      <c r="Q3524" s="8">
        <f t="shared" si="273"/>
        <v>364</v>
      </c>
      <c r="R3524" s="2" t="s">
        <v>28</v>
      </c>
      <c r="S3524" s="24">
        <f t="shared" si="274"/>
        <v>0.05</v>
      </c>
    </row>
    <row r="3525" spans="1:19" x14ac:dyDescent="0.25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>VLOOKUP(F3525,'Customer Info'!$A:$B,2,0)</f>
        <v>Erica</v>
      </c>
      <c r="H3525" s="6" t="str">
        <f>VLOOKUP(F3525,'Customer Info'!$A$1:$C$501,3,0)</f>
        <v>Hackney</v>
      </c>
      <c r="I3525" s="6" t="str">
        <f>VLOOKUP(F3525,Customer,5,0)</f>
        <v>Perth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3224</v>
      </c>
      <c r="O3525" s="2">
        <v>38</v>
      </c>
      <c r="P3525" s="8">
        <f t="shared" si="272"/>
        <v>3262</v>
      </c>
      <c r="Q3525" s="8">
        <f t="shared" si="273"/>
        <v>323</v>
      </c>
      <c r="R3525" s="2" t="s">
        <v>28</v>
      </c>
      <c r="S3525" s="24">
        <f t="shared" si="274"/>
        <v>0.02</v>
      </c>
    </row>
    <row r="3526" spans="1:19" x14ac:dyDescent="0.25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>VLOOKUP(F3526,'Customer Info'!$A:$B,2,0)</f>
        <v>Aaron</v>
      </c>
      <c r="H3526" s="6" t="str">
        <f>VLOOKUP(F3526,'Customer Info'!$A$1:$C$501,3,0)</f>
        <v>Bergman</v>
      </c>
      <c r="I3526" s="6" t="str">
        <f>VLOOKUP(F3526,Customer,5,0)</f>
        <v>Halle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18066</v>
      </c>
      <c r="O3526" s="2">
        <v>55</v>
      </c>
      <c r="P3526" s="8">
        <f t="shared" si="272"/>
        <v>18121</v>
      </c>
      <c r="Q3526" s="8">
        <f t="shared" si="273"/>
        <v>1802</v>
      </c>
      <c r="R3526" s="2" t="s">
        <v>56</v>
      </c>
      <c r="S3526" s="24">
        <f t="shared" si="274"/>
        <v>0.05</v>
      </c>
    </row>
    <row r="3527" spans="1:19" x14ac:dyDescent="0.25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>VLOOKUP(F3527,'Customer Info'!$A:$B,2,0)</f>
        <v>Kristina</v>
      </c>
      <c r="H3527" s="6" t="str">
        <f>VLOOKUP(F3527,'Customer Info'!$A$1:$C$501,3,0)</f>
        <v>Nunn</v>
      </c>
      <c r="I3527" s="6" t="str">
        <f>VLOOKUP(F3527,Customer,5,0)</f>
        <v>Jakarta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14571</v>
      </c>
      <c r="O3527" s="2">
        <v>57</v>
      </c>
      <c r="P3527" s="8">
        <f t="shared" si="272"/>
        <v>14628</v>
      </c>
      <c r="Q3527" s="8">
        <f t="shared" si="273"/>
        <v>1593</v>
      </c>
      <c r="R3527" s="2" t="s">
        <v>28</v>
      </c>
      <c r="S3527" s="24">
        <f t="shared" si="274"/>
        <v>0.05</v>
      </c>
    </row>
    <row r="3528" spans="1:19" x14ac:dyDescent="0.25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>VLOOKUP(F3528,'Customer Info'!$A:$B,2,0)</f>
        <v>Dionis</v>
      </c>
      <c r="H3528" s="6" t="str">
        <f>VLOOKUP(F3528,'Customer Info'!$A$1:$C$501,3,0)</f>
        <v>Lloyd</v>
      </c>
      <c r="I3528" s="6" t="str">
        <f>VLOOKUP(F3528,Customer,5,0)</f>
        <v>Kamarhati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10326</v>
      </c>
      <c r="O3528" s="2">
        <v>85</v>
      </c>
      <c r="P3528" s="8">
        <f t="shared" si="272"/>
        <v>10411</v>
      </c>
      <c r="Q3528" s="8">
        <f t="shared" si="273"/>
        <v>486</v>
      </c>
      <c r="R3528" s="2" t="s">
        <v>28</v>
      </c>
      <c r="S3528" s="24">
        <f t="shared" si="274"/>
        <v>0.05</v>
      </c>
    </row>
    <row r="3529" spans="1:19" x14ac:dyDescent="0.25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>VLOOKUP(F3529,'Customer Info'!$A:$B,2,0)</f>
        <v>John</v>
      </c>
      <c r="H3529" s="6" t="str">
        <f>VLOOKUP(F3529,'Customer Info'!$A$1:$C$501,3,0)</f>
        <v>Castell</v>
      </c>
      <c r="I3529" s="6" t="str">
        <f>VLOOKUP(F3529,Customer,5,0)</f>
        <v>Jakarta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3270</v>
      </c>
      <c r="O3529" s="2">
        <v>94</v>
      </c>
      <c r="P3529" s="8">
        <f t="shared" si="272"/>
        <v>3364</v>
      </c>
      <c r="Q3529" s="8">
        <f t="shared" si="273"/>
        <v>124</v>
      </c>
      <c r="R3529" s="2" t="s">
        <v>28</v>
      </c>
      <c r="S3529" s="24">
        <f t="shared" si="274"/>
        <v>0.02</v>
      </c>
    </row>
    <row r="3530" spans="1:19" x14ac:dyDescent="0.25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>VLOOKUP(F3530,'Customer Info'!$A:$B,2,0)</f>
        <v>William</v>
      </c>
      <c r="H3530" s="6" t="str">
        <f>VLOOKUP(F3530,'Customer Info'!$A$1:$C$501,3,0)</f>
        <v>Brown</v>
      </c>
      <c r="I3530" s="6" t="str">
        <f>VLOOKUP(F3530,Customer,5,0)</f>
        <v>Denpasar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1305</v>
      </c>
      <c r="O3530" s="2">
        <v>98</v>
      </c>
      <c r="P3530" s="8">
        <f t="shared" si="272"/>
        <v>1403</v>
      </c>
      <c r="Q3530" s="8">
        <f t="shared" si="273"/>
        <v>108</v>
      </c>
      <c r="R3530" s="2" t="s">
        <v>28</v>
      </c>
      <c r="S3530" s="24">
        <f t="shared" si="274"/>
        <v>0.02</v>
      </c>
    </row>
    <row r="3531" spans="1:19" x14ac:dyDescent="0.25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>VLOOKUP(F3531,'Customer Info'!$A:$B,2,0)</f>
        <v>Tony</v>
      </c>
      <c r="H3531" s="6" t="str">
        <f>VLOOKUP(F3531,'Customer Info'!$A$1:$C$501,3,0)</f>
        <v>Sayre</v>
      </c>
      <c r="I3531" s="6" t="str">
        <f>VLOOKUP(F3531,Customer,5,0)</f>
        <v>Jakarta</v>
      </c>
      <c r="J3531" s="2">
        <v>1372</v>
      </c>
      <c r="K3531" s="2">
        <v>1308</v>
      </c>
      <c r="L3531" s="2">
        <v>4</v>
      </c>
      <c r="M3531" s="7">
        <f t="shared" ref="M3531:M3594" si="275">K3531*L3531</f>
        <v>5232</v>
      </c>
      <c r="N3531" s="7">
        <f t="shared" ref="N3531:N3594" si="276">J3531*L3531</f>
        <v>5488</v>
      </c>
      <c r="O3531" s="2">
        <v>99</v>
      </c>
      <c r="P3531" s="8">
        <f t="shared" ref="P3531:P3594" si="277">N3531+O3531</f>
        <v>5587</v>
      </c>
      <c r="Q3531" s="8">
        <f t="shared" ref="Q3531:Q3594" si="278">N3531-M3531</f>
        <v>256</v>
      </c>
      <c r="R3531" s="2" t="s">
        <v>28</v>
      </c>
      <c r="S3531" s="24">
        <f t="shared" ref="S3531:S3594" si="279">VLOOKUP(N3531,$T$1:$U$7,2,TRUE)</f>
        <v>0.05</v>
      </c>
    </row>
    <row r="3532" spans="1:19" x14ac:dyDescent="0.25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>VLOOKUP(F3532,'Customer Info'!$A:$B,2,0)</f>
        <v>Duane</v>
      </c>
      <c r="H3532" s="6" t="str">
        <f>VLOOKUP(F3532,'Customer Info'!$A$1:$C$501,3,0)</f>
        <v>Huffman</v>
      </c>
      <c r="I3532" s="6" t="str">
        <f>VLOOKUP(F3532,Customer,5,0)</f>
        <v>Jakarta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8">
        <f t="shared" si="277"/>
        <v>2776</v>
      </c>
      <c r="Q3532" s="8">
        <f t="shared" si="278"/>
        <v>100</v>
      </c>
      <c r="R3532" s="2" t="s">
        <v>50</v>
      </c>
      <c r="S3532" s="24">
        <f t="shared" si="279"/>
        <v>0.02</v>
      </c>
    </row>
    <row r="3533" spans="1:19" x14ac:dyDescent="0.25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>VLOOKUP(F3533,'Customer Info'!$A:$B,2,0)</f>
        <v>Trudy</v>
      </c>
      <c r="H3533" s="6" t="str">
        <f>VLOOKUP(F3533,'Customer Info'!$A$1:$C$501,3,0)</f>
        <v>Glocke</v>
      </c>
      <c r="I3533" s="6" t="str">
        <f>VLOOKUP(F3533,Customer,5,0)</f>
        <v>Huaiyin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8">
        <f t="shared" si="277"/>
        <v>1158</v>
      </c>
      <c r="Q3533" s="8">
        <f t="shared" si="278"/>
        <v>80</v>
      </c>
      <c r="R3533" s="2" t="s">
        <v>50</v>
      </c>
      <c r="S3533" s="24">
        <f t="shared" si="279"/>
        <v>0.02</v>
      </c>
    </row>
    <row r="3534" spans="1:19" x14ac:dyDescent="0.25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>VLOOKUP(F3534,'Customer Info'!$A:$B,2,0)</f>
        <v>Pamela</v>
      </c>
      <c r="H3534" s="6" t="str">
        <f>VLOOKUP(F3534,'Customer Info'!$A$1:$C$501,3,0)</f>
        <v>Coakley</v>
      </c>
      <c r="I3534" s="6" t="str">
        <f>VLOOKUP(F3534,Customer,5,0)</f>
        <v>Jakarta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8">
        <f t="shared" si="277"/>
        <v>9234</v>
      </c>
      <c r="Q3534" s="8">
        <f t="shared" si="278"/>
        <v>762</v>
      </c>
      <c r="R3534" s="2" t="s">
        <v>50</v>
      </c>
      <c r="S3534" s="24">
        <f t="shared" si="279"/>
        <v>0.05</v>
      </c>
    </row>
    <row r="3535" spans="1:19" x14ac:dyDescent="0.25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>VLOOKUP(F3535,'Customer Info'!$A:$B,2,0)</f>
        <v>Ed</v>
      </c>
      <c r="H3535" s="6" t="str">
        <f>VLOOKUP(F3535,'Customer Info'!$A$1:$C$501,3,0)</f>
        <v>Braxton</v>
      </c>
      <c r="I3535" s="6" t="str">
        <f>VLOOKUP(F3535,Customer,5,0)</f>
        <v>Bhatpara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8">
        <f t="shared" si="277"/>
        <v>6973</v>
      </c>
      <c r="Q3535" s="8">
        <f t="shared" si="278"/>
        <v>331</v>
      </c>
      <c r="R3535" s="2" t="s">
        <v>50</v>
      </c>
      <c r="S3535" s="24">
        <f t="shared" si="279"/>
        <v>0.05</v>
      </c>
    </row>
    <row r="3536" spans="1:19" x14ac:dyDescent="0.25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>VLOOKUP(F3536,'Customer Info'!$A:$B,2,0)</f>
        <v>Darren</v>
      </c>
      <c r="H3536" s="6" t="str">
        <f>VLOOKUP(F3536,'Customer Info'!$A$1:$C$501,3,0)</f>
        <v>Koutras</v>
      </c>
      <c r="I3536" s="6" t="str">
        <f>VLOOKUP(F3536,Customer,5,0)</f>
        <v>Pune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3148</v>
      </c>
      <c r="O3536" s="2">
        <v>94</v>
      </c>
      <c r="P3536" s="8">
        <f t="shared" si="277"/>
        <v>3242</v>
      </c>
      <c r="Q3536" s="8">
        <f t="shared" si="278"/>
        <v>398</v>
      </c>
      <c r="R3536" s="2" t="s">
        <v>28</v>
      </c>
      <c r="S3536" s="24">
        <f t="shared" si="279"/>
        <v>0.02</v>
      </c>
    </row>
    <row r="3537" spans="1:19" x14ac:dyDescent="0.25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>VLOOKUP(F3537,'Customer Info'!$A:$B,2,0)</f>
        <v>Rick</v>
      </c>
      <c r="H3537" s="6" t="str">
        <f>VLOOKUP(F3537,'Customer Info'!$A$1:$C$501,3,0)</f>
        <v>Reed</v>
      </c>
      <c r="I3537" s="6" t="str">
        <f>VLOOKUP(F3537,Customer,5,0)</f>
        <v>Lucknow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43430</v>
      </c>
      <c r="O3537" s="2">
        <v>73</v>
      </c>
      <c r="P3537" s="8">
        <f t="shared" si="277"/>
        <v>43503</v>
      </c>
      <c r="Q3537" s="8">
        <f t="shared" si="278"/>
        <v>3255</v>
      </c>
      <c r="R3537" s="2" t="s">
        <v>28</v>
      </c>
      <c r="S3537" s="24">
        <f t="shared" si="279"/>
        <v>7.0000000000000007E-2</v>
      </c>
    </row>
    <row r="3538" spans="1:19" x14ac:dyDescent="0.25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>VLOOKUP(F3538,'Customer Info'!$A:$B,2,0)</f>
        <v>Brad</v>
      </c>
      <c r="H3538" s="6" t="str">
        <f>VLOOKUP(F3538,'Customer Info'!$A$1:$C$501,3,0)</f>
        <v>Thomas</v>
      </c>
      <c r="I3538" s="6" t="str">
        <f>VLOOKUP(F3538,Customer,5,0)</f>
        <v>Udaipur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644</v>
      </c>
      <c r="O3538" s="2">
        <v>10</v>
      </c>
      <c r="P3538" s="8">
        <f t="shared" si="277"/>
        <v>654</v>
      </c>
      <c r="Q3538" s="8">
        <f t="shared" si="278"/>
        <v>70</v>
      </c>
      <c r="R3538" s="2" t="s">
        <v>26</v>
      </c>
      <c r="S3538" s="24">
        <f t="shared" si="279"/>
        <v>0.02</v>
      </c>
    </row>
    <row r="3539" spans="1:19" x14ac:dyDescent="0.25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>VLOOKUP(F3539,'Customer Info'!$A:$B,2,0)</f>
        <v>Dan</v>
      </c>
      <c r="H3539" s="6" t="str">
        <f>VLOOKUP(F3539,'Customer Info'!$A$1:$C$501,3,0)</f>
        <v>Campbell</v>
      </c>
      <c r="I3539" s="6" t="str">
        <f>VLOOKUP(F3539,Customer,5,0)</f>
        <v>Perth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4857</v>
      </c>
      <c r="O3539" s="2">
        <v>97</v>
      </c>
      <c r="P3539" s="8">
        <f t="shared" si="277"/>
        <v>4954</v>
      </c>
      <c r="Q3539" s="8">
        <f t="shared" si="278"/>
        <v>531</v>
      </c>
      <c r="R3539" s="2" t="s">
        <v>26</v>
      </c>
      <c r="S3539" s="24">
        <f t="shared" si="279"/>
        <v>0.02</v>
      </c>
    </row>
    <row r="3540" spans="1:19" x14ac:dyDescent="0.25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>VLOOKUP(F3540,'Customer Info'!$A:$B,2,0)</f>
        <v>Catherine</v>
      </c>
      <c r="H3540" s="6" t="str">
        <f>VLOOKUP(F3540,'Customer Info'!$A$1:$C$501,3,0)</f>
        <v>Glotzbach</v>
      </c>
      <c r="I3540" s="6" t="str">
        <f>VLOOKUP(F3540,Customer,5,0)</f>
        <v>Bochum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92</v>
      </c>
      <c r="O3540" s="2">
        <v>10</v>
      </c>
      <c r="P3540" s="8">
        <f t="shared" si="277"/>
        <v>102</v>
      </c>
      <c r="Q3540" s="8">
        <f t="shared" si="278"/>
        <v>10</v>
      </c>
      <c r="R3540" s="2" t="s">
        <v>28</v>
      </c>
      <c r="S3540" s="24">
        <f t="shared" si="279"/>
        <v>0.02</v>
      </c>
    </row>
    <row r="3541" spans="1:19" x14ac:dyDescent="0.25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>VLOOKUP(F3541,'Customer Info'!$A:$B,2,0)</f>
        <v>Kelly</v>
      </c>
      <c r="H3541" s="6" t="str">
        <f>VLOOKUP(F3541,'Customer Info'!$A$1:$C$501,3,0)</f>
        <v>Williams</v>
      </c>
      <c r="I3541" s="6" t="str">
        <f>VLOOKUP(F3541,Customer,5,0)</f>
        <v>Sydney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8592</v>
      </c>
      <c r="O3541" s="2">
        <v>39</v>
      </c>
      <c r="P3541" s="8">
        <f t="shared" si="277"/>
        <v>8631</v>
      </c>
      <c r="Q3541" s="8">
        <f t="shared" si="278"/>
        <v>330</v>
      </c>
      <c r="R3541" s="2" t="s">
        <v>28</v>
      </c>
      <c r="S3541" s="24">
        <f t="shared" si="279"/>
        <v>0.05</v>
      </c>
    </row>
    <row r="3542" spans="1:19" x14ac:dyDescent="0.25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>VLOOKUP(F3542,'Customer Info'!$A:$B,2,0)</f>
        <v>Randy</v>
      </c>
      <c r="H3542" s="6" t="str">
        <f>VLOOKUP(F3542,'Customer Info'!$A$1:$C$501,3,0)</f>
        <v>Ferguson</v>
      </c>
      <c r="I3542" s="6" t="str">
        <f>VLOOKUP(F3542,Customer,5,0)</f>
        <v>Adelaide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8912</v>
      </c>
      <c r="O3542" s="2">
        <v>96</v>
      </c>
      <c r="P3542" s="8">
        <f t="shared" si="277"/>
        <v>9008</v>
      </c>
      <c r="Q3542" s="8">
        <f t="shared" si="278"/>
        <v>340</v>
      </c>
      <c r="R3542" s="2" t="s">
        <v>50</v>
      </c>
      <c r="S3542" s="24">
        <f t="shared" si="279"/>
        <v>0.05</v>
      </c>
    </row>
    <row r="3543" spans="1:19" x14ac:dyDescent="0.25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>VLOOKUP(F3543,'Customer Info'!$A:$B,2,0)</f>
        <v>Steve</v>
      </c>
      <c r="H3543" s="6" t="str">
        <f>VLOOKUP(F3543,'Customer Info'!$A$1:$C$501,3,0)</f>
        <v>Nguyen</v>
      </c>
      <c r="I3543" s="6" t="str">
        <f>VLOOKUP(F3543,Customer,5,0)</f>
        <v>Delhi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1935</v>
      </c>
      <c r="O3543" s="2">
        <v>46</v>
      </c>
      <c r="P3543" s="8">
        <f t="shared" si="277"/>
        <v>1981</v>
      </c>
      <c r="Q3543" s="8">
        <f t="shared" si="278"/>
        <v>240</v>
      </c>
      <c r="R3543" s="2" t="s">
        <v>26</v>
      </c>
      <c r="S3543" s="24">
        <f t="shared" si="279"/>
        <v>0.02</v>
      </c>
    </row>
    <row r="3544" spans="1:19" x14ac:dyDescent="0.25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>VLOOKUP(F3544,'Customer Info'!$A:$B,2,0)</f>
        <v>Harry</v>
      </c>
      <c r="H3544" s="6" t="str">
        <f>VLOOKUP(F3544,'Customer Info'!$A$1:$C$501,3,0)</f>
        <v>Marie</v>
      </c>
      <c r="I3544" s="6" t="str">
        <f>VLOOKUP(F3544,Customer,5,0)</f>
        <v>Mataram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8448</v>
      </c>
      <c r="O3544" s="2">
        <v>98</v>
      </c>
      <c r="P3544" s="8">
        <f t="shared" si="277"/>
        <v>8546</v>
      </c>
      <c r="Q3544" s="8">
        <f t="shared" si="278"/>
        <v>626</v>
      </c>
      <c r="R3544" s="2" t="s">
        <v>50</v>
      </c>
      <c r="S3544" s="24">
        <f t="shared" si="279"/>
        <v>0.05</v>
      </c>
    </row>
    <row r="3545" spans="1:19" x14ac:dyDescent="0.25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>VLOOKUP(F3545,'Customer Info'!$A:$B,2,0)</f>
        <v>Robert</v>
      </c>
      <c r="H3545" s="6" t="str">
        <f>VLOOKUP(F3545,'Customer Info'!$A$1:$C$501,3,0)</f>
        <v>Dilbeck</v>
      </c>
      <c r="I3545" s="6" t="str">
        <f>VLOOKUP(F3545,Customer,5,0)</f>
        <v>Melton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4962</v>
      </c>
      <c r="O3545" s="2">
        <v>67</v>
      </c>
      <c r="P3545" s="8">
        <f t="shared" si="277"/>
        <v>5029</v>
      </c>
      <c r="Q3545" s="8">
        <f t="shared" si="278"/>
        <v>234</v>
      </c>
      <c r="R3545" s="2" t="s">
        <v>28</v>
      </c>
      <c r="S3545" s="24">
        <f t="shared" si="279"/>
        <v>0.02</v>
      </c>
    </row>
    <row r="3546" spans="1:19" x14ac:dyDescent="0.25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>VLOOKUP(F3546,'Customer Info'!$A:$B,2,0)</f>
        <v>Carol</v>
      </c>
      <c r="H3546" s="6" t="str">
        <f>VLOOKUP(F3546,'Customer Info'!$A$1:$C$501,3,0)</f>
        <v>Adams</v>
      </c>
      <c r="I3546" s="6" t="str">
        <f>VLOOKUP(F3546,Customer,5,0)</f>
        <v>Cairns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4239</v>
      </c>
      <c r="O3546" s="2">
        <v>38</v>
      </c>
      <c r="P3546" s="8">
        <f t="shared" si="277"/>
        <v>4277</v>
      </c>
      <c r="Q3546" s="8">
        <f t="shared" si="278"/>
        <v>237</v>
      </c>
      <c r="R3546" s="2" t="s">
        <v>28</v>
      </c>
      <c r="S3546" s="24">
        <f t="shared" si="279"/>
        <v>0.02</v>
      </c>
    </row>
    <row r="3547" spans="1:19" x14ac:dyDescent="0.25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>VLOOKUP(F3547,'Customer Info'!$A:$B,2,0)</f>
        <v>Sam</v>
      </c>
      <c r="H3547" s="6" t="str">
        <f>VLOOKUP(F3547,'Customer Info'!$A$1:$C$501,3,0)</f>
        <v>Zeldin</v>
      </c>
      <c r="I3547" s="6" t="str">
        <f>VLOOKUP(F3547,Customer,5,0)</f>
        <v>Yanji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15728</v>
      </c>
      <c r="O3547" s="2">
        <v>56</v>
      </c>
      <c r="P3547" s="8">
        <f t="shared" si="277"/>
        <v>15784</v>
      </c>
      <c r="Q3547" s="8">
        <f t="shared" si="278"/>
        <v>602</v>
      </c>
      <c r="R3547" s="2" t="s">
        <v>50</v>
      </c>
      <c r="S3547" s="24">
        <f t="shared" si="279"/>
        <v>0.05</v>
      </c>
    </row>
    <row r="3548" spans="1:19" x14ac:dyDescent="0.25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>VLOOKUP(F3548,'Customer Info'!$A:$B,2,0)</f>
        <v>Aaron</v>
      </c>
      <c r="H3548" s="6" t="str">
        <f>VLOOKUP(F3548,'Customer Info'!$A$1:$C$501,3,0)</f>
        <v>Smayling</v>
      </c>
      <c r="I3548" s="6" t="str">
        <f>VLOOKUP(F3548,Customer,5,0)</f>
        <v>Port Macquarie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186</v>
      </c>
      <c r="O3548" s="2">
        <v>10</v>
      </c>
      <c r="P3548" s="8">
        <f t="shared" si="277"/>
        <v>196</v>
      </c>
      <c r="Q3548" s="8">
        <f t="shared" si="278"/>
        <v>12</v>
      </c>
      <c r="R3548" s="2" t="s">
        <v>26</v>
      </c>
      <c r="S3548" s="24">
        <f t="shared" si="279"/>
        <v>0.02</v>
      </c>
    </row>
    <row r="3549" spans="1:19" x14ac:dyDescent="0.25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>VLOOKUP(F3549,'Customer Info'!$A:$B,2,0)</f>
        <v>Dana</v>
      </c>
      <c r="H3549" s="6" t="str">
        <f>VLOOKUP(F3549,'Customer Info'!$A$1:$C$501,3,0)</f>
        <v>Kaydos</v>
      </c>
      <c r="I3549" s="6" t="str">
        <f>VLOOKUP(F3549,Customer,5,0)</f>
        <v>Nagercoil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147972</v>
      </c>
      <c r="O3549" s="2">
        <v>93</v>
      </c>
      <c r="P3549" s="8">
        <f t="shared" si="277"/>
        <v>148065</v>
      </c>
      <c r="Q3549" s="8">
        <f t="shared" si="278"/>
        <v>9606</v>
      </c>
      <c r="R3549" s="2" t="s">
        <v>28</v>
      </c>
      <c r="S3549" s="24">
        <f t="shared" si="279"/>
        <v>0.12</v>
      </c>
    </row>
    <row r="3550" spans="1:19" x14ac:dyDescent="0.25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>VLOOKUP(F3550,'Customer Info'!$A:$B,2,0)</f>
        <v>Beth</v>
      </c>
      <c r="H3550" s="6" t="str">
        <f>VLOOKUP(F3550,'Customer Info'!$A$1:$C$501,3,0)</f>
        <v>Thompson</v>
      </c>
      <c r="I3550" s="6" t="str">
        <f>VLOOKUP(F3550,Customer,5,0)</f>
        <v>Lohne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525</v>
      </c>
      <c r="O3550" s="2">
        <v>30</v>
      </c>
      <c r="P3550" s="8">
        <f t="shared" si="277"/>
        <v>555</v>
      </c>
      <c r="Q3550" s="8">
        <f t="shared" si="278"/>
        <v>39</v>
      </c>
      <c r="R3550" s="2" t="s">
        <v>50</v>
      </c>
      <c r="S3550" s="24">
        <f t="shared" si="279"/>
        <v>0.02</v>
      </c>
    </row>
    <row r="3551" spans="1:19" x14ac:dyDescent="0.25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>VLOOKUP(F3551,'Customer Info'!$A:$B,2,0)</f>
        <v>Bill</v>
      </c>
      <c r="H3551" s="6" t="str">
        <f>VLOOKUP(F3551,'Customer Info'!$A$1:$C$501,3,0)</f>
        <v>Donatelli</v>
      </c>
      <c r="I3551" s="6" t="str">
        <f>VLOOKUP(F3551,Customer,5,0)</f>
        <v>Kamarhati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5202</v>
      </c>
      <c r="O3551" s="2">
        <v>20</v>
      </c>
      <c r="P3551" s="8">
        <f t="shared" si="277"/>
        <v>5222</v>
      </c>
      <c r="Q3551" s="8">
        <f t="shared" si="278"/>
        <v>96</v>
      </c>
      <c r="R3551" s="2" t="s">
        <v>50</v>
      </c>
      <c r="S3551" s="24">
        <f t="shared" si="279"/>
        <v>0.05</v>
      </c>
    </row>
    <row r="3552" spans="1:19" x14ac:dyDescent="0.25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>VLOOKUP(F3552,'Customer Info'!$A:$B,2,0)</f>
        <v>Barry</v>
      </c>
      <c r="H3552" s="6" t="str">
        <f>VLOOKUP(F3552,'Customer Info'!$A$1:$C$501,3,0)</f>
        <v>Blumstein</v>
      </c>
      <c r="I3552" s="6" t="str">
        <f>VLOOKUP(F3552,Customer,5,0)</f>
        <v>Toowoomba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664</v>
      </c>
      <c r="O3552" s="2">
        <v>35</v>
      </c>
      <c r="P3552" s="8">
        <f t="shared" si="277"/>
        <v>699</v>
      </c>
      <c r="Q3552" s="8">
        <f t="shared" si="278"/>
        <v>88</v>
      </c>
      <c r="R3552" s="2" t="s">
        <v>50</v>
      </c>
      <c r="S3552" s="24">
        <f t="shared" si="279"/>
        <v>0.02</v>
      </c>
    </row>
    <row r="3553" spans="1:19" x14ac:dyDescent="0.25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>VLOOKUP(F3553,'Customer Info'!$A:$B,2,0)</f>
        <v>George</v>
      </c>
      <c r="H3553" s="6" t="str">
        <f>VLOOKUP(F3553,'Customer Info'!$A$1:$C$501,3,0)</f>
        <v>Ashbrook</v>
      </c>
      <c r="I3553" s="6" t="str">
        <f>VLOOKUP(F3553,Customer,5,0)</f>
        <v>Jakarta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414</v>
      </c>
      <c r="O3553" s="2">
        <v>30</v>
      </c>
      <c r="P3553" s="8">
        <f t="shared" si="277"/>
        <v>444</v>
      </c>
      <c r="Q3553" s="8">
        <f t="shared" si="278"/>
        <v>30</v>
      </c>
      <c r="R3553" s="2" t="s">
        <v>50</v>
      </c>
      <c r="S3553" s="24">
        <f t="shared" si="279"/>
        <v>0.02</v>
      </c>
    </row>
    <row r="3554" spans="1:19" x14ac:dyDescent="0.25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>VLOOKUP(F3554,'Customer Info'!$A:$B,2,0)</f>
        <v>Sarah</v>
      </c>
      <c r="H3554" s="6" t="str">
        <f>VLOOKUP(F3554,'Customer Info'!$A$1:$C$501,3,0)</f>
        <v>Foster</v>
      </c>
      <c r="I3554" s="6" t="str">
        <f>VLOOKUP(F3554,Customer,5,0)</f>
        <v>Xianning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13902</v>
      </c>
      <c r="O3554" s="2">
        <v>30</v>
      </c>
      <c r="P3554" s="8">
        <f t="shared" si="277"/>
        <v>13932</v>
      </c>
      <c r="Q3554" s="8">
        <f t="shared" si="278"/>
        <v>662</v>
      </c>
      <c r="R3554" s="2" t="s">
        <v>28</v>
      </c>
      <c r="S3554" s="24">
        <f t="shared" si="279"/>
        <v>0.05</v>
      </c>
    </row>
    <row r="3555" spans="1:19" x14ac:dyDescent="0.25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>VLOOKUP(F3555,'Customer Info'!$A:$B,2,0)</f>
        <v>Erica</v>
      </c>
      <c r="H3555" s="6" t="str">
        <f>VLOOKUP(F3555,'Customer Info'!$A$1:$C$501,3,0)</f>
        <v>Hackney</v>
      </c>
      <c r="I3555" s="6" t="str">
        <f>VLOOKUP(F3555,Customer,5,0)</f>
        <v>Perth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1320</v>
      </c>
      <c r="O3555" s="2">
        <v>69</v>
      </c>
      <c r="P3555" s="8">
        <f t="shared" si="277"/>
        <v>1389</v>
      </c>
      <c r="Q3555" s="8">
        <f t="shared" si="278"/>
        <v>84</v>
      </c>
      <c r="R3555" s="2" t="s">
        <v>56</v>
      </c>
      <c r="S3555" s="24">
        <f t="shared" si="279"/>
        <v>0.02</v>
      </c>
    </row>
    <row r="3556" spans="1:19" x14ac:dyDescent="0.25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>VLOOKUP(F3556,'Customer Info'!$A:$B,2,0)</f>
        <v>Valerie</v>
      </c>
      <c r="H3556" s="6" t="str">
        <f>VLOOKUP(F3556,'Customer Info'!$A$1:$C$501,3,0)</f>
        <v>Takahito</v>
      </c>
      <c r="I3556" s="6" t="str">
        <f>VLOOKUP(F3556,Customer,5,0)</f>
        <v>Surat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474</v>
      </c>
      <c r="O3556" s="2">
        <v>71</v>
      </c>
      <c r="P3556" s="8">
        <f t="shared" si="277"/>
        <v>545</v>
      </c>
      <c r="Q3556" s="8">
        <f t="shared" si="278"/>
        <v>31</v>
      </c>
      <c r="R3556" s="2" t="s">
        <v>28</v>
      </c>
      <c r="S3556" s="24">
        <f t="shared" si="279"/>
        <v>0.02</v>
      </c>
    </row>
    <row r="3557" spans="1:19" x14ac:dyDescent="0.25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>VLOOKUP(F3557,'Customer Info'!$A:$B,2,0)</f>
        <v>Xylona</v>
      </c>
      <c r="H3557" s="6" t="str">
        <f>VLOOKUP(F3557,'Customer Info'!$A$1:$C$501,3,0)</f>
        <v>Preis</v>
      </c>
      <c r="I3557" s="6" t="str">
        <f>VLOOKUP(F3557,Customer,5,0)</f>
        <v>Suining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3174</v>
      </c>
      <c r="O3557" s="2">
        <v>58</v>
      </c>
      <c r="P3557" s="8">
        <f t="shared" si="277"/>
        <v>3232</v>
      </c>
      <c r="Q3557" s="8">
        <f t="shared" si="278"/>
        <v>318</v>
      </c>
      <c r="R3557" s="2" t="s">
        <v>26</v>
      </c>
      <c r="S3557" s="24">
        <f t="shared" si="279"/>
        <v>0.02</v>
      </c>
    </row>
    <row r="3558" spans="1:19" x14ac:dyDescent="0.25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>VLOOKUP(F3558,'Customer Info'!$A:$B,2,0)</f>
        <v>Julie</v>
      </c>
      <c r="H3558" s="6" t="str">
        <f>VLOOKUP(F3558,'Customer Info'!$A$1:$C$501,3,0)</f>
        <v>Creighton</v>
      </c>
      <c r="I3558" s="6" t="str">
        <f>VLOOKUP(F3558,Customer,5,0)</f>
        <v>Bandung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28544</v>
      </c>
      <c r="O3558" s="2">
        <v>73</v>
      </c>
      <c r="P3558" s="8">
        <f t="shared" si="277"/>
        <v>28617</v>
      </c>
      <c r="Q3558" s="8">
        <f t="shared" si="278"/>
        <v>1840</v>
      </c>
      <c r="R3558" s="2" t="s">
        <v>50</v>
      </c>
      <c r="S3558" s="24">
        <f t="shared" si="279"/>
        <v>7.0000000000000007E-2</v>
      </c>
    </row>
    <row r="3559" spans="1:19" x14ac:dyDescent="0.25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>VLOOKUP(F3559,'Customer Info'!$A:$B,2,0)</f>
        <v>Cari</v>
      </c>
      <c r="H3559" s="6" t="str">
        <f>VLOOKUP(F3559,'Customer Info'!$A$1:$C$501,3,0)</f>
        <v>Schnelling</v>
      </c>
      <c r="I3559" s="6" t="str">
        <f>VLOOKUP(F3559,Customer,5,0)</f>
        <v>Agra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8800</v>
      </c>
      <c r="O3559" s="2">
        <v>75</v>
      </c>
      <c r="P3559" s="8">
        <f t="shared" si="277"/>
        <v>8875</v>
      </c>
      <c r="Q3559" s="8">
        <f t="shared" si="278"/>
        <v>720</v>
      </c>
      <c r="R3559" s="2" t="s">
        <v>50</v>
      </c>
      <c r="S3559" s="24">
        <f t="shared" si="279"/>
        <v>0.05</v>
      </c>
    </row>
    <row r="3560" spans="1:19" x14ac:dyDescent="0.25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>VLOOKUP(F3560,'Customer Info'!$A:$B,2,0)</f>
        <v>Victoria</v>
      </c>
      <c r="H3560" s="6" t="str">
        <f>VLOOKUP(F3560,'Customer Info'!$A$1:$C$501,3,0)</f>
        <v>Brennan</v>
      </c>
      <c r="I3560" s="6" t="str">
        <f>VLOOKUP(F3560,Customer,5,0)</f>
        <v>Mangalore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1728</v>
      </c>
      <c r="O3560" s="2">
        <v>30</v>
      </c>
      <c r="P3560" s="8">
        <f t="shared" si="277"/>
        <v>1758</v>
      </c>
      <c r="Q3560" s="8">
        <f t="shared" si="278"/>
        <v>144</v>
      </c>
      <c r="R3560" s="2" t="s">
        <v>26</v>
      </c>
      <c r="S3560" s="24">
        <f t="shared" si="279"/>
        <v>0.02</v>
      </c>
    </row>
    <row r="3561" spans="1:19" x14ac:dyDescent="0.25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>VLOOKUP(F3561,'Customer Info'!$A:$B,2,0)</f>
        <v>Eugene</v>
      </c>
      <c r="H3561" s="6" t="str">
        <f>VLOOKUP(F3561,'Customer Info'!$A$1:$C$501,3,0)</f>
        <v>Hildebrand</v>
      </c>
      <c r="I3561" s="6" t="str">
        <f>VLOOKUP(F3561,Customer,5,0)</f>
        <v>Sindelfingen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6995</v>
      </c>
      <c r="O3561" s="2">
        <v>58</v>
      </c>
      <c r="P3561" s="8">
        <f t="shared" si="277"/>
        <v>7053</v>
      </c>
      <c r="Q3561" s="8">
        <f t="shared" si="278"/>
        <v>330</v>
      </c>
      <c r="R3561" s="2" t="s">
        <v>28</v>
      </c>
      <c r="S3561" s="24">
        <f t="shared" si="279"/>
        <v>0.05</v>
      </c>
    </row>
    <row r="3562" spans="1:19" x14ac:dyDescent="0.25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>VLOOKUP(F3562,'Customer Info'!$A:$B,2,0)</f>
        <v>Anemone</v>
      </c>
      <c r="H3562" s="6" t="str">
        <f>VLOOKUP(F3562,'Customer Info'!$A$1:$C$501,3,0)</f>
        <v>Ratner</v>
      </c>
      <c r="I3562" s="6" t="str">
        <f>VLOOKUP(F3562,Customer,5,0)</f>
        <v>Pune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450</v>
      </c>
      <c r="O3562" s="2">
        <v>10</v>
      </c>
      <c r="P3562" s="8">
        <f t="shared" si="277"/>
        <v>460</v>
      </c>
      <c r="Q3562" s="8">
        <f t="shared" si="278"/>
        <v>45</v>
      </c>
      <c r="R3562" s="2" t="s">
        <v>28</v>
      </c>
      <c r="S3562" s="24">
        <f t="shared" si="279"/>
        <v>0.02</v>
      </c>
    </row>
    <row r="3563" spans="1:19" x14ac:dyDescent="0.25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>VLOOKUP(F3563,'Customer Info'!$A:$B,2,0)</f>
        <v>Julie</v>
      </c>
      <c r="H3563" s="6" t="str">
        <f>VLOOKUP(F3563,'Customer Info'!$A$1:$C$501,3,0)</f>
        <v>Creighton</v>
      </c>
      <c r="I3563" s="6" t="str">
        <f>VLOOKUP(F3563,Customer,5,0)</f>
        <v>Bandung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1593</v>
      </c>
      <c r="O3563" s="2">
        <v>25</v>
      </c>
      <c r="P3563" s="8">
        <f t="shared" si="277"/>
        <v>1618</v>
      </c>
      <c r="Q3563" s="8">
        <f t="shared" si="278"/>
        <v>132</v>
      </c>
      <c r="R3563" s="2" t="s">
        <v>28</v>
      </c>
      <c r="S3563" s="24">
        <f t="shared" si="279"/>
        <v>0.02</v>
      </c>
    </row>
    <row r="3564" spans="1:19" x14ac:dyDescent="0.25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>VLOOKUP(F3564,'Customer Info'!$A:$B,2,0)</f>
        <v>Ralph</v>
      </c>
      <c r="H3564" s="6" t="str">
        <f>VLOOKUP(F3564,'Customer Info'!$A$1:$C$501,3,0)</f>
        <v>Kennedy</v>
      </c>
      <c r="I3564" s="6" t="str">
        <f>VLOOKUP(F3564,Customer,5,0)</f>
        <v>Perth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828</v>
      </c>
      <c r="O3564" s="2">
        <v>30</v>
      </c>
      <c r="P3564" s="8">
        <f t="shared" si="277"/>
        <v>858</v>
      </c>
      <c r="Q3564" s="8">
        <f t="shared" si="278"/>
        <v>60</v>
      </c>
      <c r="R3564" s="2" t="s">
        <v>28</v>
      </c>
      <c r="S3564" s="24">
        <f t="shared" si="279"/>
        <v>0.02</v>
      </c>
    </row>
    <row r="3565" spans="1:19" x14ac:dyDescent="0.25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>VLOOKUP(F3565,'Customer Info'!$A:$B,2,0)</f>
        <v>John</v>
      </c>
      <c r="H3565" s="6" t="str">
        <f>VLOOKUP(F3565,'Customer Info'!$A$1:$C$501,3,0)</f>
        <v>Lucas</v>
      </c>
      <c r="I3565" s="6" t="str">
        <f>VLOOKUP(F3565,Customer,5,0)</f>
        <v>Beijing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42757</v>
      </c>
      <c r="O3565" s="2">
        <v>54</v>
      </c>
      <c r="P3565" s="8">
        <f t="shared" si="277"/>
        <v>42811</v>
      </c>
      <c r="Q3565" s="8">
        <f t="shared" si="278"/>
        <v>2392</v>
      </c>
      <c r="R3565" s="2" t="s">
        <v>28</v>
      </c>
      <c r="S3565" s="24">
        <f t="shared" si="279"/>
        <v>7.0000000000000007E-2</v>
      </c>
    </row>
    <row r="3566" spans="1:19" x14ac:dyDescent="0.25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>VLOOKUP(F3566,'Customer Info'!$A:$B,2,0)</f>
        <v>Anthony</v>
      </c>
      <c r="H3566" s="6" t="str">
        <f>VLOOKUP(F3566,'Customer Info'!$A$1:$C$501,3,0)</f>
        <v>O'Donnell</v>
      </c>
      <c r="I3566" s="6" t="str">
        <f>VLOOKUP(F3566,Customer,5,0)</f>
        <v>Berlin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973</v>
      </c>
      <c r="O3566" s="2">
        <v>78</v>
      </c>
      <c r="P3566" s="8">
        <f t="shared" si="277"/>
        <v>1051</v>
      </c>
      <c r="Q3566" s="8">
        <f t="shared" si="278"/>
        <v>63</v>
      </c>
      <c r="R3566" s="2" t="s">
        <v>28</v>
      </c>
      <c r="S3566" s="24">
        <f t="shared" si="279"/>
        <v>0.02</v>
      </c>
    </row>
    <row r="3567" spans="1:19" x14ac:dyDescent="0.25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>VLOOKUP(F3567,'Customer Info'!$A:$B,2,0)</f>
        <v>Steve</v>
      </c>
      <c r="H3567" s="6" t="str">
        <f>VLOOKUP(F3567,'Customer Info'!$A$1:$C$501,3,0)</f>
        <v>Nguyen</v>
      </c>
      <c r="I3567" s="6" t="str">
        <f>VLOOKUP(F3567,Customer,5,0)</f>
        <v>Delhi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162</v>
      </c>
      <c r="O3567" s="2">
        <v>10</v>
      </c>
      <c r="P3567" s="8">
        <f t="shared" si="277"/>
        <v>172</v>
      </c>
      <c r="Q3567" s="8">
        <f t="shared" si="278"/>
        <v>8</v>
      </c>
      <c r="R3567" s="2" t="s">
        <v>50</v>
      </c>
      <c r="S3567" s="24">
        <f t="shared" si="279"/>
        <v>0.02</v>
      </c>
    </row>
    <row r="3568" spans="1:19" x14ac:dyDescent="0.25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>VLOOKUP(F3568,'Customer Info'!$A:$B,2,0)</f>
        <v>Vivek</v>
      </c>
      <c r="H3568" s="6" t="str">
        <f>VLOOKUP(F3568,'Customer Info'!$A$1:$C$501,3,0)</f>
        <v>Grady</v>
      </c>
      <c r="I3568" s="6" t="str">
        <f>VLOOKUP(F3568,Customer,5,0)</f>
        <v>Shantou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15382</v>
      </c>
      <c r="O3568" s="2">
        <v>21</v>
      </c>
      <c r="P3568" s="8">
        <f t="shared" si="277"/>
        <v>15403</v>
      </c>
      <c r="Q3568" s="8">
        <f t="shared" si="278"/>
        <v>872</v>
      </c>
      <c r="R3568" s="2" t="s">
        <v>28</v>
      </c>
      <c r="S3568" s="24">
        <f t="shared" si="279"/>
        <v>0.05</v>
      </c>
    </row>
    <row r="3569" spans="1:19" x14ac:dyDescent="0.25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>VLOOKUP(F3569,'Customer Info'!$A:$B,2,0)</f>
        <v>Thomas</v>
      </c>
      <c r="H3569" s="6" t="str">
        <f>VLOOKUP(F3569,'Customer Info'!$A$1:$C$501,3,0)</f>
        <v>Seio</v>
      </c>
      <c r="I3569" s="6" t="str">
        <f>VLOOKUP(F3569,Customer,5,0)</f>
        <v>Melbourne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2630</v>
      </c>
      <c r="O3569" s="2">
        <v>43</v>
      </c>
      <c r="P3569" s="8">
        <f t="shared" si="277"/>
        <v>2673</v>
      </c>
      <c r="Q3569" s="8">
        <f t="shared" si="278"/>
        <v>195</v>
      </c>
      <c r="R3569" s="2" t="s">
        <v>28</v>
      </c>
      <c r="S3569" s="24">
        <f t="shared" si="279"/>
        <v>0.02</v>
      </c>
    </row>
    <row r="3570" spans="1:19" x14ac:dyDescent="0.25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>VLOOKUP(F3570,'Customer Info'!$A:$B,2,0)</f>
        <v>Tom</v>
      </c>
      <c r="H3570" s="6" t="str">
        <f>VLOOKUP(F3570,'Customer Info'!$A$1:$C$501,3,0)</f>
        <v>Stivers</v>
      </c>
      <c r="I3570" s="6" t="str">
        <f>VLOOKUP(F3570,Customer,5,0)</f>
        <v>Thane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570</v>
      </c>
      <c r="O3570" s="2">
        <v>59</v>
      </c>
      <c r="P3570" s="8">
        <f t="shared" si="277"/>
        <v>629</v>
      </c>
      <c r="Q3570" s="8">
        <f t="shared" si="278"/>
        <v>52</v>
      </c>
      <c r="R3570" s="2" t="s">
        <v>50</v>
      </c>
      <c r="S3570" s="24">
        <f t="shared" si="279"/>
        <v>0.02</v>
      </c>
    </row>
    <row r="3571" spans="1:19" x14ac:dyDescent="0.25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>VLOOKUP(F3571,'Customer Info'!$A:$B,2,0)</f>
        <v>Alice</v>
      </c>
      <c r="H3571" s="6" t="str">
        <f>VLOOKUP(F3571,'Customer Info'!$A$1:$C$501,3,0)</f>
        <v>McCarthy</v>
      </c>
      <c r="I3571" s="6" t="str">
        <f>VLOOKUP(F3571,Customer,5,0)</f>
        <v>Berlin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26058</v>
      </c>
      <c r="O3571" s="2">
        <v>76</v>
      </c>
      <c r="P3571" s="8">
        <f t="shared" si="277"/>
        <v>26134</v>
      </c>
      <c r="Q3571" s="8">
        <f t="shared" si="278"/>
        <v>1953</v>
      </c>
      <c r="R3571" s="2" t="s">
        <v>28</v>
      </c>
      <c r="S3571" s="24">
        <f t="shared" si="279"/>
        <v>7.0000000000000007E-2</v>
      </c>
    </row>
    <row r="3572" spans="1:19" x14ac:dyDescent="0.25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>VLOOKUP(F3572,'Customer Info'!$A:$B,2,0)</f>
        <v>Dorothy</v>
      </c>
      <c r="H3572" s="6" t="str">
        <f>VLOOKUP(F3572,'Customer Info'!$A$1:$C$501,3,0)</f>
        <v>Wardle</v>
      </c>
      <c r="I3572" s="6" t="str">
        <f>VLOOKUP(F3572,Customer,5,0)</f>
        <v>Sydney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7141</v>
      </c>
      <c r="O3572" s="2">
        <v>39</v>
      </c>
      <c r="P3572" s="8">
        <f t="shared" si="277"/>
        <v>7180</v>
      </c>
      <c r="Q3572" s="8">
        <f t="shared" si="278"/>
        <v>600</v>
      </c>
      <c r="R3572" s="2" t="s">
        <v>28</v>
      </c>
      <c r="S3572" s="24">
        <f t="shared" si="279"/>
        <v>0.05</v>
      </c>
    </row>
    <row r="3573" spans="1:19" x14ac:dyDescent="0.25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>VLOOKUP(F3573,'Customer Info'!$A:$B,2,0)</f>
        <v>Charles</v>
      </c>
      <c r="H3573" s="6" t="str">
        <f>VLOOKUP(F3573,'Customer Info'!$A$1:$C$501,3,0)</f>
        <v>Sheldon</v>
      </c>
      <c r="I3573" s="6" t="str">
        <f>VLOOKUP(F3573,Customer,5,0)</f>
        <v>Brisbane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9692</v>
      </c>
      <c r="O3573" s="2">
        <v>64</v>
      </c>
      <c r="P3573" s="8">
        <f t="shared" si="277"/>
        <v>9756</v>
      </c>
      <c r="Q3573" s="8">
        <f t="shared" si="278"/>
        <v>708</v>
      </c>
      <c r="R3573" s="2" t="s">
        <v>28</v>
      </c>
      <c r="S3573" s="24">
        <f t="shared" si="279"/>
        <v>0.05</v>
      </c>
    </row>
    <row r="3574" spans="1:19" x14ac:dyDescent="0.25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>VLOOKUP(F3574,'Customer Info'!$A:$B,2,0)</f>
        <v>Thomas</v>
      </c>
      <c r="H3574" s="6" t="str">
        <f>VLOOKUP(F3574,'Customer Info'!$A$1:$C$501,3,0)</f>
        <v>Brumley</v>
      </c>
      <c r="I3574" s="6" t="str">
        <f>VLOOKUP(F3574,Customer,5,0)</f>
        <v>Jinan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284</v>
      </c>
      <c r="O3574" s="2">
        <v>30</v>
      </c>
      <c r="P3574" s="8">
        <f t="shared" si="277"/>
        <v>314</v>
      </c>
      <c r="Q3574" s="8">
        <f t="shared" si="278"/>
        <v>26</v>
      </c>
      <c r="R3574" s="2" t="s">
        <v>50</v>
      </c>
      <c r="S3574" s="24">
        <f t="shared" si="279"/>
        <v>0.02</v>
      </c>
    </row>
    <row r="3575" spans="1:19" x14ac:dyDescent="0.25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>VLOOKUP(F3575,'Customer Info'!$A:$B,2,0)</f>
        <v>Rachel</v>
      </c>
      <c r="H3575" s="6" t="str">
        <f>VLOOKUP(F3575,'Customer Info'!$A$1:$C$501,3,0)</f>
        <v>Payne</v>
      </c>
      <c r="I3575" s="6" t="str">
        <f>VLOOKUP(F3575,Customer,5,0)</f>
        <v>Fuzhou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1808</v>
      </c>
      <c r="O3575" s="2">
        <v>29</v>
      </c>
      <c r="P3575" s="8">
        <f t="shared" si="277"/>
        <v>1837</v>
      </c>
      <c r="Q3575" s="8">
        <f t="shared" si="278"/>
        <v>68</v>
      </c>
      <c r="R3575" s="2" t="s">
        <v>28</v>
      </c>
      <c r="S3575" s="24">
        <f t="shared" si="279"/>
        <v>0.02</v>
      </c>
    </row>
    <row r="3576" spans="1:19" x14ac:dyDescent="0.25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>VLOOKUP(F3576,'Customer Info'!$A:$B,2,0)</f>
        <v>Bill</v>
      </c>
      <c r="H3576" s="6" t="str">
        <f>VLOOKUP(F3576,'Customer Info'!$A$1:$C$501,3,0)</f>
        <v>Eplett</v>
      </c>
      <c r="I3576" s="6" t="str">
        <f>VLOOKUP(F3576,Customer,5,0)</f>
        <v>Newcastle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8853</v>
      </c>
      <c r="O3576" s="2">
        <v>82</v>
      </c>
      <c r="P3576" s="8">
        <f t="shared" si="277"/>
        <v>8935</v>
      </c>
      <c r="Q3576" s="8">
        <f t="shared" si="278"/>
        <v>495</v>
      </c>
      <c r="R3576" s="2" t="s">
        <v>28</v>
      </c>
      <c r="S3576" s="24">
        <f t="shared" si="279"/>
        <v>0.05</v>
      </c>
    </row>
    <row r="3577" spans="1:19" x14ac:dyDescent="0.25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>VLOOKUP(F3577,'Customer Info'!$A:$B,2,0)</f>
        <v>Kristina</v>
      </c>
      <c r="H3577" s="6" t="str">
        <f>VLOOKUP(F3577,'Customer Info'!$A$1:$C$501,3,0)</f>
        <v>Nunn</v>
      </c>
      <c r="I3577" s="6" t="str">
        <f>VLOOKUP(F3577,Customer,5,0)</f>
        <v>Jakarta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288</v>
      </c>
      <c r="O3577" s="2">
        <v>54</v>
      </c>
      <c r="P3577" s="8">
        <f t="shared" si="277"/>
        <v>342</v>
      </c>
      <c r="Q3577" s="8">
        <f t="shared" si="278"/>
        <v>24</v>
      </c>
      <c r="R3577" s="2" t="s">
        <v>28</v>
      </c>
      <c r="S3577" s="24">
        <f t="shared" si="279"/>
        <v>0.02</v>
      </c>
    </row>
    <row r="3578" spans="1:19" x14ac:dyDescent="0.25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>VLOOKUP(F3578,'Customer Info'!$A:$B,2,0)</f>
        <v>Frank</v>
      </c>
      <c r="H3578" s="6" t="str">
        <f>VLOOKUP(F3578,'Customer Info'!$A$1:$C$501,3,0)</f>
        <v>Hawley</v>
      </c>
      <c r="I3578" s="6" t="str">
        <f>VLOOKUP(F3578,Customer,5,0)</f>
        <v>Gold Coast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576</v>
      </c>
      <c r="O3578" s="2">
        <v>30</v>
      </c>
      <c r="P3578" s="8">
        <f t="shared" si="277"/>
        <v>606</v>
      </c>
      <c r="Q3578" s="8">
        <f t="shared" si="278"/>
        <v>48</v>
      </c>
      <c r="R3578" s="2" t="s">
        <v>50</v>
      </c>
      <c r="S3578" s="24">
        <f t="shared" si="279"/>
        <v>0.02</v>
      </c>
    </row>
    <row r="3579" spans="1:19" x14ac:dyDescent="0.25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>VLOOKUP(F3579,'Customer Info'!$A:$B,2,0)</f>
        <v>Toby</v>
      </c>
      <c r="H3579" s="6" t="str">
        <f>VLOOKUP(F3579,'Customer Info'!$A$1:$C$501,3,0)</f>
        <v>Gnade</v>
      </c>
      <c r="I3579" s="6" t="str">
        <f>VLOOKUP(F3579,Customer,5,0)</f>
        <v>Bhopal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19062</v>
      </c>
      <c r="O3579" s="2">
        <v>49</v>
      </c>
      <c r="P3579" s="8">
        <f t="shared" si="277"/>
        <v>19111</v>
      </c>
      <c r="Q3579" s="8">
        <f t="shared" si="278"/>
        <v>1755</v>
      </c>
      <c r="R3579" s="2" t="s">
        <v>50</v>
      </c>
      <c r="S3579" s="24">
        <f t="shared" si="279"/>
        <v>0.05</v>
      </c>
    </row>
    <row r="3580" spans="1:19" x14ac:dyDescent="0.25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>VLOOKUP(F3580,'Customer Info'!$A:$B,2,0)</f>
        <v>Thais</v>
      </c>
      <c r="H3580" s="6" t="str">
        <f>VLOOKUP(F3580,'Customer Info'!$A$1:$C$501,3,0)</f>
        <v>Sissman</v>
      </c>
      <c r="I3580" s="6" t="str">
        <f>VLOOKUP(F3580,Customer,5,0)</f>
        <v>Essen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184</v>
      </c>
      <c r="O3580" s="2">
        <v>10</v>
      </c>
      <c r="P3580" s="8">
        <f t="shared" si="277"/>
        <v>194</v>
      </c>
      <c r="Q3580" s="8">
        <f t="shared" si="278"/>
        <v>14</v>
      </c>
      <c r="R3580" s="2" t="s">
        <v>56</v>
      </c>
      <c r="S3580" s="24">
        <f t="shared" si="279"/>
        <v>0.02</v>
      </c>
    </row>
    <row r="3581" spans="1:19" x14ac:dyDescent="0.25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>VLOOKUP(F3581,'Customer Info'!$A:$B,2,0)</f>
        <v>Shaun</v>
      </c>
      <c r="H3581" s="6" t="str">
        <f>VLOOKUP(F3581,'Customer Info'!$A$1:$C$501,3,0)</f>
        <v>Weien</v>
      </c>
      <c r="I3581" s="6" t="str">
        <f>VLOOKUP(F3581,Customer,5,0)</f>
        <v>Medan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3558</v>
      </c>
      <c r="O3581" s="2">
        <v>49</v>
      </c>
      <c r="P3581" s="8">
        <f t="shared" si="277"/>
        <v>3607</v>
      </c>
      <c r="Q3581" s="8">
        <f t="shared" si="278"/>
        <v>135</v>
      </c>
      <c r="R3581" s="2" t="s">
        <v>28</v>
      </c>
      <c r="S3581" s="24">
        <f t="shared" si="279"/>
        <v>0.02</v>
      </c>
    </row>
    <row r="3582" spans="1:19" x14ac:dyDescent="0.25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>VLOOKUP(F3582,'Customer Info'!$A:$B,2,0)</f>
        <v>Carol</v>
      </c>
      <c r="H3582" s="6" t="str">
        <f>VLOOKUP(F3582,'Customer Info'!$A$1:$C$501,3,0)</f>
        <v>Adams</v>
      </c>
      <c r="I3582" s="6" t="str">
        <f>VLOOKUP(F3582,Customer,5,0)</f>
        <v>Cairns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29444</v>
      </c>
      <c r="O3582" s="2">
        <v>28</v>
      </c>
      <c r="P3582" s="8">
        <f t="shared" si="277"/>
        <v>29472</v>
      </c>
      <c r="Q3582" s="8">
        <f t="shared" si="278"/>
        <v>1896</v>
      </c>
      <c r="R3582" s="2" t="s">
        <v>50</v>
      </c>
      <c r="S3582" s="24">
        <f t="shared" si="279"/>
        <v>7.0000000000000007E-2</v>
      </c>
    </row>
    <row r="3583" spans="1:19" x14ac:dyDescent="0.25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>VLOOKUP(F3583,'Customer Info'!$A:$B,2,0)</f>
        <v>Steven</v>
      </c>
      <c r="H3583" s="6" t="str">
        <f>VLOOKUP(F3583,'Customer Info'!$A$1:$C$501,3,0)</f>
        <v>Cartwright</v>
      </c>
      <c r="I3583" s="6" t="str">
        <f>VLOOKUP(F3583,Customer,5,0)</f>
        <v>Newcastle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58</v>
      </c>
      <c r="O3583" s="2">
        <v>10</v>
      </c>
      <c r="P3583" s="8">
        <f t="shared" si="277"/>
        <v>68</v>
      </c>
      <c r="Q3583" s="8">
        <f t="shared" si="278"/>
        <v>2</v>
      </c>
      <c r="R3583" s="2" t="s">
        <v>28</v>
      </c>
      <c r="S3583" s="24">
        <f t="shared" si="279"/>
        <v>0.02</v>
      </c>
    </row>
    <row r="3584" spans="1:19" x14ac:dyDescent="0.25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>VLOOKUP(F3584,'Customer Info'!$A:$B,2,0)</f>
        <v>Valerie</v>
      </c>
      <c r="H3584" s="6" t="str">
        <f>VLOOKUP(F3584,'Customer Info'!$A$1:$C$501,3,0)</f>
        <v>Mitchum</v>
      </c>
      <c r="I3584" s="6" t="str">
        <f>VLOOKUP(F3584,Customer,5,0)</f>
        <v>Chengdu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7974</v>
      </c>
      <c r="O3584" s="2">
        <v>71</v>
      </c>
      <c r="P3584" s="8">
        <f t="shared" si="277"/>
        <v>8045</v>
      </c>
      <c r="Q3584" s="8">
        <f t="shared" si="278"/>
        <v>810</v>
      </c>
      <c r="R3584" s="2" t="s">
        <v>28</v>
      </c>
      <c r="S3584" s="24">
        <f t="shared" si="279"/>
        <v>0.05</v>
      </c>
    </row>
    <row r="3585" spans="1:19" x14ac:dyDescent="0.25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>VLOOKUP(F3585,'Customer Info'!$A:$B,2,0)</f>
        <v>Brendan</v>
      </c>
      <c r="H3585" s="6" t="str">
        <f>VLOOKUP(F3585,'Customer Info'!$A$1:$C$501,3,0)</f>
        <v>Murry</v>
      </c>
      <c r="I3585" s="6" t="str">
        <f>VLOOKUP(F3585,Customer,5,0)</f>
        <v>Brahmapur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5957</v>
      </c>
      <c r="O3585" s="2">
        <v>72</v>
      </c>
      <c r="P3585" s="8">
        <f t="shared" si="277"/>
        <v>6029</v>
      </c>
      <c r="Q3585" s="8">
        <f t="shared" si="278"/>
        <v>546</v>
      </c>
      <c r="R3585" s="2" t="s">
        <v>28</v>
      </c>
      <c r="S3585" s="24">
        <f t="shared" si="279"/>
        <v>0.05</v>
      </c>
    </row>
    <row r="3586" spans="1:19" x14ac:dyDescent="0.25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>VLOOKUP(F3586,'Customer Info'!$A:$B,2,0)</f>
        <v>Rob</v>
      </c>
      <c r="H3586" s="6" t="str">
        <f>VLOOKUP(F3586,'Customer Info'!$A$1:$C$501,3,0)</f>
        <v>Haberlin</v>
      </c>
      <c r="I3586" s="6" t="str">
        <f>VLOOKUP(F3586,Customer,5,0)</f>
        <v>Harbin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100</v>
      </c>
      <c r="O3586" s="2">
        <v>10</v>
      </c>
      <c r="P3586" s="8">
        <f t="shared" si="277"/>
        <v>110</v>
      </c>
      <c r="Q3586" s="8">
        <f t="shared" si="278"/>
        <v>5</v>
      </c>
      <c r="R3586" s="2" t="s">
        <v>28</v>
      </c>
      <c r="S3586" s="24">
        <f t="shared" si="279"/>
        <v>0.02</v>
      </c>
    </row>
    <row r="3587" spans="1:19" x14ac:dyDescent="0.25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>VLOOKUP(F3587,'Customer Info'!$A:$B,2,0)</f>
        <v>Dianna</v>
      </c>
      <c r="H3587" s="6" t="str">
        <f>VLOOKUP(F3587,'Customer Info'!$A$1:$C$501,3,0)</f>
        <v>Vittorini</v>
      </c>
      <c r="I3587" s="6" t="str">
        <f>VLOOKUP(F3587,Customer,5,0)</f>
        <v>Cottbus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1039</v>
      </c>
      <c r="O3587" s="2">
        <v>63</v>
      </c>
      <c r="P3587" s="8">
        <f t="shared" si="277"/>
        <v>1102</v>
      </c>
      <c r="Q3587" s="8">
        <f t="shared" si="278"/>
        <v>85</v>
      </c>
      <c r="R3587" s="2" t="s">
        <v>28</v>
      </c>
      <c r="S3587" s="24">
        <f t="shared" si="279"/>
        <v>0.02</v>
      </c>
    </row>
    <row r="3588" spans="1:19" x14ac:dyDescent="0.25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>VLOOKUP(F3588,'Customer Info'!$A:$B,2,0)</f>
        <v>Nat</v>
      </c>
      <c r="H3588" s="6" t="str">
        <f>VLOOKUP(F3588,'Customer Info'!$A$1:$C$501,3,0)</f>
        <v>Carroll</v>
      </c>
      <c r="I3588" s="6" t="str">
        <f>VLOOKUP(F3588,Customer,5,0)</f>
        <v>Shanghai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60446</v>
      </c>
      <c r="O3588" s="2">
        <v>92</v>
      </c>
      <c r="P3588" s="8">
        <f t="shared" si="277"/>
        <v>60538</v>
      </c>
      <c r="Q3588" s="8">
        <f t="shared" si="278"/>
        <v>5590</v>
      </c>
      <c r="R3588" s="2" t="s">
        <v>28</v>
      </c>
      <c r="S3588" s="24">
        <f t="shared" si="279"/>
        <v>0.09</v>
      </c>
    </row>
    <row r="3589" spans="1:19" x14ac:dyDescent="0.25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>VLOOKUP(F3589,'Customer Info'!$A:$B,2,0)</f>
        <v>Ben</v>
      </c>
      <c r="H3589" s="6" t="str">
        <f>VLOOKUP(F3589,'Customer Info'!$A$1:$C$501,3,0)</f>
        <v>Peterman</v>
      </c>
      <c r="I3589" s="6" t="str">
        <f>VLOOKUP(F3589,Customer,5,0)</f>
        <v>Bielefeld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2273</v>
      </c>
      <c r="O3589" s="2">
        <v>71</v>
      </c>
      <c r="P3589" s="8">
        <f t="shared" si="277"/>
        <v>2344</v>
      </c>
      <c r="Q3589" s="8">
        <f t="shared" si="278"/>
        <v>44</v>
      </c>
      <c r="R3589" s="2" t="s">
        <v>26</v>
      </c>
      <c r="S3589" s="24">
        <f t="shared" si="279"/>
        <v>0.02</v>
      </c>
    </row>
    <row r="3590" spans="1:19" x14ac:dyDescent="0.25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>VLOOKUP(F3590,'Customer Info'!$A:$B,2,0)</f>
        <v>Dennis</v>
      </c>
      <c r="H3590" s="6" t="str">
        <f>VLOOKUP(F3590,'Customer Info'!$A$1:$C$501,3,0)</f>
        <v>Pardue</v>
      </c>
      <c r="I3590" s="6" t="str">
        <f>VLOOKUP(F3590,Customer,5,0)</f>
        <v>Wollongong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5424</v>
      </c>
      <c r="O3590" s="2">
        <v>35</v>
      </c>
      <c r="P3590" s="8">
        <f t="shared" si="277"/>
        <v>5459</v>
      </c>
      <c r="Q3590" s="8">
        <f t="shared" si="278"/>
        <v>204</v>
      </c>
      <c r="R3590" s="2" t="s">
        <v>28</v>
      </c>
      <c r="S3590" s="24">
        <f t="shared" si="279"/>
        <v>0.05</v>
      </c>
    </row>
    <row r="3591" spans="1:19" x14ac:dyDescent="0.25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>VLOOKUP(F3591,'Customer Info'!$A:$B,2,0)</f>
        <v>Laurel</v>
      </c>
      <c r="H3591" s="6" t="str">
        <f>VLOOKUP(F3591,'Customer Info'!$A$1:$C$501,3,0)</f>
        <v>Workman</v>
      </c>
      <c r="I3591" s="6" t="str">
        <f>VLOOKUP(F3591,Customer,5,0)</f>
        <v>Leipzig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11832</v>
      </c>
      <c r="O3591" s="2">
        <v>32</v>
      </c>
      <c r="P3591" s="8">
        <f t="shared" si="277"/>
        <v>11864</v>
      </c>
      <c r="Q3591" s="8">
        <f t="shared" si="278"/>
        <v>860</v>
      </c>
      <c r="R3591" s="2" t="s">
        <v>50</v>
      </c>
      <c r="S3591" s="24">
        <f t="shared" si="279"/>
        <v>0.05</v>
      </c>
    </row>
    <row r="3592" spans="1:19" x14ac:dyDescent="0.25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>VLOOKUP(F3592,'Customer Info'!$A:$B,2,0)</f>
        <v>Dan</v>
      </c>
      <c r="H3592" s="6" t="str">
        <f>VLOOKUP(F3592,'Customer Info'!$A$1:$C$501,3,0)</f>
        <v>Campbell</v>
      </c>
      <c r="I3592" s="6" t="str">
        <f>VLOOKUP(F3592,Customer,5,0)</f>
        <v>Perth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5412</v>
      </c>
      <c r="O3592" s="2">
        <v>22</v>
      </c>
      <c r="P3592" s="8">
        <f t="shared" si="277"/>
        <v>5434</v>
      </c>
      <c r="Q3592" s="8">
        <f t="shared" si="278"/>
        <v>306</v>
      </c>
      <c r="R3592" s="2" t="s">
        <v>50</v>
      </c>
      <c r="S3592" s="24">
        <f t="shared" si="279"/>
        <v>0.05</v>
      </c>
    </row>
    <row r="3593" spans="1:19" x14ac:dyDescent="0.25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>VLOOKUP(F3593,'Customer Info'!$A:$B,2,0)</f>
        <v>Erica</v>
      </c>
      <c r="H3593" s="6" t="str">
        <f>VLOOKUP(F3593,'Customer Info'!$A$1:$C$501,3,0)</f>
        <v>Hackney</v>
      </c>
      <c r="I3593" s="6" t="str">
        <f>VLOOKUP(F3593,Customer,5,0)</f>
        <v>Adelaide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2610</v>
      </c>
      <c r="O3593" s="2">
        <v>76</v>
      </c>
      <c r="P3593" s="8">
        <f t="shared" si="277"/>
        <v>2686</v>
      </c>
      <c r="Q3593" s="8">
        <f t="shared" si="278"/>
        <v>216</v>
      </c>
      <c r="R3593" s="2" t="s">
        <v>28</v>
      </c>
      <c r="S3593" s="24">
        <f t="shared" si="279"/>
        <v>0.02</v>
      </c>
    </row>
    <row r="3594" spans="1:19" x14ac:dyDescent="0.25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>VLOOKUP(F3594,'Customer Info'!$A:$B,2,0)</f>
        <v>Lynn</v>
      </c>
      <c r="H3594" s="6" t="str">
        <f>VLOOKUP(F3594,'Customer Info'!$A$1:$C$501,3,0)</f>
        <v>Smith</v>
      </c>
      <c r="I3594" s="6" t="str">
        <f>VLOOKUP(F3594,Customer,5,0)</f>
        <v>Kanpur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246</v>
      </c>
      <c r="O3594" s="2">
        <v>30</v>
      </c>
      <c r="P3594" s="8">
        <f t="shared" si="277"/>
        <v>276</v>
      </c>
      <c r="Q3594" s="8">
        <f t="shared" si="278"/>
        <v>16</v>
      </c>
      <c r="R3594" s="2" t="s">
        <v>28</v>
      </c>
      <c r="S3594" s="24">
        <f t="shared" si="279"/>
        <v>0.02</v>
      </c>
    </row>
    <row r="3595" spans="1:19" x14ac:dyDescent="0.25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>VLOOKUP(F3595,'Customer Info'!$A:$B,2,0)</f>
        <v>Darrin</v>
      </c>
      <c r="H3595" s="6" t="str">
        <f>VLOOKUP(F3595,'Customer Info'!$A$1:$C$501,3,0)</f>
        <v>Sayre</v>
      </c>
      <c r="I3595" s="6" t="str">
        <f>VLOOKUP(F3595,Customer,5,0)</f>
        <v>Duisburg</v>
      </c>
      <c r="J3595" s="2">
        <v>183</v>
      </c>
      <c r="K3595" s="2">
        <v>168</v>
      </c>
      <c r="L3595" s="2">
        <v>4</v>
      </c>
      <c r="M3595" s="7">
        <f t="shared" ref="M3595:M3658" si="280">K3595*L3595</f>
        <v>672</v>
      </c>
      <c r="N3595" s="7">
        <f t="shared" ref="N3595:N3658" si="281">J3595*L3595</f>
        <v>732</v>
      </c>
      <c r="O3595" s="2">
        <v>30</v>
      </c>
      <c r="P3595" s="8">
        <f t="shared" ref="P3595:P3658" si="282">N3595+O3595</f>
        <v>762</v>
      </c>
      <c r="Q3595" s="8">
        <f t="shared" ref="Q3595:Q3658" si="283">N3595-M3595</f>
        <v>60</v>
      </c>
      <c r="R3595" s="2" t="s">
        <v>26</v>
      </c>
      <c r="S3595" s="24">
        <f t="shared" ref="S3595:S3658" si="284">VLOOKUP(N3595,$T$1:$U$7,2,TRUE)</f>
        <v>0.02</v>
      </c>
    </row>
    <row r="3596" spans="1:19" x14ac:dyDescent="0.25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>VLOOKUP(F3596,'Customer Info'!$A:$B,2,0)</f>
        <v>Maureen</v>
      </c>
      <c r="H3596" s="6" t="str">
        <f>VLOOKUP(F3596,'Customer Info'!$A$1:$C$501,3,0)</f>
        <v>Fritzler</v>
      </c>
      <c r="I3596" s="6" t="str">
        <f>VLOOKUP(F3596,Customer,5,0)</f>
        <v>BadenBaden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8">
        <f t="shared" si="282"/>
        <v>38963</v>
      </c>
      <c r="Q3596" s="8">
        <f t="shared" si="283"/>
        <v>3582</v>
      </c>
      <c r="R3596" s="2" t="s">
        <v>28</v>
      </c>
      <c r="S3596" s="24">
        <f t="shared" si="284"/>
        <v>7.0000000000000007E-2</v>
      </c>
    </row>
    <row r="3597" spans="1:19" x14ac:dyDescent="0.25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>VLOOKUP(F3597,'Customer Info'!$A:$B,2,0)</f>
        <v>Stuart</v>
      </c>
      <c r="H3597" s="6" t="str">
        <f>VLOOKUP(F3597,'Customer Info'!$A$1:$C$501,3,0)</f>
        <v>Van</v>
      </c>
      <c r="I3597" s="6" t="str">
        <f>VLOOKUP(F3597,Customer,5,0)</f>
        <v>Hobart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8">
        <f t="shared" si="282"/>
        <v>2975</v>
      </c>
      <c r="Q3597" s="8">
        <f t="shared" si="283"/>
        <v>162</v>
      </c>
      <c r="R3597" s="2" t="s">
        <v>50</v>
      </c>
      <c r="S3597" s="24">
        <f t="shared" si="284"/>
        <v>0.02</v>
      </c>
    </row>
    <row r="3598" spans="1:19" x14ac:dyDescent="0.25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>VLOOKUP(F3598,'Customer Info'!$A:$B,2,0)</f>
        <v>Evan</v>
      </c>
      <c r="H3598" s="6" t="str">
        <f>VLOOKUP(F3598,'Customer Info'!$A$1:$C$501,3,0)</f>
        <v>Bailliet</v>
      </c>
      <c r="I3598" s="6" t="str">
        <f>VLOOKUP(F3598,Customer,5,0)</f>
        <v>Sydney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8">
        <f t="shared" si="282"/>
        <v>864</v>
      </c>
      <c r="Q3598" s="8">
        <f t="shared" si="283"/>
        <v>38</v>
      </c>
      <c r="R3598" s="2" t="s">
        <v>50</v>
      </c>
      <c r="S3598" s="24">
        <f t="shared" si="284"/>
        <v>0.02</v>
      </c>
    </row>
    <row r="3599" spans="1:19" x14ac:dyDescent="0.25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>VLOOKUP(F3599,'Customer Info'!$A:$B,2,0)</f>
        <v>Erin</v>
      </c>
      <c r="H3599" s="6" t="str">
        <f>VLOOKUP(F3599,'Customer Info'!$A$1:$C$501,3,0)</f>
        <v>Smith</v>
      </c>
      <c r="I3599" s="6" t="str">
        <f>VLOOKUP(F3599,Customer,5,0)</f>
        <v>Yuci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8">
        <f t="shared" si="282"/>
        <v>414</v>
      </c>
      <c r="Q3599" s="8">
        <f t="shared" si="283"/>
        <v>12</v>
      </c>
      <c r="R3599" s="2" t="s">
        <v>28</v>
      </c>
      <c r="S3599" s="24">
        <f t="shared" si="284"/>
        <v>0.02</v>
      </c>
    </row>
    <row r="3600" spans="1:19" x14ac:dyDescent="0.25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>VLOOKUP(F3600,'Customer Info'!$A:$B,2,0)</f>
        <v>Steve</v>
      </c>
      <c r="H3600" s="6" t="str">
        <f>VLOOKUP(F3600,'Customer Info'!$A$1:$C$501,3,0)</f>
        <v>Carroll</v>
      </c>
      <c r="I3600" s="6" t="str">
        <f>VLOOKUP(F3600,Customer,5,0)</f>
        <v>Qingdao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7922</v>
      </c>
      <c r="O3600" s="2">
        <v>88</v>
      </c>
      <c r="P3600" s="8">
        <f t="shared" si="282"/>
        <v>8010</v>
      </c>
      <c r="Q3600" s="8">
        <f t="shared" si="283"/>
        <v>594</v>
      </c>
      <c r="R3600" s="2" t="s">
        <v>50</v>
      </c>
      <c r="S3600" s="24">
        <f t="shared" si="284"/>
        <v>0.05</v>
      </c>
    </row>
    <row r="3601" spans="1:19" x14ac:dyDescent="0.25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>VLOOKUP(F3601,'Customer Info'!$A:$B,2,0)</f>
        <v>Sarah</v>
      </c>
      <c r="H3601" s="6" t="str">
        <f>VLOOKUP(F3601,'Customer Info'!$A$1:$C$501,3,0)</f>
        <v>Foster</v>
      </c>
      <c r="I3601" s="6" t="str">
        <f>VLOOKUP(F3601,Customer,5,0)</f>
        <v>Xianning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14112</v>
      </c>
      <c r="O3601" s="2">
        <v>63</v>
      </c>
      <c r="P3601" s="8">
        <f t="shared" si="282"/>
        <v>14175</v>
      </c>
      <c r="Q3601" s="8">
        <f t="shared" si="283"/>
        <v>1029</v>
      </c>
      <c r="R3601" s="2" t="s">
        <v>28</v>
      </c>
      <c r="S3601" s="24">
        <f t="shared" si="284"/>
        <v>0.05</v>
      </c>
    </row>
    <row r="3602" spans="1:19" x14ac:dyDescent="0.25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>VLOOKUP(F3602,'Customer Info'!$A:$B,2,0)</f>
        <v>Patrick</v>
      </c>
      <c r="H3602" s="6" t="str">
        <f>VLOOKUP(F3602,'Customer Info'!$A$1:$C$501,3,0)</f>
        <v>O'Donnell</v>
      </c>
      <c r="I3602" s="6" t="str">
        <f>VLOOKUP(F3602,Customer,5,0)</f>
        <v>Sydney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10224</v>
      </c>
      <c r="O3602" s="2">
        <v>63</v>
      </c>
      <c r="P3602" s="8">
        <f t="shared" si="282"/>
        <v>10287</v>
      </c>
      <c r="Q3602" s="8">
        <f t="shared" si="283"/>
        <v>579</v>
      </c>
      <c r="R3602" s="2" t="s">
        <v>28</v>
      </c>
      <c r="S3602" s="24">
        <f t="shared" si="284"/>
        <v>0.05</v>
      </c>
    </row>
    <row r="3603" spans="1:19" x14ac:dyDescent="0.25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>VLOOKUP(F3603,'Customer Info'!$A:$B,2,0)</f>
        <v>Deirdre</v>
      </c>
      <c r="H3603" s="6" t="str">
        <f>VLOOKUP(F3603,'Customer Info'!$A$1:$C$501,3,0)</f>
        <v>Greer</v>
      </c>
      <c r="I3603" s="6" t="str">
        <f>VLOOKUP(F3603,Customer,5,0)</f>
        <v>Perth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12738</v>
      </c>
      <c r="O3603" s="2">
        <v>82</v>
      </c>
      <c r="P3603" s="8">
        <f t="shared" si="282"/>
        <v>12820</v>
      </c>
      <c r="Q3603" s="8">
        <f t="shared" si="283"/>
        <v>1167</v>
      </c>
      <c r="R3603" s="2" t="s">
        <v>50</v>
      </c>
      <c r="S3603" s="24">
        <f t="shared" si="284"/>
        <v>0.05</v>
      </c>
    </row>
    <row r="3604" spans="1:19" x14ac:dyDescent="0.25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>VLOOKUP(F3604,'Customer Info'!$A:$B,2,0)</f>
        <v>Sheri</v>
      </c>
      <c r="H3604" s="6" t="str">
        <f>VLOOKUP(F3604,'Customer Info'!$A$1:$C$501,3,0)</f>
        <v>Gordon</v>
      </c>
      <c r="I3604" s="6" t="str">
        <f>VLOOKUP(F3604,Customer,5,0)</f>
        <v>Bogor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19728</v>
      </c>
      <c r="O3604" s="2">
        <v>25</v>
      </c>
      <c r="P3604" s="8">
        <f t="shared" si="282"/>
        <v>19753</v>
      </c>
      <c r="Q3604" s="8">
        <f t="shared" si="283"/>
        <v>1112</v>
      </c>
      <c r="R3604" s="2" t="s">
        <v>28</v>
      </c>
      <c r="S3604" s="24">
        <f t="shared" si="284"/>
        <v>0.05</v>
      </c>
    </row>
    <row r="3605" spans="1:19" x14ac:dyDescent="0.25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>VLOOKUP(F3605,'Customer Info'!$A:$B,2,0)</f>
        <v>Ralph</v>
      </c>
      <c r="H3605" s="6" t="str">
        <f>VLOOKUP(F3605,'Customer Info'!$A$1:$C$501,3,0)</f>
        <v>Kennedy</v>
      </c>
      <c r="I3605" s="6" t="str">
        <f>VLOOKUP(F3605,Customer,5,0)</f>
        <v>Perth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3963</v>
      </c>
      <c r="O3605" s="2">
        <v>65</v>
      </c>
      <c r="P3605" s="8">
        <f t="shared" si="282"/>
        <v>4028</v>
      </c>
      <c r="Q3605" s="8">
        <f t="shared" si="283"/>
        <v>330</v>
      </c>
      <c r="R3605" s="2" t="s">
        <v>50</v>
      </c>
      <c r="S3605" s="24">
        <f t="shared" si="284"/>
        <v>0.02</v>
      </c>
    </row>
    <row r="3606" spans="1:19" x14ac:dyDescent="0.25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>VLOOKUP(F3606,'Customer Info'!$A:$B,2,0)</f>
        <v>Bryan</v>
      </c>
      <c r="H3606" s="6" t="str">
        <f>VLOOKUP(F3606,'Customer Info'!$A$1:$C$501,3,0)</f>
        <v>Spruell</v>
      </c>
      <c r="I3606" s="6" t="str">
        <f>VLOOKUP(F3606,Customer,5,0)</f>
        <v>Bekasi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26868</v>
      </c>
      <c r="O3606" s="2">
        <v>75</v>
      </c>
      <c r="P3606" s="8">
        <f t="shared" si="282"/>
        <v>26943</v>
      </c>
      <c r="Q3606" s="8">
        <f t="shared" si="283"/>
        <v>1716</v>
      </c>
      <c r="R3606" s="2" t="s">
        <v>50</v>
      </c>
      <c r="S3606" s="24">
        <f t="shared" si="284"/>
        <v>7.0000000000000007E-2</v>
      </c>
    </row>
    <row r="3607" spans="1:19" x14ac:dyDescent="0.25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>VLOOKUP(F3607,'Customer Info'!$A:$B,2,0)</f>
        <v>Ryan</v>
      </c>
      <c r="H3607" s="6" t="str">
        <f>VLOOKUP(F3607,'Customer Info'!$A$1:$C$501,3,0)</f>
        <v>Crowe</v>
      </c>
      <c r="I3607" s="6" t="str">
        <f>VLOOKUP(F3607,Customer,5,0)</f>
        <v>Kanpur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261</v>
      </c>
      <c r="O3607" s="2">
        <v>10</v>
      </c>
      <c r="P3607" s="8">
        <f t="shared" si="282"/>
        <v>271</v>
      </c>
      <c r="Q3607" s="8">
        <f t="shared" si="283"/>
        <v>21</v>
      </c>
      <c r="R3607" s="2" t="s">
        <v>26</v>
      </c>
      <c r="S3607" s="24">
        <f t="shared" si="284"/>
        <v>0.02</v>
      </c>
    </row>
    <row r="3608" spans="1:19" x14ac:dyDescent="0.25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>VLOOKUP(F3608,'Customer Info'!$A:$B,2,0)</f>
        <v>Laurel</v>
      </c>
      <c r="H3608" s="6" t="str">
        <f>VLOOKUP(F3608,'Customer Info'!$A$1:$C$501,3,0)</f>
        <v>Workman</v>
      </c>
      <c r="I3608" s="6" t="str">
        <f>VLOOKUP(F3608,Customer,5,0)</f>
        <v>Leipzig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46146</v>
      </c>
      <c r="O3608" s="2">
        <v>50</v>
      </c>
      <c r="P3608" s="8">
        <f t="shared" si="282"/>
        <v>46196</v>
      </c>
      <c r="Q3608" s="8">
        <f t="shared" si="283"/>
        <v>2616</v>
      </c>
      <c r="R3608" s="2" t="s">
        <v>28</v>
      </c>
      <c r="S3608" s="24">
        <f t="shared" si="284"/>
        <v>7.0000000000000007E-2</v>
      </c>
    </row>
    <row r="3609" spans="1:19" x14ac:dyDescent="0.25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>VLOOKUP(F3609,'Customer Info'!$A:$B,2,0)</f>
        <v>Julia</v>
      </c>
      <c r="H3609" s="6" t="str">
        <f>VLOOKUP(F3609,'Customer Info'!$A$1:$C$501,3,0)</f>
        <v>Dunbar</v>
      </c>
      <c r="I3609" s="6" t="str">
        <f>VLOOKUP(F3609,Customer,5,0)</f>
        <v>Melbourne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3802</v>
      </c>
      <c r="O3609" s="2">
        <v>88</v>
      </c>
      <c r="P3609" s="8">
        <f t="shared" si="282"/>
        <v>3890</v>
      </c>
      <c r="Q3609" s="8">
        <f t="shared" si="283"/>
        <v>182</v>
      </c>
      <c r="R3609" s="2" t="s">
        <v>28</v>
      </c>
      <c r="S3609" s="24">
        <f t="shared" si="284"/>
        <v>0.02</v>
      </c>
    </row>
    <row r="3610" spans="1:19" x14ac:dyDescent="0.25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>VLOOKUP(F3610,'Customer Info'!$A:$B,2,0)</f>
        <v>John</v>
      </c>
      <c r="H3610" s="6" t="str">
        <f>VLOOKUP(F3610,'Customer Info'!$A$1:$C$501,3,0)</f>
        <v>Lucas</v>
      </c>
      <c r="I3610" s="6" t="str">
        <f>VLOOKUP(F3610,Customer,5,0)</f>
        <v>Beijing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22083</v>
      </c>
      <c r="O3610" s="2">
        <v>89</v>
      </c>
      <c r="P3610" s="8">
        <f t="shared" si="282"/>
        <v>22172</v>
      </c>
      <c r="Q3610" s="8">
        <f t="shared" si="283"/>
        <v>1422</v>
      </c>
      <c r="R3610" s="2" t="s">
        <v>50</v>
      </c>
      <c r="S3610" s="24">
        <f t="shared" si="284"/>
        <v>0.05</v>
      </c>
    </row>
    <row r="3611" spans="1:19" x14ac:dyDescent="0.25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>VLOOKUP(F3611,'Customer Info'!$A:$B,2,0)</f>
        <v>Tracy</v>
      </c>
      <c r="H3611" s="6" t="str">
        <f>VLOOKUP(F3611,'Customer Info'!$A$1:$C$501,3,0)</f>
        <v>Blumstein</v>
      </c>
      <c r="I3611" s="6" t="str">
        <f>VLOOKUP(F3611,Customer,5,0)</f>
        <v>Guangzhou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65142</v>
      </c>
      <c r="O3611" s="2">
        <v>100</v>
      </c>
      <c r="P3611" s="8">
        <f t="shared" si="282"/>
        <v>65242</v>
      </c>
      <c r="Q3611" s="8">
        <f t="shared" si="283"/>
        <v>5915</v>
      </c>
      <c r="R3611" s="2" t="s">
        <v>50</v>
      </c>
      <c r="S3611" s="24">
        <f t="shared" si="284"/>
        <v>0.09</v>
      </c>
    </row>
    <row r="3612" spans="1:19" x14ac:dyDescent="0.25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>VLOOKUP(F3612,'Customer Info'!$A:$B,2,0)</f>
        <v>John</v>
      </c>
      <c r="H3612" s="6" t="str">
        <f>VLOOKUP(F3612,'Customer Info'!$A$1:$C$501,3,0)</f>
        <v>Castell</v>
      </c>
      <c r="I3612" s="6" t="str">
        <f>VLOOKUP(F3612,Customer,5,0)</f>
        <v>Jakarta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2664</v>
      </c>
      <c r="O3612" s="2">
        <v>71</v>
      </c>
      <c r="P3612" s="8">
        <f t="shared" si="282"/>
        <v>2735</v>
      </c>
      <c r="Q3612" s="8">
        <f t="shared" si="283"/>
        <v>246</v>
      </c>
      <c r="R3612" s="2" t="s">
        <v>28</v>
      </c>
      <c r="S3612" s="24">
        <f t="shared" si="284"/>
        <v>0.02</v>
      </c>
    </row>
    <row r="3613" spans="1:19" x14ac:dyDescent="0.25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>VLOOKUP(F3613,'Customer Info'!$A:$B,2,0)</f>
        <v>Victoria</v>
      </c>
      <c r="H3613" s="6" t="str">
        <f>VLOOKUP(F3613,'Customer Info'!$A$1:$C$501,3,0)</f>
        <v>Brennan</v>
      </c>
      <c r="I3613" s="6" t="str">
        <f>VLOOKUP(F3613,Customer,5,0)</f>
        <v>Canberra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3468</v>
      </c>
      <c r="O3613" s="2">
        <v>97</v>
      </c>
      <c r="P3613" s="8">
        <f t="shared" si="282"/>
        <v>3565</v>
      </c>
      <c r="Q3613" s="8">
        <f t="shared" si="283"/>
        <v>64</v>
      </c>
      <c r="R3613" s="2" t="s">
        <v>26</v>
      </c>
      <c r="S3613" s="24">
        <f t="shared" si="284"/>
        <v>0.02</v>
      </c>
    </row>
    <row r="3614" spans="1:19" x14ac:dyDescent="0.25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>VLOOKUP(F3614,'Customer Info'!$A:$B,2,0)</f>
        <v>Dennis</v>
      </c>
      <c r="H3614" s="6" t="str">
        <f>VLOOKUP(F3614,'Customer Info'!$A$1:$C$501,3,0)</f>
        <v>Pardue</v>
      </c>
      <c r="I3614" s="6" t="str">
        <f>VLOOKUP(F3614,Customer,5,0)</f>
        <v>Pekalongan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3054</v>
      </c>
      <c r="O3614" s="2">
        <v>40</v>
      </c>
      <c r="P3614" s="8">
        <f t="shared" si="282"/>
        <v>3094</v>
      </c>
      <c r="Q3614" s="8">
        <f t="shared" si="283"/>
        <v>333</v>
      </c>
      <c r="R3614" s="2" t="s">
        <v>26</v>
      </c>
      <c r="S3614" s="24">
        <f t="shared" si="284"/>
        <v>0.02</v>
      </c>
    </row>
    <row r="3615" spans="1:19" x14ac:dyDescent="0.25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>VLOOKUP(F3615,'Customer Info'!$A:$B,2,0)</f>
        <v>Lisa</v>
      </c>
      <c r="H3615" s="6" t="str">
        <f>VLOOKUP(F3615,'Customer Info'!$A$1:$C$501,3,0)</f>
        <v>DeCherney</v>
      </c>
      <c r="I3615" s="6" t="str">
        <f>VLOOKUP(F3615,Customer,5,0)</f>
        <v>Ningbo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24732</v>
      </c>
      <c r="O3615" s="2">
        <v>34</v>
      </c>
      <c r="P3615" s="8">
        <f t="shared" si="282"/>
        <v>24766</v>
      </c>
      <c r="Q3615" s="8">
        <f t="shared" si="283"/>
        <v>2046</v>
      </c>
      <c r="R3615" s="2" t="s">
        <v>50</v>
      </c>
      <c r="S3615" s="24">
        <f t="shared" si="284"/>
        <v>0.05</v>
      </c>
    </row>
    <row r="3616" spans="1:19" x14ac:dyDescent="0.25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>VLOOKUP(F3616,'Customer Info'!$A:$B,2,0)</f>
        <v>Robert</v>
      </c>
      <c r="H3616" s="6" t="str">
        <f>VLOOKUP(F3616,'Customer Info'!$A$1:$C$501,3,0)</f>
        <v>Dilbeck</v>
      </c>
      <c r="I3616" s="6" t="str">
        <f>VLOOKUP(F3616,Customer,5,0)</f>
        <v>Bihar Sharif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3104</v>
      </c>
      <c r="O3616" s="2">
        <v>21</v>
      </c>
      <c r="P3616" s="8">
        <f t="shared" si="282"/>
        <v>3125</v>
      </c>
      <c r="Q3616" s="8">
        <f t="shared" si="283"/>
        <v>172</v>
      </c>
      <c r="R3616" s="2" t="s">
        <v>28</v>
      </c>
      <c r="S3616" s="24">
        <f t="shared" si="284"/>
        <v>0.02</v>
      </c>
    </row>
    <row r="3617" spans="1:19" x14ac:dyDescent="0.25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>VLOOKUP(F3617,'Customer Info'!$A:$B,2,0)</f>
        <v>Cari</v>
      </c>
      <c r="H3617" s="6" t="str">
        <f>VLOOKUP(F3617,'Customer Info'!$A$1:$C$501,3,0)</f>
        <v>Schnelling</v>
      </c>
      <c r="I3617" s="6" t="str">
        <f>VLOOKUP(F3617,Customer,5,0)</f>
        <v>Agra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18036</v>
      </c>
      <c r="O3617" s="2">
        <v>63</v>
      </c>
      <c r="P3617" s="8">
        <f t="shared" si="282"/>
        <v>18099</v>
      </c>
      <c r="Q3617" s="8">
        <f t="shared" si="283"/>
        <v>1005</v>
      </c>
      <c r="R3617" s="2" t="s">
        <v>50</v>
      </c>
      <c r="S3617" s="24">
        <f t="shared" si="284"/>
        <v>0.05</v>
      </c>
    </row>
    <row r="3618" spans="1:19" x14ac:dyDescent="0.25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>VLOOKUP(F3618,'Customer Info'!$A:$B,2,0)</f>
        <v>Kristina</v>
      </c>
      <c r="H3618" s="6" t="str">
        <f>VLOOKUP(F3618,'Customer Info'!$A$1:$C$501,3,0)</f>
        <v>Nunn</v>
      </c>
      <c r="I3618" s="6" t="str">
        <f>VLOOKUP(F3618,Customer,5,0)</f>
        <v>Sydney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334</v>
      </c>
      <c r="O3618" s="2">
        <v>30</v>
      </c>
      <c r="P3618" s="8">
        <f t="shared" si="282"/>
        <v>364</v>
      </c>
      <c r="Q3618" s="8">
        <f t="shared" si="283"/>
        <v>24</v>
      </c>
      <c r="R3618" s="2" t="s">
        <v>50</v>
      </c>
      <c r="S3618" s="24">
        <f t="shared" si="284"/>
        <v>0.02</v>
      </c>
    </row>
    <row r="3619" spans="1:19" x14ac:dyDescent="0.25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>VLOOKUP(F3619,'Customer Info'!$A:$B,2,0)</f>
        <v>Alex</v>
      </c>
      <c r="H3619" s="6" t="str">
        <f>VLOOKUP(F3619,'Customer Info'!$A$1:$C$501,3,0)</f>
        <v>Avila</v>
      </c>
      <c r="I3619" s="6" t="str">
        <f>VLOOKUP(F3619,Customer,5,0)</f>
        <v>Agra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200</v>
      </c>
      <c r="O3619" s="2">
        <v>10</v>
      </c>
      <c r="P3619" s="8">
        <f t="shared" si="282"/>
        <v>210</v>
      </c>
      <c r="Q3619" s="8">
        <f t="shared" si="283"/>
        <v>10</v>
      </c>
      <c r="R3619" s="2" t="s">
        <v>50</v>
      </c>
      <c r="S3619" s="24">
        <f t="shared" si="284"/>
        <v>0.02</v>
      </c>
    </row>
    <row r="3620" spans="1:19" x14ac:dyDescent="0.25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>VLOOKUP(F3620,'Customer Info'!$A:$B,2,0)</f>
        <v>Clay</v>
      </c>
      <c r="H3620" s="6" t="str">
        <f>VLOOKUP(F3620,'Customer Info'!$A$1:$C$501,3,0)</f>
        <v>Cheatham</v>
      </c>
      <c r="I3620" s="6" t="str">
        <f>VLOOKUP(F3620,Customer,5,0)</f>
        <v>Freiburg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5661</v>
      </c>
      <c r="O3620" s="2">
        <v>20</v>
      </c>
      <c r="P3620" s="8">
        <f t="shared" si="282"/>
        <v>5681</v>
      </c>
      <c r="Q3620" s="8">
        <f t="shared" si="283"/>
        <v>372</v>
      </c>
      <c r="R3620" s="2" t="s">
        <v>28</v>
      </c>
      <c r="S3620" s="24">
        <f t="shared" si="284"/>
        <v>0.05</v>
      </c>
    </row>
    <row r="3621" spans="1:19" x14ac:dyDescent="0.25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>VLOOKUP(F3621,'Customer Info'!$A:$B,2,0)</f>
        <v>Sam</v>
      </c>
      <c r="H3621" s="6" t="str">
        <f>VLOOKUP(F3621,'Customer Info'!$A$1:$C$501,3,0)</f>
        <v>Zeldin</v>
      </c>
      <c r="I3621" s="6" t="str">
        <f>VLOOKUP(F3621,Customer,5,0)</f>
        <v>Yanji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1071</v>
      </c>
      <c r="O3621" s="2">
        <v>99</v>
      </c>
      <c r="P3621" s="8">
        <f t="shared" si="282"/>
        <v>1170</v>
      </c>
      <c r="Q3621" s="8">
        <f t="shared" si="283"/>
        <v>61</v>
      </c>
      <c r="R3621" s="2" t="s">
        <v>26</v>
      </c>
      <c r="S3621" s="24">
        <f t="shared" si="284"/>
        <v>0.02</v>
      </c>
    </row>
    <row r="3622" spans="1:19" x14ac:dyDescent="0.25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>VLOOKUP(F3622,'Customer Info'!$A:$B,2,0)</f>
        <v>Ann</v>
      </c>
      <c r="H3622" s="6" t="str">
        <f>VLOOKUP(F3622,'Customer Info'!$A$1:$C$501,3,0)</f>
        <v>Chong</v>
      </c>
      <c r="I3622" s="6" t="str">
        <f>VLOOKUP(F3622,Customer,5,0)</f>
        <v>Sydney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19011</v>
      </c>
      <c r="O3622" s="2">
        <v>52</v>
      </c>
      <c r="P3622" s="8">
        <f t="shared" si="282"/>
        <v>19063</v>
      </c>
      <c r="Q3622" s="8">
        <f t="shared" si="283"/>
        <v>366</v>
      </c>
      <c r="R3622" s="2" t="s">
        <v>50</v>
      </c>
      <c r="S3622" s="24">
        <f t="shared" si="284"/>
        <v>0.05</v>
      </c>
    </row>
    <row r="3623" spans="1:19" x14ac:dyDescent="0.25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>VLOOKUP(F3623,'Customer Info'!$A:$B,2,0)</f>
        <v>Christy</v>
      </c>
      <c r="H3623" s="6" t="str">
        <f>VLOOKUP(F3623,'Customer Info'!$A$1:$C$501,3,0)</f>
        <v>Brittain</v>
      </c>
      <c r="I3623" s="6" t="str">
        <f>VLOOKUP(F3623,Customer,5,0)</f>
        <v>Ajmer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26607</v>
      </c>
      <c r="O3623" s="2">
        <v>76</v>
      </c>
      <c r="P3623" s="8">
        <f t="shared" si="282"/>
        <v>26683</v>
      </c>
      <c r="Q3623" s="8">
        <f t="shared" si="283"/>
        <v>2889</v>
      </c>
      <c r="R3623" s="2" t="s">
        <v>28</v>
      </c>
      <c r="S3623" s="24">
        <f t="shared" si="284"/>
        <v>7.0000000000000007E-2</v>
      </c>
    </row>
    <row r="3624" spans="1:19" x14ac:dyDescent="0.25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>VLOOKUP(F3624,'Customer Info'!$A:$B,2,0)</f>
        <v>Thea</v>
      </c>
      <c r="H3624" s="6" t="str">
        <f>VLOOKUP(F3624,'Customer Info'!$A$1:$C$501,3,0)</f>
        <v>Hendricks</v>
      </c>
      <c r="I3624" s="6" t="str">
        <f>VLOOKUP(F3624,Customer,5,0)</f>
        <v>Jining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9295</v>
      </c>
      <c r="O3624" s="2">
        <v>22</v>
      </c>
      <c r="P3624" s="8">
        <f t="shared" si="282"/>
        <v>9317</v>
      </c>
      <c r="Q3624" s="8">
        <f t="shared" si="283"/>
        <v>520</v>
      </c>
      <c r="R3624" s="2" t="s">
        <v>28</v>
      </c>
      <c r="S3624" s="24">
        <f t="shared" si="284"/>
        <v>0.05</v>
      </c>
    </row>
    <row r="3625" spans="1:19" x14ac:dyDescent="0.25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>VLOOKUP(F3625,'Customer Info'!$A:$B,2,0)</f>
        <v>Sarah</v>
      </c>
      <c r="H3625" s="6" t="str">
        <f>VLOOKUP(F3625,'Customer Info'!$A$1:$C$501,3,0)</f>
        <v>Bern</v>
      </c>
      <c r="I3625" s="6" t="str">
        <f>VLOOKUP(F3625,Customer,5,0)</f>
        <v>Wollongong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10508</v>
      </c>
      <c r="O3625" s="2">
        <v>46</v>
      </c>
      <c r="P3625" s="8">
        <f t="shared" si="282"/>
        <v>10554</v>
      </c>
      <c r="Q3625" s="8">
        <f t="shared" si="283"/>
        <v>396</v>
      </c>
      <c r="R3625" s="2" t="s">
        <v>28</v>
      </c>
      <c r="S3625" s="24">
        <f t="shared" si="284"/>
        <v>0.05</v>
      </c>
    </row>
    <row r="3626" spans="1:19" x14ac:dyDescent="0.25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>VLOOKUP(F3626,'Customer Info'!$A:$B,2,0)</f>
        <v>Dave</v>
      </c>
      <c r="H3626" s="6" t="str">
        <f>VLOOKUP(F3626,'Customer Info'!$A$1:$C$501,3,0)</f>
        <v>Poirier</v>
      </c>
      <c r="I3626" s="6" t="str">
        <f>VLOOKUP(F3626,Customer,5,0)</f>
        <v>Suizhou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32405</v>
      </c>
      <c r="O3626" s="2">
        <v>66</v>
      </c>
      <c r="P3626" s="8">
        <f t="shared" si="282"/>
        <v>32471</v>
      </c>
      <c r="Q3626" s="8">
        <f t="shared" si="283"/>
        <v>2985</v>
      </c>
      <c r="R3626" s="2" t="s">
        <v>28</v>
      </c>
      <c r="S3626" s="24">
        <f t="shared" si="284"/>
        <v>7.0000000000000007E-2</v>
      </c>
    </row>
    <row r="3627" spans="1:19" x14ac:dyDescent="0.25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>VLOOKUP(F3627,'Customer Info'!$A:$B,2,0)</f>
        <v>William</v>
      </c>
      <c r="H3627" s="6" t="str">
        <f>VLOOKUP(F3627,'Customer Info'!$A$1:$C$501,3,0)</f>
        <v>Brown</v>
      </c>
      <c r="I3627" s="6" t="str">
        <f>VLOOKUP(F3627,Customer,5,0)</f>
        <v>Denpasar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16990</v>
      </c>
      <c r="O3627" s="2">
        <v>23</v>
      </c>
      <c r="P3627" s="8">
        <f t="shared" si="282"/>
        <v>17013</v>
      </c>
      <c r="Q3627" s="8">
        <f t="shared" si="283"/>
        <v>1696</v>
      </c>
      <c r="R3627" s="2" t="s">
        <v>28</v>
      </c>
      <c r="S3627" s="24">
        <f t="shared" si="284"/>
        <v>0.05</v>
      </c>
    </row>
    <row r="3628" spans="1:19" x14ac:dyDescent="0.25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>VLOOKUP(F3628,'Customer Info'!$A:$B,2,0)</f>
        <v>Jason</v>
      </c>
      <c r="H3628" s="6" t="str">
        <f>VLOOKUP(F3628,'Customer Info'!$A$1:$C$501,3,0)</f>
        <v>Gross</v>
      </c>
      <c r="I3628" s="6" t="str">
        <f>VLOOKUP(F3628,Customer,5,0)</f>
        <v>Sydney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30063</v>
      </c>
      <c r="O3628" s="2">
        <v>59</v>
      </c>
      <c r="P3628" s="8">
        <f t="shared" si="282"/>
        <v>30122</v>
      </c>
      <c r="Q3628" s="8">
        <f t="shared" si="283"/>
        <v>1694</v>
      </c>
      <c r="R3628" s="2" t="s">
        <v>28</v>
      </c>
      <c r="S3628" s="24">
        <f t="shared" si="284"/>
        <v>7.0000000000000007E-2</v>
      </c>
    </row>
    <row r="3629" spans="1:19" x14ac:dyDescent="0.25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>VLOOKUP(F3629,'Customer Info'!$A:$B,2,0)</f>
        <v>Laurel</v>
      </c>
      <c r="H3629" s="6" t="str">
        <f>VLOOKUP(F3629,'Customer Info'!$A$1:$C$501,3,0)</f>
        <v>Beltran</v>
      </c>
      <c r="I3629" s="6" t="str">
        <f>VLOOKUP(F3629,Customer,5,0)</f>
        <v>Melbourne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5412</v>
      </c>
      <c r="O3629" s="2">
        <v>54</v>
      </c>
      <c r="P3629" s="8">
        <f t="shared" si="282"/>
        <v>5466</v>
      </c>
      <c r="Q3629" s="8">
        <f t="shared" si="283"/>
        <v>306</v>
      </c>
      <c r="R3629" s="2" t="s">
        <v>50</v>
      </c>
      <c r="S3629" s="24">
        <f t="shared" si="284"/>
        <v>0.05</v>
      </c>
    </row>
    <row r="3630" spans="1:19" x14ac:dyDescent="0.25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>VLOOKUP(F3630,'Customer Info'!$A:$B,2,0)</f>
        <v>Yana</v>
      </c>
      <c r="H3630" s="6" t="str">
        <f>VLOOKUP(F3630,'Customer Info'!$A$1:$C$501,3,0)</f>
        <v>Sorensen</v>
      </c>
      <c r="I3630" s="6" t="str">
        <f>VLOOKUP(F3630,Customer,5,0)</f>
        <v>Bottrop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432</v>
      </c>
      <c r="O3630" s="2">
        <v>30</v>
      </c>
      <c r="P3630" s="8">
        <f t="shared" si="282"/>
        <v>462</v>
      </c>
      <c r="Q3630" s="8">
        <f t="shared" si="283"/>
        <v>36</v>
      </c>
      <c r="R3630" s="2" t="s">
        <v>50</v>
      </c>
      <c r="S3630" s="24">
        <f t="shared" si="284"/>
        <v>0.02</v>
      </c>
    </row>
    <row r="3631" spans="1:19" x14ac:dyDescent="0.25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>VLOOKUP(F3631,'Customer Info'!$A:$B,2,0)</f>
        <v>Eugene</v>
      </c>
      <c r="H3631" s="6" t="str">
        <f>VLOOKUP(F3631,'Customer Info'!$A$1:$C$501,3,0)</f>
        <v>Hildebrand</v>
      </c>
      <c r="I3631" s="6" t="str">
        <f>VLOOKUP(F3631,Customer,5,0)</f>
        <v>Liaocheng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350</v>
      </c>
      <c r="O3631" s="2">
        <v>30</v>
      </c>
      <c r="P3631" s="8">
        <f t="shared" si="282"/>
        <v>380</v>
      </c>
      <c r="Q3631" s="8">
        <f t="shared" si="283"/>
        <v>34</v>
      </c>
      <c r="R3631" s="2" t="s">
        <v>50</v>
      </c>
      <c r="S3631" s="24">
        <f t="shared" si="284"/>
        <v>0.02</v>
      </c>
    </row>
    <row r="3632" spans="1:19" x14ac:dyDescent="0.25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>VLOOKUP(F3632,'Customer Info'!$A:$B,2,0)</f>
        <v>Corey</v>
      </c>
      <c r="H3632" s="6" t="str">
        <f>VLOOKUP(F3632,'Customer Info'!$A$1:$C$501,3,0)</f>
        <v>Lock</v>
      </c>
      <c r="I3632" s="6" t="str">
        <f>VLOOKUP(F3632,Customer,5,0)</f>
        <v>Geelong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26080</v>
      </c>
      <c r="O3632" s="2">
        <v>23</v>
      </c>
      <c r="P3632" s="8">
        <f t="shared" si="282"/>
        <v>26103</v>
      </c>
      <c r="Q3632" s="8">
        <f t="shared" si="283"/>
        <v>2140</v>
      </c>
      <c r="R3632" s="2" t="s">
        <v>50</v>
      </c>
      <c r="S3632" s="24">
        <f t="shared" si="284"/>
        <v>7.0000000000000007E-2</v>
      </c>
    </row>
    <row r="3633" spans="1:19" x14ac:dyDescent="0.25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>VLOOKUP(F3633,'Customer Info'!$A:$B,2,0)</f>
        <v>Michael</v>
      </c>
      <c r="H3633" s="6" t="str">
        <f>VLOOKUP(F3633,'Customer Info'!$A$1:$C$501,3,0)</f>
        <v>Moore</v>
      </c>
      <c r="I3633" s="6" t="str">
        <f>VLOOKUP(F3633,Customer,5,0)</f>
        <v>Vadodara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75591</v>
      </c>
      <c r="O3633" s="2">
        <v>54</v>
      </c>
      <c r="P3633" s="8">
        <f t="shared" si="282"/>
        <v>75645</v>
      </c>
      <c r="Q3633" s="8">
        <f t="shared" si="283"/>
        <v>3582</v>
      </c>
      <c r="R3633" s="2" t="s">
        <v>28</v>
      </c>
      <c r="S3633" s="24">
        <f t="shared" si="284"/>
        <v>0.09</v>
      </c>
    </row>
    <row r="3634" spans="1:19" x14ac:dyDescent="0.25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>VLOOKUP(F3634,'Customer Info'!$A:$B,2,0)</f>
        <v>Darren</v>
      </c>
      <c r="H3634" s="6" t="str">
        <f>VLOOKUP(F3634,'Customer Info'!$A$1:$C$501,3,0)</f>
        <v>Budd</v>
      </c>
      <c r="I3634" s="6" t="str">
        <f>VLOOKUP(F3634,Customer,5,0)</f>
        <v>Jakarta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1560</v>
      </c>
      <c r="O3634" s="2">
        <v>54</v>
      </c>
      <c r="P3634" s="8">
        <f t="shared" si="282"/>
        <v>1614</v>
      </c>
      <c r="Q3634" s="8">
        <f t="shared" si="283"/>
        <v>129</v>
      </c>
      <c r="R3634" s="2" t="s">
        <v>56</v>
      </c>
      <c r="S3634" s="24">
        <f t="shared" si="284"/>
        <v>0.02</v>
      </c>
    </row>
    <row r="3635" spans="1:19" x14ac:dyDescent="0.25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>VLOOKUP(F3635,'Customer Info'!$A:$B,2,0)</f>
        <v>Guy</v>
      </c>
      <c r="H3635" s="6" t="str">
        <f>VLOOKUP(F3635,'Customer Info'!$A$1:$C$501,3,0)</f>
        <v>Phonely</v>
      </c>
      <c r="I3635" s="6" t="str">
        <f>VLOOKUP(F3635,Customer,5,0)</f>
        <v>Jodhpur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180</v>
      </c>
      <c r="O3635" s="2">
        <v>10</v>
      </c>
      <c r="P3635" s="8">
        <f t="shared" si="282"/>
        <v>190</v>
      </c>
      <c r="Q3635" s="8">
        <f t="shared" si="283"/>
        <v>6</v>
      </c>
      <c r="R3635" s="2" t="s">
        <v>28</v>
      </c>
      <c r="S3635" s="24">
        <f t="shared" si="284"/>
        <v>0.02</v>
      </c>
    </row>
    <row r="3636" spans="1:19" x14ac:dyDescent="0.25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>VLOOKUP(F3636,'Customer Info'!$A:$B,2,0)</f>
        <v>Ralph</v>
      </c>
      <c r="H3636" s="6" t="str">
        <f>VLOOKUP(F3636,'Customer Info'!$A$1:$C$501,3,0)</f>
        <v>Kennedy</v>
      </c>
      <c r="I3636" s="6" t="str">
        <f>VLOOKUP(F3636,Customer,5,0)</f>
        <v>Bundaberg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796</v>
      </c>
      <c r="O3636" s="2">
        <v>30</v>
      </c>
      <c r="P3636" s="8">
        <f t="shared" si="282"/>
        <v>826</v>
      </c>
      <c r="Q3636" s="8">
        <f t="shared" si="283"/>
        <v>92</v>
      </c>
      <c r="R3636" s="2" t="s">
        <v>50</v>
      </c>
      <c r="S3636" s="24">
        <f t="shared" si="284"/>
        <v>0.02</v>
      </c>
    </row>
    <row r="3637" spans="1:19" x14ac:dyDescent="0.25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>VLOOKUP(F3637,'Customer Info'!$A:$B,2,0)</f>
        <v>Karen</v>
      </c>
      <c r="H3637" s="6" t="str">
        <f>VLOOKUP(F3637,'Customer Info'!$A$1:$C$501,3,0)</f>
        <v>Daniels</v>
      </c>
      <c r="I3637" s="6" t="str">
        <f>VLOOKUP(F3637,Customer,5,0)</f>
        <v>Jiutai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8889</v>
      </c>
      <c r="O3637" s="2">
        <v>80</v>
      </c>
      <c r="P3637" s="8">
        <f t="shared" si="282"/>
        <v>8969</v>
      </c>
      <c r="Q3637" s="8">
        <f t="shared" si="283"/>
        <v>420</v>
      </c>
      <c r="R3637" s="2" t="s">
        <v>28</v>
      </c>
      <c r="S3637" s="24">
        <f t="shared" si="284"/>
        <v>0.05</v>
      </c>
    </row>
    <row r="3638" spans="1:19" x14ac:dyDescent="0.25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>VLOOKUP(F3638,'Customer Info'!$A:$B,2,0)</f>
        <v>Shahid</v>
      </c>
      <c r="H3638" s="6" t="str">
        <f>VLOOKUP(F3638,'Customer Info'!$A$1:$C$501,3,0)</f>
        <v>Collister</v>
      </c>
      <c r="I3638" s="6" t="str">
        <f>VLOOKUP(F3638,Customer,5,0)</f>
        <v>Solapur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525</v>
      </c>
      <c r="O3638" s="2">
        <v>30</v>
      </c>
      <c r="P3638" s="8">
        <f t="shared" si="282"/>
        <v>555</v>
      </c>
      <c r="Q3638" s="8">
        <f t="shared" si="283"/>
        <v>51</v>
      </c>
      <c r="R3638" s="2" t="s">
        <v>28</v>
      </c>
      <c r="S3638" s="24">
        <f t="shared" si="284"/>
        <v>0.02</v>
      </c>
    </row>
    <row r="3639" spans="1:19" x14ac:dyDescent="0.25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>VLOOKUP(F3639,'Customer Info'!$A:$B,2,0)</f>
        <v>Kristen</v>
      </c>
      <c r="H3639" s="6" t="str">
        <f>VLOOKUP(F3639,'Customer Info'!$A$1:$C$501,3,0)</f>
        <v>Hastings</v>
      </c>
      <c r="I3639" s="6" t="str">
        <f>VLOOKUP(F3639,Customer,5,0)</f>
        <v>Shihezi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8352</v>
      </c>
      <c r="O3639" s="2">
        <v>63</v>
      </c>
      <c r="P3639" s="8">
        <f t="shared" si="282"/>
        <v>8415</v>
      </c>
      <c r="Q3639" s="8">
        <f t="shared" si="283"/>
        <v>472</v>
      </c>
      <c r="R3639" s="2" t="s">
        <v>50</v>
      </c>
      <c r="S3639" s="24">
        <f t="shared" si="284"/>
        <v>0.05</v>
      </c>
    </row>
    <row r="3640" spans="1:19" x14ac:dyDescent="0.25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>VLOOKUP(F3640,'Customer Info'!$A:$B,2,0)</f>
        <v>Victoria</v>
      </c>
      <c r="H3640" s="6" t="str">
        <f>VLOOKUP(F3640,'Customer Info'!$A$1:$C$501,3,0)</f>
        <v>Pisteka</v>
      </c>
      <c r="I3640" s="6" t="str">
        <f>VLOOKUP(F3640,Customer,5,0)</f>
        <v>Bokaro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24040</v>
      </c>
      <c r="O3640" s="2">
        <v>58</v>
      </c>
      <c r="P3640" s="8">
        <f t="shared" si="282"/>
        <v>24098</v>
      </c>
      <c r="Q3640" s="8">
        <f t="shared" si="283"/>
        <v>1775</v>
      </c>
      <c r="R3640" s="2" t="s">
        <v>50</v>
      </c>
      <c r="S3640" s="24">
        <f t="shared" si="284"/>
        <v>0.05</v>
      </c>
    </row>
    <row r="3641" spans="1:19" x14ac:dyDescent="0.25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>VLOOKUP(F3641,'Customer Info'!$A:$B,2,0)</f>
        <v>Erica</v>
      </c>
      <c r="H3641" s="6" t="str">
        <f>VLOOKUP(F3641,'Customer Info'!$A$1:$C$501,3,0)</f>
        <v>Smith</v>
      </c>
      <c r="I3641" s="6" t="str">
        <f>VLOOKUP(F3641,Customer,5,0)</f>
        <v>Halle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404</v>
      </c>
      <c r="O3641" s="2">
        <v>30</v>
      </c>
      <c r="P3641" s="8">
        <f t="shared" si="282"/>
        <v>434</v>
      </c>
      <c r="Q3641" s="8">
        <f t="shared" si="283"/>
        <v>30</v>
      </c>
      <c r="R3641" s="2" t="s">
        <v>28</v>
      </c>
      <c r="S3641" s="24">
        <f t="shared" si="284"/>
        <v>0.02</v>
      </c>
    </row>
    <row r="3642" spans="1:19" x14ac:dyDescent="0.25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>VLOOKUP(F3642,'Customer Info'!$A:$B,2,0)</f>
        <v>Anthony</v>
      </c>
      <c r="H3642" s="6" t="str">
        <f>VLOOKUP(F3642,'Customer Info'!$A$1:$C$501,3,0)</f>
        <v>Garverick</v>
      </c>
      <c r="I3642" s="6" t="str">
        <f>VLOOKUP(F3642,Customer,5,0)</f>
        <v>Delhi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39810</v>
      </c>
      <c r="O3642" s="2">
        <v>92</v>
      </c>
      <c r="P3642" s="8">
        <f t="shared" si="282"/>
        <v>39902</v>
      </c>
      <c r="Q3642" s="8">
        <f t="shared" si="283"/>
        <v>1884</v>
      </c>
      <c r="R3642" s="2" t="s">
        <v>28</v>
      </c>
      <c r="S3642" s="24">
        <f t="shared" si="284"/>
        <v>7.0000000000000007E-2</v>
      </c>
    </row>
    <row r="3643" spans="1:19" x14ac:dyDescent="0.25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>VLOOKUP(F3643,'Customer Info'!$A:$B,2,0)</f>
        <v>John</v>
      </c>
      <c r="H3643" s="6" t="str">
        <f>VLOOKUP(F3643,'Customer Info'!$A$1:$C$501,3,0)</f>
        <v>Grady</v>
      </c>
      <c r="I3643" s="6" t="str">
        <f>VLOOKUP(F3643,Customer,5,0)</f>
        <v>Mianyang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1372</v>
      </c>
      <c r="O3643" s="2">
        <v>69</v>
      </c>
      <c r="P3643" s="8">
        <f t="shared" si="282"/>
        <v>1441</v>
      </c>
      <c r="Q3643" s="8">
        <f t="shared" si="283"/>
        <v>64</v>
      </c>
      <c r="R3643" s="2" t="s">
        <v>50</v>
      </c>
      <c r="S3643" s="24">
        <f t="shared" si="284"/>
        <v>0.02</v>
      </c>
    </row>
    <row r="3644" spans="1:19" x14ac:dyDescent="0.25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>VLOOKUP(F3644,'Customer Info'!$A:$B,2,0)</f>
        <v>Nancy</v>
      </c>
      <c r="H3644" s="6" t="str">
        <f>VLOOKUP(F3644,'Customer Info'!$A$1:$C$501,3,0)</f>
        <v>Lomonaco</v>
      </c>
      <c r="I3644" s="6" t="str">
        <f>VLOOKUP(F3644,Customer,5,0)</f>
        <v>Tengzhou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12736</v>
      </c>
      <c r="O3644" s="2">
        <v>67</v>
      </c>
      <c r="P3644" s="8">
        <f t="shared" si="282"/>
        <v>12803</v>
      </c>
      <c r="Q3644" s="8">
        <f t="shared" si="283"/>
        <v>948</v>
      </c>
      <c r="R3644" s="2" t="s">
        <v>50</v>
      </c>
      <c r="S3644" s="24">
        <f t="shared" si="284"/>
        <v>0.05</v>
      </c>
    </row>
    <row r="3645" spans="1:19" x14ac:dyDescent="0.25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>VLOOKUP(F3645,'Customer Info'!$A:$B,2,0)</f>
        <v>Darren</v>
      </c>
      <c r="H3645" s="6" t="str">
        <f>VLOOKUP(F3645,'Customer Info'!$A$1:$C$501,3,0)</f>
        <v>Budd</v>
      </c>
      <c r="I3645" s="6" t="str">
        <f>VLOOKUP(F3645,Customer,5,0)</f>
        <v>Perth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7361</v>
      </c>
      <c r="O3645" s="2">
        <v>87</v>
      </c>
      <c r="P3645" s="8">
        <f t="shared" si="282"/>
        <v>7448</v>
      </c>
      <c r="Q3645" s="8">
        <f t="shared" si="283"/>
        <v>474</v>
      </c>
      <c r="R3645" s="2" t="s">
        <v>26</v>
      </c>
      <c r="S3645" s="24">
        <f t="shared" si="284"/>
        <v>0.05</v>
      </c>
    </row>
    <row r="3646" spans="1:19" x14ac:dyDescent="0.25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>VLOOKUP(F3646,'Customer Info'!$A:$B,2,0)</f>
        <v>Michael</v>
      </c>
      <c r="H3646" s="6" t="str">
        <f>VLOOKUP(F3646,'Customer Info'!$A$1:$C$501,3,0)</f>
        <v>Moore</v>
      </c>
      <c r="I3646" s="6" t="str">
        <f>VLOOKUP(F3646,Customer,5,0)</f>
        <v>Geelong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3354</v>
      </c>
      <c r="O3646" s="2">
        <v>21</v>
      </c>
      <c r="P3646" s="8">
        <f t="shared" si="282"/>
        <v>3375</v>
      </c>
      <c r="Q3646" s="8">
        <f t="shared" si="283"/>
        <v>252</v>
      </c>
      <c r="R3646" s="2" t="s">
        <v>28</v>
      </c>
      <c r="S3646" s="24">
        <f t="shared" si="284"/>
        <v>0.02</v>
      </c>
    </row>
    <row r="3647" spans="1:19" x14ac:dyDescent="0.25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>VLOOKUP(F3647,'Customer Info'!$A:$B,2,0)</f>
        <v>James</v>
      </c>
      <c r="H3647" s="6" t="str">
        <f>VLOOKUP(F3647,'Customer Info'!$A$1:$C$501,3,0)</f>
        <v>Lanier</v>
      </c>
      <c r="I3647" s="6" t="str">
        <f>VLOOKUP(F3647,Customer,5,0)</f>
        <v>Dortmund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10864</v>
      </c>
      <c r="O3647" s="2">
        <v>84</v>
      </c>
      <c r="P3647" s="8">
        <f t="shared" si="282"/>
        <v>10948</v>
      </c>
      <c r="Q3647" s="8">
        <f t="shared" si="283"/>
        <v>602</v>
      </c>
      <c r="R3647" s="2" t="s">
        <v>50</v>
      </c>
      <c r="S3647" s="24">
        <f t="shared" si="284"/>
        <v>0.05</v>
      </c>
    </row>
    <row r="3648" spans="1:19" x14ac:dyDescent="0.25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>VLOOKUP(F3648,'Customer Info'!$A:$B,2,0)</f>
        <v>Darren</v>
      </c>
      <c r="H3648" s="6" t="str">
        <f>VLOOKUP(F3648,'Customer Info'!$A$1:$C$501,3,0)</f>
        <v>Budd</v>
      </c>
      <c r="I3648" s="6" t="str">
        <f>VLOOKUP(F3648,Customer,5,0)</f>
        <v>Perth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276</v>
      </c>
      <c r="O3648" s="2">
        <v>10</v>
      </c>
      <c r="P3648" s="8">
        <f t="shared" si="282"/>
        <v>286</v>
      </c>
      <c r="Q3648" s="8">
        <f t="shared" si="283"/>
        <v>30</v>
      </c>
      <c r="R3648" s="2" t="s">
        <v>28</v>
      </c>
      <c r="S3648" s="24">
        <f t="shared" si="284"/>
        <v>0.02</v>
      </c>
    </row>
    <row r="3649" spans="1:19" x14ac:dyDescent="0.25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>VLOOKUP(F3649,'Customer Info'!$A:$B,2,0)</f>
        <v>Jim</v>
      </c>
      <c r="H3649" s="6" t="str">
        <f>VLOOKUP(F3649,'Customer Info'!$A$1:$C$501,3,0)</f>
        <v>Karlsson</v>
      </c>
      <c r="I3649" s="6" t="str">
        <f>VLOOKUP(F3649,Customer,5,0)</f>
        <v>Geelong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7096</v>
      </c>
      <c r="O3649" s="2">
        <v>51</v>
      </c>
      <c r="P3649" s="8">
        <f t="shared" si="282"/>
        <v>7147</v>
      </c>
      <c r="Q3649" s="8">
        <f t="shared" si="283"/>
        <v>528</v>
      </c>
      <c r="R3649" s="2" t="s">
        <v>50</v>
      </c>
      <c r="S3649" s="24">
        <f t="shared" si="284"/>
        <v>0.05</v>
      </c>
    </row>
    <row r="3650" spans="1:19" x14ac:dyDescent="0.25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>VLOOKUP(F3650,'Customer Info'!$A:$B,2,0)</f>
        <v>Mike</v>
      </c>
      <c r="H3650" s="6" t="str">
        <f>VLOOKUP(F3650,'Customer Info'!$A$1:$C$501,3,0)</f>
        <v>Vittorini</v>
      </c>
      <c r="I3650" s="6" t="str">
        <f>VLOOKUP(F3650,Customer,5,0)</f>
        <v>Naihati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2742</v>
      </c>
      <c r="O3650" s="2">
        <v>26</v>
      </c>
      <c r="P3650" s="8">
        <f t="shared" si="282"/>
        <v>2768</v>
      </c>
      <c r="Q3650" s="8">
        <f t="shared" si="283"/>
        <v>252</v>
      </c>
      <c r="R3650" s="2" t="s">
        <v>28</v>
      </c>
      <c r="S3650" s="24">
        <f t="shared" si="284"/>
        <v>0.02</v>
      </c>
    </row>
    <row r="3651" spans="1:19" x14ac:dyDescent="0.25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>VLOOKUP(F3651,'Customer Info'!$A:$B,2,0)</f>
        <v>Nathan</v>
      </c>
      <c r="H3651" s="6" t="str">
        <f>VLOOKUP(F3651,'Customer Info'!$A$1:$C$501,3,0)</f>
        <v>Gelder</v>
      </c>
      <c r="I3651" s="6" t="str">
        <f>VLOOKUP(F3651,Customer,5,0)</f>
        <v>Depok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7192</v>
      </c>
      <c r="O3651" s="2">
        <v>84</v>
      </c>
      <c r="P3651" s="8">
        <f t="shared" si="282"/>
        <v>7276</v>
      </c>
      <c r="Q3651" s="8">
        <f t="shared" si="283"/>
        <v>592</v>
      </c>
      <c r="R3651" s="2" t="s">
        <v>28</v>
      </c>
      <c r="S3651" s="24">
        <f t="shared" si="284"/>
        <v>0.05</v>
      </c>
    </row>
    <row r="3652" spans="1:19" x14ac:dyDescent="0.25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>VLOOKUP(F3652,'Customer Info'!$A:$B,2,0)</f>
        <v>Dean</v>
      </c>
      <c r="H3652" s="6" t="str">
        <f>VLOOKUP(F3652,'Customer Info'!$A$1:$C$501,3,0)</f>
        <v>Katz</v>
      </c>
      <c r="I3652" s="6" t="str">
        <f>VLOOKUP(F3652,Customer,5,0)</f>
        <v>Changzhou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11355</v>
      </c>
      <c r="O3652" s="2">
        <v>46</v>
      </c>
      <c r="P3652" s="8">
        <f t="shared" si="282"/>
        <v>11401</v>
      </c>
      <c r="Q3652" s="8">
        <f t="shared" si="283"/>
        <v>635</v>
      </c>
      <c r="R3652" s="2" t="s">
        <v>28</v>
      </c>
      <c r="S3652" s="24">
        <f t="shared" si="284"/>
        <v>0.05</v>
      </c>
    </row>
    <row r="3653" spans="1:19" x14ac:dyDescent="0.25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>VLOOKUP(F3653,'Customer Info'!$A:$B,2,0)</f>
        <v>Adam</v>
      </c>
      <c r="H3653" s="6" t="str">
        <f>VLOOKUP(F3653,'Customer Info'!$A$1:$C$501,3,0)</f>
        <v>Bellavance</v>
      </c>
      <c r="I3653" s="6" t="str">
        <f>VLOOKUP(F3653,Customer,5,0)</f>
        <v>Medan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25857</v>
      </c>
      <c r="O3653" s="2">
        <v>28</v>
      </c>
      <c r="P3653" s="8">
        <f t="shared" si="282"/>
        <v>25885</v>
      </c>
      <c r="Q3653" s="8">
        <f t="shared" si="283"/>
        <v>2580</v>
      </c>
      <c r="R3653" s="2" t="s">
        <v>50</v>
      </c>
      <c r="S3653" s="24">
        <f t="shared" si="284"/>
        <v>7.0000000000000007E-2</v>
      </c>
    </row>
    <row r="3654" spans="1:19" x14ac:dyDescent="0.25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>VLOOKUP(F3654,'Customer Info'!$A:$B,2,0)</f>
        <v>Rick</v>
      </c>
      <c r="H3654" s="6" t="str">
        <f>VLOOKUP(F3654,'Customer Info'!$A$1:$C$501,3,0)</f>
        <v>Duston</v>
      </c>
      <c r="I3654" s="6" t="str">
        <f>VLOOKUP(F3654,Customer,5,0)</f>
        <v>Bhiwandi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2646</v>
      </c>
      <c r="O3654" s="2">
        <v>87</v>
      </c>
      <c r="P3654" s="8">
        <f t="shared" si="282"/>
        <v>2733</v>
      </c>
      <c r="Q3654" s="8">
        <f t="shared" si="283"/>
        <v>192</v>
      </c>
      <c r="R3654" s="2" t="s">
        <v>28</v>
      </c>
      <c r="S3654" s="24">
        <f t="shared" si="284"/>
        <v>0.02</v>
      </c>
    </row>
    <row r="3655" spans="1:19" x14ac:dyDescent="0.25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>VLOOKUP(F3655,'Customer Info'!$A:$B,2,0)</f>
        <v>Bobby</v>
      </c>
      <c r="H3655" s="6" t="str">
        <f>VLOOKUP(F3655,'Customer Info'!$A$1:$C$501,3,0)</f>
        <v>Odegard</v>
      </c>
      <c r="I3655" s="6" t="str">
        <f>VLOOKUP(F3655,Customer,5,0)</f>
        <v>Adelaide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63</v>
      </c>
      <c r="O3655" s="2">
        <v>10</v>
      </c>
      <c r="P3655" s="8">
        <f t="shared" si="282"/>
        <v>73</v>
      </c>
      <c r="Q3655" s="8">
        <f t="shared" si="283"/>
        <v>4</v>
      </c>
      <c r="R3655" s="2" t="s">
        <v>50</v>
      </c>
      <c r="S3655" s="24">
        <f t="shared" si="284"/>
        <v>0.02</v>
      </c>
    </row>
    <row r="3656" spans="1:19" x14ac:dyDescent="0.25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>VLOOKUP(F3656,'Customer Info'!$A:$B,2,0)</f>
        <v>William</v>
      </c>
      <c r="H3656" s="6" t="str">
        <f>VLOOKUP(F3656,'Customer Info'!$A$1:$C$501,3,0)</f>
        <v>Brown</v>
      </c>
      <c r="I3656" s="6" t="str">
        <f>VLOOKUP(F3656,Customer,5,0)</f>
        <v>Denpasar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17260</v>
      </c>
      <c r="O3656" s="2">
        <v>50</v>
      </c>
      <c r="P3656" s="8">
        <f t="shared" si="282"/>
        <v>17310</v>
      </c>
      <c r="Q3656" s="8">
        <f t="shared" si="283"/>
        <v>654</v>
      </c>
      <c r="R3656" s="2" t="s">
        <v>50</v>
      </c>
      <c r="S3656" s="24">
        <f t="shared" si="284"/>
        <v>0.05</v>
      </c>
    </row>
    <row r="3657" spans="1:19" x14ac:dyDescent="0.25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>VLOOKUP(F3657,'Customer Info'!$A:$B,2,0)</f>
        <v>Sally</v>
      </c>
      <c r="H3657" s="6" t="str">
        <f>VLOOKUP(F3657,'Customer Info'!$A$1:$C$501,3,0)</f>
        <v>Hughsby</v>
      </c>
      <c r="I3657" s="6" t="str">
        <f>VLOOKUP(F3657,Customer,5,0)</f>
        <v>Depok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3774</v>
      </c>
      <c r="O3657" s="2">
        <v>23</v>
      </c>
      <c r="P3657" s="8">
        <f t="shared" si="282"/>
        <v>3797</v>
      </c>
      <c r="Q3657" s="8">
        <f t="shared" si="283"/>
        <v>248</v>
      </c>
      <c r="R3657" s="2" t="s">
        <v>50</v>
      </c>
      <c r="S3657" s="24">
        <f t="shared" si="284"/>
        <v>0.02</v>
      </c>
    </row>
    <row r="3658" spans="1:19" x14ac:dyDescent="0.25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>VLOOKUP(F3658,'Customer Info'!$A:$B,2,0)</f>
        <v>Alan</v>
      </c>
      <c r="H3658" s="6" t="str">
        <f>VLOOKUP(F3658,'Customer Info'!$A$1:$C$501,3,0)</f>
        <v>Schoenberger</v>
      </c>
      <c r="I3658" s="6" t="str">
        <f>VLOOKUP(F3658,Customer,5,0)</f>
        <v>Anshan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18822</v>
      </c>
      <c r="O3658" s="2">
        <v>44</v>
      </c>
      <c r="P3658" s="8">
        <f t="shared" si="282"/>
        <v>18866</v>
      </c>
      <c r="Q3658" s="8">
        <f t="shared" si="283"/>
        <v>543</v>
      </c>
      <c r="R3658" s="2" t="s">
        <v>50</v>
      </c>
      <c r="S3658" s="24">
        <f t="shared" si="284"/>
        <v>0.05</v>
      </c>
    </row>
    <row r="3659" spans="1:19" x14ac:dyDescent="0.25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>VLOOKUP(F3659,'Customer Info'!$A:$B,2,0)</f>
        <v>Rick</v>
      </c>
      <c r="H3659" s="6" t="str">
        <f>VLOOKUP(F3659,'Customer Info'!$A$1:$C$501,3,0)</f>
        <v>Reed</v>
      </c>
      <c r="I3659" s="6" t="str">
        <f>VLOOKUP(F3659,Customer,5,0)</f>
        <v>Lucknow</v>
      </c>
      <c r="J3659" s="2">
        <v>5836</v>
      </c>
      <c r="K3659" s="2">
        <v>5457</v>
      </c>
      <c r="L3659" s="2">
        <v>2</v>
      </c>
      <c r="M3659" s="7">
        <f t="shared" ref="M3659:M3722" si="285">K3659*L3659</f>
        <v>10914</v>
      </c>
      <c r="N3659" s="7">
        <f t="shared" ref="N3659:N3722" si="286">J3659*L3659</f>
        <v>11672</v>
      </c>
      <c r="O3659" s="2">
        <v>29</v>
      </c>
      <c r="P3659" s="8">
        <f t="shared" ref="P3659:P3722" si="287">N3659+O3659</f>
        <v>11701</v>
      </c>
      <c r="Q3659" s="8">
        <f t="shared" ref="Q3659:Q3722" si="288">N3659-M3659</f>
        <v>758</v>
      </c>
      <c r="R3659" s="2" t="s">
        <v>50</v>
      </c>
      <c r="S3659" s="24">
        <f t="shared" ref="S3659:S3722" si="289">VLOOKUP(N3659,$T$1:$U$7,2,TRUE)</f>
        <v>0.05</v>
      </c>
    </row>
    <row r="3660" spans="1:19" x14ac:dyDescent="0.25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>VLOOKUP(F3660,'Customer Info'!$A:$B,2,0)</f>
        <v>Darren</v>
      </c>
      <c r="H3660" s="6" t="str">
        <f>VLOOKUP(F3660,'Customer Info'!$A$1:$C$501,3,0)</f>
        <v>Koutras</v>
      </c>
      <c r="I3660" s="6" t="str">
        <f>VLOOKUP(F3660,Customer,5,0)</f>
        <v>Pune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8">
        <f t="shared" si="287"/>
        <v>1347</v>
      </c>
      <c r="Q3660" s="8">
        <f t="shared" si="288"/>
        <v>134</v>
      </c>
      <c r="R3660" s="2" t="s">
        <v>50</v>
      </c>
      <c r="S3660" s="24">
        <f t="shared" si="289"/>
        <v>0.02</v>
      </c>
    </row>
    <row r="3661" spans="1:19" x14ac:dyDescent="0.25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>VLOOKUP(F3661,'Customer Info'!$A:$B,2,0)</f>
        <v>Rick</v>
      </c>
      <c r="H3661" s="6" t="str">
        <f>VLOOKUP(F3661,'Customer Info'!$A$1:$C$501,3,0)</f>
        <v>Reed</v>
      </c>
      <c r="I3661" s="6" t="str">
        <f>VLOOKUP(F3661,Customer,5,0)</f>
        <v>Lucknow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8">
        <f t="shared" si="287"/>
        <v>16487</v>
      </c>
      <c r="Q3661" s="8">
        <f t="shared" si="288"/>
        <v>1352</v>
      </c>
      <c r="R3661" s="2" t="s">
        <v>28</v>
      </c>
      <c r="S3661" s="24">
        <f t="shared" si="289"/>
        <v>0.05</v>
      </c>
    </row>
    <row r="3662" spans="1:19" x14ac:dyDescent="0.25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>VLOOKUP(F3662,'Customer Info'!$A:$B,2,0)</f>
        <v>Brad</v>
      </c>
      <c r="H3662" s="6" t="str">
        <f>VLOOKUP(F3662,'Customer Info'!$A$1:$C$501,3,0)</f>
        <v>Thomas</v>
      </c>
      <c r="I3662" s="6" t="str">
        <f>VLOOKUP(F3662,Customer,5,0)</f>
        <v>Udaipur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8">
        <f t="shared" si="287"/>
        <v>3300</v>
      </c>
      <c r="Q3662" s="8">
        <f t="shared" si="288"/>
        <v>323</v>
      </c>
      <c r="R3662" s="2" t="s">
        <v>28</v>
      </c>
      <c r="S3662" s="24">
        <f t="shared" si="289"/>
        <v>0.02</v>
      </c>
    </row>
    <row r="3663" spans="1:19" x14ac:dyDescent="0.25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>VLOOKUP(F3663,'Customer Info'!$A:$B,2,0)</f>
        <v>Aaron</v>
      </c>
      <c r="H3663" s="6" t="str">
        <f>VLOOKUP(F3663,'Customer Info'!$A$1:$C$501,3,0)</f>
        <v>Smayling</v>
      </c>
      <c r="I3663" s="6" t="str">
        <f>VLOOKUP(F3663,Customer,5,0)</f>
        <v>Dresden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8">
        <f t="shared" si="287"/>
        <v>11044</v>
      </c>
      <c r="Q3663" s="8">
        <f t="shared" si="288"/>
        <v>808</v>
      </c>
      <c r="R3663" s="2" t="s">
        <v>28</v>
      </c>
      <c r="S3663" s="24">
        <f t="shared" si="289"/>
        <v>0.05</v>
      </c>
    </row>
    <row r="3664" spans="1:19" x14ac:dyDescent="0.25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>VLOOKUP(F3664,'Customer Info'!$A:$B,2,0)</f>
        <v>Darrin</v>
      </c>
      <c r="H3664" s="6" t="str">
        <f>VLOOKUP(F3664,'Customer Info'!$A$1:$C$501,3,0)</f>
        <v>Sayre</v>
      </c>
      <c r="I3664" s="6" t="str">
        <f>VLOOKUP(F3664,Customer,5,0)</f>
        <v>Duisburg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9474</v>
      </c>
      <c r="O3664" s="2">
        <v>65</v>
      </c>
      <c r="P3664" s="8">
        <f t="shared" si="287"/>
        <v>9539</v>
      </c>
      <c r="Q3664" s="8">
        <f t="shared" si="288"/>
        <v>528</v>
      </c>
      <c r="R3664" s="2" t="s">
        <v>28</v>
      </c>
      <c r="S3664" s="24">
        <f t="shared" si="289"/>
        <v>0.05</v>
      </c>
    </row>
    <row r="3665" spans="1:19" x14ac:dyDescent="0.25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>VLOOKUP(F3665,'Customer Info'!$A:$B,2,0)</f>
        <v>Rachel</v>
      </c>
      <c r="H3665" s="6" t="str">
        <f>VLOOKUP(F3665,'Customer Info'!$A$1:$C$501,3,0)</f>
        <v>Payne</v>
      </c>
      <c r="I3665" s="6" t="str">
        <f>VLOOKUP(F3665,Customer,5,0)</f>
        <v>Caloundra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17756</v>
      </c>
      <c r="O3665" s="2">
        <v>90</v>
      </c>
      <c r="P3665" s="8">
        <f t="shared" si="287"/>
        <v>17846</v>
      </c>
      <c r="Q3665" s="8">
        <f t="shared" si="288"/>
        <v>1928</v>
      </c>
      <c r="R3665" s="2" t="s">
        <v>56</v>
      </c>
      <c r="S3665" s="24">
        <f t="shared" si="289"/>
        <v>0.05</v>
      </c>
    </row>
    <row r="3666" spans="1:19" x14ac:dyDescent="0.25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>VLOOKUP(F3666,'Customer Info'!$A:$B,2,0)</f>
        <v>Patrick</v>
      </c>
      <c r="H3666" s="6" t="str">
        <f>VLOOKUP(F3666,'Customer Info'!$A$1:$C$501,3,0)</f>
        <v>Bzostek</v>
      </c>
      <c r="I3666" s="6" t="str">
        <f>VLOOKUP(F3666,Customer,5,0)</f>
        <v>Brisbane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3306</v>
      </c>
      <c r="O3666" s="2">
        <v>67</v>
      </c>
      <c r="P3666" s="8">
        <f t="shared" si="287"/>
        <v>3373</v>
      </c>
      <c r="Q3666" s="8">
        <f t="shared" si="288"/>
        <v>186</v>
      </c>
      <c r="R3666" s="2" t="s">
        <v>28</v>
      </c>
      <c r="S3666" s="24">
        <f t="shared" si="289"/>
        <v>0.02</v>
      </c>
    </row>
    <row r="3667" spans="1:19" x14ac:dyDescent="0.25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>VLOOKUP(F3667,'Customer Info'!$A:$B,2,0)</f>
        <v>Shui</v>
      </c>
      <c r="H3667" s="6" t="str">
        <f>VLOOKUP(F3667,'Customer Info'!$A$1:$C$501,3,0)</f>
        <v>Tom</v>
      </c>
      <c r="I3667" s="6" t="str">
        <f>VLOOKUP(F3667,Customer,5,0)</f>
        <v>Melbourne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5836</v>
      </c>
      <c r="O3667" s="2">
        <v>59</v>
      </c>
      <c r="P3667" s="8">
        <f t="shared" si="287"/>
        <v>5895</v>
      </c>
      <c r="Q3667" s="8">
        <f t="shared" si="288"/>
        <v>379</v>
      </c>
      <c r="R3667" s="2" t="s">
        <v>50</v>
      </c>
      <c r="S3667" s="24">
        <f t="shared" si="289"/>
        <v>0.05</v>
      </c>
    </row>
    <row r="3668" spans="1:19" x14ac:dyDescent="0.25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>VLOOKUP(F3668,'Customer Info'!$A:$B,2,0)</f>
        <v>Bart</v>
      </c>
      <c r="H3668" s="6" t="str">
        <f>VLOOKUP(F3668,'Customer Info'!$A$1:$C$501,3,0)</f>
        <v>Folk</v>
      </c>
      <c r="I3668" s="6" t="str">
        <f>VLOOKUP(F3668,Customer,5,0)</f>
        <v>Melbourne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238</v>
      </c>
      <c r="O3668" s="2">
        <v>30</v>
      </c>
      <c r="P3668" s="8">
        <f t="shared" si="287"/>
        <v>268</v>
      </c>
      <c r="Q3668" s="8">
        <f t="shared" si="288"/>
        <v>14</v>
      </c>
      <c r="R3668" s="2" t="s">
        <v>28</v>
      </c>
      <c r="S3668" s="24">
        <f t="shared" si="289"/>
        <v>0.02</v>
      </c>
    </row>
    <row r="3669" spans="1:19" x14ac:dyDescent="0.25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>VLOOKUP(F3669,'Customer Info'!$A:$B,2,0)</f>
        <v>Yana</v>
      </c>
      <c r="H3669" s="6" t="str">
        <f>VLOOKUP(F3669,'Customer Info'!$A$1:$C$501,3,0)</f>
        <v>Sorensen</v>
      </c>
      <c r="I3669" s="6" t="str">
        <f>VLOOKUP(F3669,Customer,5,0)</f>
        <v>Bottrop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4984</v>
      </c>
      <c r="O3669" s="2">
        <v>76</v>
      </c>
      <c r="P3669" s="8">
        <f t="shared" si="287"/>
        <v>5060</v>
      </c>
      <c r="Q3669" s="8">
        <f t="shared" si="288"/>
        <v>328</v>
      </c>
      <c r="R3669" s="2" t="s">
        <v>28</v>
      </c>
      <c r="S3669" s="24">
        <f t="shared" si="289"/>
        <v>0.02</v>
      </c>
    </row>
    <row r="3670" spans="1:19" x14ac:dyDescent="0.25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>VLOOKUP(F3670,'Customer Info'!$A:$B,2,0)</f>
        <v>Sara</v>
      </c>
      <c r="H3670" s="6" t="str">
        <f>VLOOKUP(F3670,'Customer Info'!$A$1:$C$501,3,0)</f>
        <v>Luxemburg</v>
      </c>
      <c r="I3670" s="6" t="str">
        <f>VLOOKUP(F3670,Customer,5,0)</f>
        <v>Luoyang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15016</v>
      </c>
      <c r="O3670" s="2">
        <v>48</v>
      </c>
      <c r="P3670" s="8">
        <f t="shared" si="287"/>
        <v>15064</v>
      </c>
      <c r="Q3670" s="8">
        <f t="shared" si="288"/>
        <v>1104</v>
      </c>
      <c r="R3670" s="2" t="s">
        <v>28</v>
      </c>
      <c r="S3670" s="24">
        <f t="shared" si="289"/>
        <v>0.05</v>
      </c>
    </row>
    <row r="3671" spans="1:19" x14ac:dyDescent="0.25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>VLOOKUP(F3671,'Customer Info'!$A:$B,2,0)</f>
        <v>Robert</v>
      </c>
      <c r="H3671" s="6" t="str">
        <f>VLOOKUP(F3671,'Customer Info'!$A$1:$C$501,3,0)</f>
        <v>Dilbeck</v>
      </c>
      <c r="I3671" s="6" t="str">
        <f>VLOOKUP(F3671,Customer,5,0)</f>
        <v>Melton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2754</v>
      </c>
      <c r="O3671" s="2">
        <v>86</v>
      </c>
      <c r="P3671" s="8">
        <f t="shared" si="287"/>
        <v>2840</v>
      </c>
      <c r="Q3671" s="8">
        <f t="shared" si="288"/>
        <v>177</v>
      </c>
      <c r="R3671" s="2" t="s">
        <v>28</v>
      </c>
      <c r="S3671" s="24">
        <f t="shared" si="289"/>
        <v>0.02</v>
      </c>
    </row>
    <row r="3672" spans="1:19" x14ac:dyDescent="0.25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>VLOOKUP(F3672,'Customer Info'!$A:$B,2,0)</f>
        <v>Carlos</v>
      </c>
      <c r="H3672" s="6" t="str">
        <f>VLOOKUP(F3672,'Customer Info'!$A$1:$C$501,3,0)</f>
        <v>Soltero</v>
      </c>
      <c r="I3672" s="6" t="str">
        <f>VLOOKUP(F3672,Customer,5,0)</f>
        <v>Wodonga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1071</v>
      </c>
      <c r="O3672" s="2">
        <v>58</v>
      </c>
      <c r="P3672" s="8">
        <f t="shared" si="287"/>
        <v>1129</v>
      </c>
      <c r="Q3672" s="8">
        <f t="shared" si="288"/>
        <v>61</v>
      </c>
      <c r="R3672" s="2" t="s">
        <v>50</v>
      </c>
      <c r="S3672" s="24">
        <f t="shared" si="289"/>
        <v>0.02</v>
      </c>
    </row>
    <row r="3673" spans="1:19" x14ac:dyDescent="0.25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>VLOOKUP(F3673,'Customer Info'!$A:$B,2,0)</f>
        <v>Becky</v>
      </c>
      <c r="H3673" s="6" t="str">
        <f>VLOOKUP(F3673,'Customer Info'!$A$1:$C$501,3,0)</f>
        <v>Pak</v>
      </c>
      <c r="I3673" s="6" t="str">
        <f>VLOOKUP(F3673,Customer,5,0)</f>
        <v>Geelong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3176</v>
      </c>
      <c r="O3673" s="2">
        <v>69</v>
      </c>
      <c r="P3673" s="8">
        <f t="shared" si="287"/>
        <v>3245</v>
      </c>
      <c r="Q3673" s="8">
        <f t="shared" si="288"/>
        <v>60</v>
      </c>
      <c r="R3673" s="2" t="s">
        <v>50</v>
      </c>
      <c r="S3673" s="24">
        <f t="shared" si="289"/>
        <v>0.02</v>
      </c>
    </row>
    <row r="3674" spans="1:19" x14ac:dyDescent="0.25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>VLOOKUP(F3674,'Customer Info'!$A:$B,2,0)</f>
        <v>Craig</v>
      </c>
      <c r="H3674" s="6" t="str">
        <f>VLOOKUP(F3674,'Customer Info'!$A$1:$C$501,3,0)</f>
        <v>Leslie</v>
      </c>
      <c r="I3674" s="6" t="str">
        <f>VLOOKUP(F3674,Customer,5,0)</f>
        <v>Wetzlar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3275</v>
      </c>
      <c r="O3674" s="2">
        <v>22</v>
      </c>
      <c r="P3674" s="8">
        <f t="shared" si="287"/>
        <v>3297</v>
      </c>
      <c r="Q3674" s="8">
        <f t="shared" si="288"/>
        <v>185</v>
      </c>
      <c r="R3674" s="2" t="s">
        <v>28</v>
      </c>
      <c r="S3674" s="24">
        <f t="shared" si="289"/>
        <v>0.02</v>
      </c>
    </row>
    <row r="3675" spans="1:19" x14ac:dyDescent="0.25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>VLOOKUP(F3675,'Customer Info'!$A:$B,2,0)</f>
        <v>Resi</v>
      </c>
      <c r="H3675" s="6" t="str">
        <f>VLOOKUP(F3675,'Customer Info'!$A$1:$C$501,3,0)</f>
        <v>Pšlking</v>
      </c>
      <c r="I3675" s="6" t="str">
        <f>VLOOKUP(F3675,Customer,5,0)</f>
        <v>Gelsenkirchen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4002</v>
      </c>
      <c r="O3675" s="2">
        <v>24</v>
      </c>
      <c r="P3675" s="8">
        <f t="shared" si="287"/>
        <v>4026</v>
      </c>
      <c r="Q3675" s="8">
        <f t="shared" si="288"/>
        <v>258</v>
      </c>
      <c r="R3675" s="2" t="s">
        <v>50</v>
      </c>
      <c r="S3675" s="24">
        <f t="shared" si="289"/>
        <v>0.02</v>
      </c>
    </row>
    <row r="3676" spans="1:19" x14ac:dyDescent="0.25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>VLOOKUP(F3676,'Customer Info'!$A:$B,2,0)</f>
        <v>Roland</v>
      </c>
      <c r="H3676" s="6" t="str">
        <f>VLOOKUP(F3676,'Customer Info'!$A$1:$C$501,3,0)</f>
        <v>Murray</v>
      </c>
      <c r="I3676" s="6" t="str">
        <f>VLOOKUP(F3676,Customer,5,0)</f>
        <v>Frankfurt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2829</v>
      </c>
      <c r="O3676" s="2">
        <v>82</v>
      </c>
      <c r="P3676" s="8">
        <f t="shared" si="287"/>
        <v>2911</v>
      </c>
      <c r="Q3676" s="8">
        <f t="shared" si="288"/>
        <v>233</v>
      </c>
      <c r="R3676" s="2" t="s">
        <v>50</v>
      </c>
      <c r="S3676" s="24">
        <f t="shared" si="289"/>
        <v>0.02</v>
      </c>
    </row>
    <row r="3677" spans="1:19" x14ac:dyDescent="0.25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>VLOOKUP(F3677,'Customer Info'!$A:$B,2,0)</f>
        <v>Helen</v>
      </c>
      <c r="H3677" s="6" t="str">
        <f>VLOOKUP(F3677,'Customer Info'!$A$1:$C$501,3,0)</f>
        <v>Abelman</v>
      </c>
      <c r="I3677" s="6" t="str">
        <f>VLOOKUP(F3677,Customer,5,0)</f>
        <v>Mangalore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7095</v>
      </c>
      <c r="O3677" s="2">
        <v>26</v>
      </c>
      <c r="P3677" s="8">
        <f t="shared" si="287"/>
        <v>7121</v>
      </c>
      <c r="Q3677" s="8">
        <f t="shared" si="288"/>
        <v>399</v>
      </c>
      <c r="R3677" s="2" t="s">
        <v>28</v>
      </c>
      <c r="S3677" s="24">
        <f t="shared" si="289"/>
        <v>0.05</v>
      </c>
    </row>
    <row r="3678" spans="1:19" x14ac:dyDescent="0.25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>VLOOKUP(F3678,'Customer Info'!$A:$B,2,0)</f>
        <v>Pamela</v>
      </c>
      <c r="H3678" s="6" t="str">
        <f>VLOOKUP(F3678,'Customer Info'!$A$1:$C$501,3,0)</f>
        <v>Stobb</v>
      </c>
      <c r="I3678" s="6" t="str">
        <f>VLOOKUP(F3678,Customer,5,0)</f>
        <v>Bremen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7332</v>
      </c>
      <c r="O3678" s="2">
        <v>97</v>
      </c>
      <c r="P3678" s="8">
        <f t="shared" si="287"/>
        <v>7429</v>
      </c>
      <c r="Q3678" s="8">
        <f t="shared" si="288"/>
        <v>210</v>
      </c>
      <c r="R3678" s="2" t="s">
        <v>28</v>
      </c>
      <c r="S3678" s="24">
        <f t="shared" si="289"/>
        <v>0.05</v>
      </c>
    </row>
    <row r="3679" spans="1:19" x14ac:dyDescent="0.25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>VLOOKUP(F3679,'Customer Info'!$A:$B,2,0)</f>
        <v>Dave</v>
      </c>
      <c r="H3679" s="6" t="str">
        <f>VLOOKUP(F3679,'Customer Info'!$A$1:$C$501,3,0)</f>
        <v>Poirier</v>
      </c>
      <c r="I3679" s="6" t="str">
        <f>VLOOKUP(F3679,Customer,5,0)</f>
        <v>Changchun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96</v>
      </c>
      <c r="O3679" s="2">
        <v>10</v>
      </c>
      <c r="P3679" s="8">
        <f t="shared" si="287"/>
        <v>106</v>
      </c>
      <c r="Q3679" s="8">
        <f t="shared" si="288"/>
        <v>9</v>
      </c>
      <c r="R3679" s="2" t="s">
        <v>28</v>
      </c>
      <c r="S3679" s="24">
        <f t="shared" si="289"/>
        <v>0.02</v>
      </c>
    </row>
    <row r="3680" spans="1:19" x14ac:dyDescent="0.25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>VLOOKUP(F3680,'Customer Info'!$A:$B,2,0)</f>
        <v>Christy</v>
      </c>
      <c r="H3680" s="6" t="str">
        <f>VLOOKUP(F3680,'Customer Info'!$A$1:$C$501,3,0)</f>
        <v>Brittain</v>
      </c>
      <c r="I3680" s="6" t="str">
        <f>VLOOKUP(F3680,Customer,5,0)</f>
        <v>Ajmer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279</v>
      </c>
      <c r="O3680" s="2">
        <v>64</v>
      </c>
      <c r="P3680" s="8">
        <f t="shared" si="287"/>
        <v>343</v>
      </c>
      <c r="Q3680" s="8">
        <f t="shared" si="288"/>
        <v>25</v>
      </c>
      <c r="R3680" s="2" t="s">
        <v>50</v>
      </c>
      <c r="S3680" s="24">
        <f t="shared" si="289"/>
        <v>0.02</v>
      </c>
    </row>
    <row r="3681" spans="1:19" x14ac:dyDescent="0.25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>VLOOKUP(F3681,'Customer Info'!$A:$B,2,0)</f>
        <v>Meg</v>
      </c>
      <c r="H3681" s="6" t="str">
        <f>VLOOKUP(F3681,'Customer Info'!$A$1:$C$501,3,0)</f>
        <v>Tillman</v>
      </c>
      <c r="I3681" s="6" t="str">
        <f>VLOOKUP(F3681,Customer,5,0)</f>
        <v>Bangalore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2551</v>
      </c>
      <c r="O3681" s="2">
        <v>39</v>
      </c>
      <c r="P3681" s="8">
        <f t="shared" si="287"/>
        <v>2590</v>
      </c>
      <c r="Q3681" s="8">
        <f t="shared" si="288"/>
        <v>95</v>
      </c>
      <c r="R3681" s="2" t="s">
        <v>28</v>
      </c>
      <c r="S3681" s="24">
        <f t="shared" si="289"/>
        <v>0.02</v>
      </c>
    </row>
    <row r="3682" spans="1:19" x14ac:dyDescent="0.25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>VLOOKUP(F3682,'Customer Info'!$A:$B,2,0)</f>
        <v>Paul</v>
      </c>
      <c r="H3682" s="6" t="str">
        <f>VLOOKUP(F3682,'Customer Info'!$A$1:$C$501,3,0)</f>
        <v>Stevenson</v>
      </c>
      <c r="I3682" s="6" t="str">
        <f>VLOOKUP(F3682,Customer,5,0)</f>
        <v>Kwinana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14394</v>
      </c>
      <c r="O3682" s="2">
        <v>56</v>
      </c>
      <c r="P3682" s="8">
        <f t="shared" si="287"/>
        <v>14450</v>
      </c>
      <c r="Q3682" s="8">
        <f t="shared" si="288"/>
        <v>1050</v>
      </c>
      <c r="R3682" s="2" t="s">
        <v>28</v>
      </c>
      <c r="S3682" s="24">
        <f t="shared" si="289"/>
        <v>0.05</v>
      </c>
    </row>
    <row r="3683" spans="1:19" x14ac:dyDescent="0.25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>VLOOKUP(F3683,'Customer Info'!$A:$B,2,0)</f>
        <v>Roger</v>
      </c>
      <c r="H3683" s="6" t="str">
        <f>VLOOKUP(F3683,'Customer Info'!$A$1:$C$501,3,0)</f>
        <v>Barcio</v>
      </c>
      <c r="I3683" s="6" t="str">
        <f>VLOOKUP(F3683,Customer,5,0)</f>
        <v>Celle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5540</v>
      </c>
      <c r="O3683" s="2">
        <v>62</v>
      </c>
      <c r="P3683" s="8">
        <f t="shared" si="287"/>
        <v>5602</v>
      </c>
      <c r="Q3683" s="8">
        <f t="shared" si="288"/>
        <v>360</v>
      </c>
      <c r="R3683" s="2" t="s">
        <v>28</v>
      </c>
      <c r="S3683" s="24">
        <f t="shared" si="289"/>
        <v>0.05</v>
      </c>
    </row>
    <row r="3684" spans="1:19" x14ac:dyDescent="0.25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>VLOOKUP(F3684,'Customer Info'!$A:$B,2,0)</f>
        <v>Harold</v>
      </c>
      <c r="H3684" s="6" t="str">
        <f>VLOOKUP(F3684,'Customer Info'!$A$1:$C$501,3,0)</f>
        <v>Dahlen</v>
      </c>
      <c r="I3684" s="6" t="str">
        <f>VLOOKUP(F3684,Customer,5,0)</f>
        <v>Melbourne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40800</v>
      </c>
      <c r="O3684" s="2">
        <v>44</v>
      </c>
      <c r="P3684" s="8">
        <f t="shared" si="287"/>
        <v>40844</v>
      </c>
      <c r="Q3684" s="8">
        <f t="shared" si="288"/>
        <v>3425</v>
      </c>
      <c r="R3684" s="2" t="s">
        <v>28</v>
      </c>
      <c r="S3684" s="24">
        <f t="shared" si="289"/>
        <v>7.0000000000000007E-2</v>
      </c>
    </row>
    <row r="3685" spans="1:19" x14ac:dyDescent="0.25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>VLOOKUP(F3685,'Customer Info'!$A:$B,2,0)</f>
        <v>David</v>
      </c>
      <c r="H3685" s="6" t="str">
        <f>VLOOKUP(F3685,'Customer Info'!$A$1:$C$501,3,0)</f>
        <v>Smith</v>
      </c>
      <c r="I3685" s="6" t="str">
        <f>VLOOKUP(F3685,Customer,5,0)</f>
        <v>Surat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120</v>
      </c>
      <c r="O3685" s="2">
        <v>10</v>
      </c>
      <c r="P3685" s="8">
        <f t="shared" si="287"/>
        <v>130</v>
      </c>
      <c r="Q3685" s="8">
        <f t="shared" si="288"/>
        <v>8</v>
      </c>
      <c r="R3685" s="2" t="s">
        <v>50</v>
      </c>
      <c r="S3685" s="24">
        <f t="shared" si="289"/>
        <v>0.02</v>
      </c>
    </row>
    <row r="3686" spans="1:19" x14ac:dyDescent="0.25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>VLOOKUP(F3686,'Customer Info'!$A:$B,2,0)</f>
        <v>Jonathan</v>
      </c>
      <c r="H3686" s="6" t="str">
        <f>VLOOKUP(F3686,'Customer Info'!$A$1:$C$501,3,0)</f>
        <v>Howell</v>
      </c>
      <c r="I3686" s="6" t="str">
        <f>VLOOKUP(F3686,Customer,5,0)</f>
        <v>Guangshui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272</v>
      </c>
      <c r="O3686" s="2">
        <v>30</v>
      </c>
      <c r="P3686" s="8">
        <f t="shared" si="287"/>
        <v>302</v>
      </c>
      <c r="Q3686" s="8">
        <f t="shared" si="288"/>
        <v>12</v>
      </c>
      <c r="R3686" s="2" t="s">
        <v>28</v>
      </c>
      <c r="S3686" s="24">
        <f t="shared" si="289"/>
        <v>0.02</v>
      </c>
    </row>
    <row r="3687" spans="1:19" x14ac:dyDescent="0.25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>VLOOKUP(F3687,'Customer Info'!$A:$B,2,0)</f>
        <v>Susan</v>
      </c>
      <c r="H3687" s="6" t="str">
        <f>VLOOKUP(F3687,'Customer Info'!$A$1:$C$501,3,0)</f>
        <v>Pistek</v>
      </c>
      <c r="I3687" s="6" t="str">
        <f>VLOOKUP(F3687,Customer,5,0)</f>
        <v>Padang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13196</v>
      </c>
      <c r="O3687" s="2">
        <v>65</v>
      </c>
      <c r="P3687" s="8">
        <f t="shared" si="287"/>
        <v>13261</v>
      </c>
      <c r="Q3687" s="8">
        <f t="shared" si="288"/>
        <v>504</v>
      </c>
      <c r="R3687" s="2" t="s">
        <v>26</v>
      </c>
      <c r="S3687" s="24">
        <f t="shared" si="289"/>
        <v>0.05</v>
      </c>
    </row>
    <row r="3688" spans="1:19" x14ac:dyDescent="0.25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>VLOOKUP(F3688,'Customer Info'!$A:$B,2,0)</f>
        <v>Annie</v>
      </c>
      <c r="H3688" s="6" t="str">
        <f>VLOOKUP(F3688,'Customer Info'!$A$1:$C$501,3,0)</f>
        <v>Zypern</v>
      </c>
      <c r="I3688" s="6" t="str">
        <f>VLOOKUP(F3688,Customer,5,0)</f>
        <v>Brisbane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5574</v>
      </c>
      <c r="O3688" s="2">
        <v>96</v>
      </c>
      <c r="P3688" s="8">
        <f t="shared" si="287"/>
        <v>5670</v>
      </c>
      <c r="Q3688" s="8">
        <f t="shared" si="288"/>
        <v>212</v>
      </c>
      <c r="R3688" s="2" t="s">
        <v>26</v>
      </c>
      <c r="S3688" s="24">
        <f t="shared" si="289"/>
        <v>0.05</v>
      </c>
    </row>
    <row r="3689" spans="1:19" x14ac:dyDescent="0.25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>VLOOKUP(F3689,'Customer Info'!$A:$B,2,0)</f>
        <v>Benjamin</v>
      </c>
      <c r="H3689" s="6" t="str">
        <f>VLOOKUP(F3689,'Customer Info'!$A$1:$C$501,3,0)</f>
        <v>Patterson</v>
      </c>
      <c r="I3689" s="6" t="str">
        <f>VLOOKUP(F3689,Customer,5,0)</f>
        <v>Wollongong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360</v>
      </c>
      <c r="O3689" s="2">
        <v>10</v>
      </c>
      <c r="P3689" s="8">
        <f t="shared" si="287"/>
        <v>370</v>
      </c>
      <c r="Q3689" s="8">
        <f t="shared" si="288"/>
        <v>30</v>
      </c>
      <c r="R3689" s="2" t="s">
        <v>28</v>
      </c>
      <c r="S3689" s="24">
        <f t="shared" si="289"/>
        <v>0.02</v>
      </c>
    </row>
    <row r="3690" spans="1:19" x14ac:dyDescent="0.25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>VLOOKUP(F3690,'Customer Info'!$A:$B,2,0)</f>
        <v>Laurel</v>
      </c>
      <c r="H3690" s="6" t="str">
        <f>VLOOKUP(F3690,'Customer Info'!$A$1:$C$501,3,0)</f>
        <v>Beltran</v>
      </c>
      <c r="I3690" s="6" t="str">
        <f>VLOOKUP(F3690,Customer,5,0)</f>
        <v>Bonn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5775</v>
      </c>
      <c r="O3690" s="2">
        <v>83</v>
      </c>
      <c r="P3690" s="8">
        <f t="shared" si="287"/>
        <v>5858</v>
      </c>
      <c r="Q3690" s="8">
        <f t="shared" si="288"/>
        <v>273</v>
      </c>
      <c r="R3690" s="2" t="s">
        <v>26</v>
      </c>
      <c r="S3690" s="24">
        <f t="shared" si="289"/>
        <v>0.05</v>
      </c>
    </row>
    <row r="3691" spans="1:19" x14ac:dyDescent="0.25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>VLOOKUP(F3691,'Customer Info'!$A:$B,2,0)</f>
        <v>Rachel</v>
      </c>
      <c r="H3691" s="6" t="str">
        <f>VLOOKUP(F3691,'Customer Info'!$A$1:$C$501,3,0)</f>
        <v>Payne</v>
      </c>
      <c r="I3691" s="6" t="str">
        <f>VLOOKUP(F3691,Customer,5,0)</f>
        <v>Raipur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4034</v>
      </c>
      <c r="O3691" s="2">
        <v>47</v>
      </c>
      <c r="P3691" s="8">
        <f t="shared" si="287"/>
        <v>4081</v>
      </c>
      <c r="Q3691" s="8">
        <f t="shared" si="288"/>
        <v>366</v>
      </c>
      <c r="R3691" s="2" t="s">
        <v>28</v>
      </c>
      <c r="S3691" s="24">
        <f t="shared" si="289"/>
        <v>0.02</v>
      </c>
    </row>
    <row r="3692" spans="1:19" x14ac:dyDescent="0.25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>VLOOKUP(F3692,'Customer Info'!$A:$B,2,0)</f>
        <v>Jeremy</v>
      </c>
      <c r="H3692" s="6" t="str">
        <f>VLOOKUP(F3692,'Customer Info'!$A$1:$C$501,3,0)</f>
        <v>Ellison</v>
      </c>
      <c r="I3692" s="6" t="str">
        <f>VLOOKUP(F3692,Customer,5,0)</f>
        <v>Jammu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35092</v>
      </c>
      <c r="O3692" s="2">
        <v>100</v>
      </c>
      <c r="P3692" s="8">
        <f t="shared" si="287"/>
        <v>35192</v>
      </c>
      <c r="Q3692" s="8">
        <f t="shared" si="288"/>
        <v>2632</v>
      </c>
      <c r="R3692" s="2" t="s">
        <v>50</v>
      </c>
      <c r="S3692" s="24">
        <f t="shared" si="289"/>
        <v>7.0000000000000007E-2</v>
      </c>
    </row>
    <row r="3693" spans="1:19" x14ac:dyDescent="0.25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>VLOOKUP(F3693,'Customer Info'!$A:$B,2,0)</f>
        <v>Evan</v>
      </c>
      <c r="H3693" s="6" t="str">
        <f>VLOOKUP(F3693,'Customer Info'!$A$1:$C$501,3,0)</f>
        <v>Henry</v>
      </c>
      <c r="I3693" s="6" t="str">
        <f>VLOOKUP(F3693,Customer,5,0)</f>
        <v>Zhoukou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16052</v>
      </c>
      <c r="O3693" s="2">
        <v>65</v>
      </c>
      <c r="P3693" s="8">
        <f t="shared" si="287"/>
        <v>16117</v>
      </c>
      <c r="Q3693" s="8">
        <f t="shared" si="288"/>
        <v>908</v>
      </c>
      <c r="R3693" s="2" t="s">
        <v>50</v>
      </c>
      <c r="S3693" s="24">
        <f t="shared" si="289"/>
        <v>0.05</v>
      </c>
    </row>
    <row r="3694" spans="1:19" x14ac:dyDescent="0.25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>VLOOKUP(F3694,'Customer Info'!$A:$B,2,0)</f>
        <v>Neil</v>
      </c>
      <c r="H3694" s="6" t="str">
        <f>VLOOKUP(F3694,'Customer Info'!$A$1:$C$501,3,0)</f>
        <v>Knudson</v>
      </c>
      <c r="I3694" s="6" t="str">
        <f>VLOOKUP(F3694,Customer,5,0)</f>
        <v>Malang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13024</v>
      </c>
      <c r="O3694" s="2">
        <v>70</v>
      </c>
      <c r="P3694" s="8">
        <f t="shared" si="287"/>
        <v>13094</v>
      </c>
      <c r="Q3694" s="8">
        <f t="shared" si="288"/>
        <v>1188</v>
      </c>
      <c r="R3694" s="2" t="s">
        <v>28</v>
      </c>
      <c r="S3694" s="24">
        <f t="shared" si="289"/>
        <v>0.05</v>
      </c>
    </row>
    <row r="3695" spans="1:19" x14ac:dyDescent="0.25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>VLOOKUP(F3695,'Customer Info'!$A:$B,2,0)</f>
        <v>Robert</v>
      </c>
      <c r="H3695" s="6" t="str">
        <f>VLOOKUP(F3695,'Customer Info'!$A$1:$C$501,3,0)</f>
        <v>Waldorf</v>
      </c>
      <c r="I3695" s="6" t="str">
        <f>VLOOKUP(F3695,Customer,5,0)</f>
        <v>Emden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834</v>
      </c>
      <c r="O3695" s="2">
        <v>30</v>
      </c>
      <c r="P3695" s="8">
        <f t="shared" si="287"/>
        <v>864</v>
      </c>
      <c r="Q3695" s="8">
        <f t="shared" si="288"/>
        <v>36</v>
      </c>
      <c r="R3695" s="2" t="s">
        <v>28</v>
      </c>
      <c r="S3695" s="24">
        <f t="shared" si="289"/>
        <v>0.02</v>
      </c>
    </row>
    <row r="3696" spans="1:19" x14ac:dyDescent="0.25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>VLOOKUP(F3696,'Customer Info'!$A:$B,2,0)</f>
        <v>Catherine</v>
      </c>
      <c r="H3696" s="6" t="str">
        <f>VLOOKUP(F3696,'Customer Info'!$A$1:$C$501,3,0)</f>
        <v>Glotzbach</v>
      </c>
      <c r="I3696" s="6" t="str">
        <f>VLOOKUP(F3696,Customer,5,0)</f>
        <v>Bochum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420</v>
      </c>
      <c r="O3696" s="2">
        <v>79</v>
      </c>
      <c r="P3696" s="8">
        <f t="shared" si="287"/>
        <v>499</v>
      </c>
      <c r="Q3696" s="8">
        <f t="shared" si="288"/>
        <v>38</v>
      </c>
      <c r="R3696" s="2" t="s">
        <v>50</v>
      </c>
      <c r="S3696" s="24">
        <f t="shared" si="289"/>
        <v>0.02</v>
      </c>
    </row>
    <row r="3697" spans="1:19" x14ac:dyDescent="0.25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>VLOOKUP(F3697,'Customer Info'!$A:$B,2,0)</f>
        <v>Adam</v>
      </c>
      <c r="H3697" s="6" t="str">
        <f>VLOOKUP(F3697,'Customer Info'!$A$1:$C$501,3,0)</f>
        <v>Bellavance</v>
      </c>
      <c r="I3697" s="6" t="str">
        <f>VLOOKUP(F3697,Customer,5,0)</f>
        <v>Medan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1048</v>
      </c>
      <c r="O3697" s="2">
        <v>49</v>
      </c>
      <c r="P3697" s="8">
        <f t="shared" si="287"/>
        <v>1097</v>
      </c>
      <c r="Q3697" s="8">
        <f t="shared" si="288"/>
        <v>69</v>
      </c>
      <c r="R3697" s="2" t="s">
        <v>26</v>
      </c>
      <c r="S3697" s="24">
        <f t="shared" si="289"/>
        <v>0.02</v>
      </c>
    </row>
    <row r="3698" spans="1:19" x14ac:dyDescent="0.25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>VLOOKUP(F3698,'Customer Info'!$A:$B,2,0)</f>
        <v>William</v>
      </c>
      <c r="H3698" s="6" t="str">
        <f>VLOOKUP(F3698,'Customer Info'!$A$1:$C$501,3,0)</f>
        <v>Brown</v>
      </c>
      <c r="I3698" s="6" t="str">
        <f>VLOOKUP(F3698,Customer,5,0)</f>
        <v>Denpasar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224</v>
      </c>
      <c r="O3698" s="2">
        <v>10</v>
      </c>
      <c r="P3698" s="8">
        <f t="shared" si="287"/>
        <v>234</v>
      </c>
      <c r="Q3698" s="8">
        <f t="shared" si="288"/>
        <v>8</v>
      </c>
      <c r="R3698" s="2" t="s">
        <v>28</v>
      </c>
      <c r="S3698" s="24">
        <f t="shared" si="289"/>
        <v>0.02</v>
      </c>
    </row>
    <row r="3699" spans="1:19" x14ac:dyDescent="0.25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>VLOOKUP(F3699,'Customer Info'!$A:$B,2,0)</f>
        <v>Anemone</v>
      </c>
      <c r="H3699" s="6" t="str">
        <f>VLOOKUP(F3699,'Customer Info'!$A$1:$C$501,3,0)</f>
        <v>Ratner</v>
      </c>
      <c r="I3699" s="6" t="str">
        <f>VLOOKUP(F3699,Customer,5,0)</f>
        <v>Pune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8241</v>
      </c>
      <c r="O3699" s="2">
        <v>81</v>
      </c>
      <c r="P3699" s="8">
        <f t="shared" si="287"/>
        <v>8322</v>
      </c>
      <c r="Q3699" s="8">
        <f t="shared" si="288"/>
        <v>606</v>
      </c>
      <c r="R3699" s="2" t="s">
        <v>26</v>
      </c>
      <c r="S3699" s="24">
        <f t="shared" si="289"/>
        <v>0.05</v>
      </c>
    </row>
    <row r="3700" spans="1:19" x14ac:dyDescent="0.25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>VLOOKUP(F3700,'Customer Info'!$A:$B,2,0)</f>
        <v>Dan</v>
      </c>
      <c r="H3700" s="6" t="str">
        <f>VLOOKUP(F3700,'Customer Info'!$A$1:$C$501,3,0)</f>
        <v>Campbell</v>
      </c>
      <c r="I3700" s="6" t="str">
        <f>VLOOKUP(F3700,Customer,5,0)</f>
        <v>Perth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19136</v>
      </c>
      <c r="O3700" s="2">
        <v>85</v>
      </c>
      <c r="P3700" s="8">
        <f t="shared" si="287"/>
        <v>19221</v>
      </c>
      <c r="Q3700" s="8">
        <f t="shared" si="288"/>
        <v>1064</v>
      </c>
      <c r="R3700" s="2" t="s">
        <v>28</v>
      </c>
      <c r="S3700" s="24">
        <f t="shared" si="289"/>
        <v>0.05</v>
      </c>
    </row>
    <row r="3701" spans="1:19" x14ac:dyDescent="0.25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>VLOOKUP(F3701,'Customer Info'!$A:$B,2,0)</f>
        <v>Julia</v>
      </c>
      <c r="H3701" s="6" t="str">
        <f>VLOOKUP(F3701,'Customer Info'!$A$1:$C$501,3,0)</f>
        <v>Barnett</v>
      </c>
      <c r="I3701" s="6" t="str">
        <f>VLOOKUP(F3701,Customer,5,0)</f>
        <v>Zhuhai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16488</v>
      </c>
      <c r="O3701" s="2">
        <v>23</v>
      </c>
      <c r="P3701" s="8">
        <f t="shared" si="287"/>
        <v>16511</v>
      </c>
      <c r="Q3701" s="8">
        <f t="shared" si="288"/>
        <v>1364</v>
      </c>
      <c r="R3701" s="2" t="s">
        <v>50</v>
      </c>
      <c r="S3701" s="24">
        <f t="shared" si="289"/>
        <v>0.05</v>
      </c>
    </row>
    <row r="3702" spans="1:19" x14ac:dyDescent="0.25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>VLOOKUP(F3702,'Customer Info'!$A:$B,2,0)</f>
        <v>Joy</v>
      </c>
      <c r="H3702" s="6" t="str">
        <f>VLOOKUP(F3702,'Customer Info'!$A$1:$C$501,3,0)</f>
        <v>Bell</v>
      </c>
      <c r="I3702" s="6" t="str">
        <f>VLOOKUP(F3702,Customer,5,0)</f>
        <v>Tongchuan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202</v>
      </c>
      <c r="O3702" s="2">
        <v>10</v>
      </c>
      <c r="P3702" s="8">
        <f t="shared" si="287"/>
        <v>212</v>
      </c>
      <c r="Q3702" s="8">
        <f t="shared" si="288"/>
        <v>6</v>
      </c>
      <c r="R3702" s="2" t="s">
        <v>50</v>
      </c>
      <c r="S3702" s="24">
        <f t="shared" si="289"/>
        <v>0.02</v>
      </c>
    </row>
    <row r="3703" spans="1:19" x14ac:dyDescent="0.25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>VLOOKUP(F3703,'Customer Info'!$A:$B,2,0)</f>
        <v>Justin</v>
      </c>
      <c r="H3703" s="6" t="str">
        <f>VLOOKUP(F3703,'Customer Info'!$A$1:$C$501,3,0)</f>
        <v>Hirsh</v>
      </c>
      <c r="I3703" s="6" t="str">
        <f>VLOOKUP(F3703,Customer,5,0)</f>
        <v>Shangzhi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5202</v>
      </c>
      <c r="O3703" s="2">
        <v>39</v>
      </c>
      <c r="P3703" s="8">
        <f t="shared" si="287"/>
        <v>5241</v>
      </c>
      <c r="Q3703" s="8">
        <f t="shared" si="288"/>
        <v>96</v>
      </c>
      <c r="R3703" s="2" t="s">
        <v>28</v>
      </c>
      <c r="S3703" s="24">
        <f t="shared" si="289"/>
        <v>0.05</v>
      </c>
    </row>
    <row r="3704" spans="1:19" x14ac:dyDescent="0.25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>VLOOKUP(F3704,'Customer Info'!$A:$B,2,0)</f>
        <v>Sung</v>
      </c>
      <c r="H3704" s="6" t="str">
        <f>VLOOKUP(F3704,'Customer Info'!$A$1:$C$501,3,0)</f>
        <v>Shariari</v>
      </c>
      <c r="I3704" s="6" t="str">
        <f>VLOOKUP(F3704,Customer,5,0)</f>
        <v>Solapur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417</v>
      </c>
      <c r="O3704" s="2">
        <v>30</v>
      </c>
      <c r="P3704" s="8">
        <f t="shared" si="287"/>
        <v>447</v>
      </c>
      <c r="Q3704" s="8">
        <f t="shared" si="288"/>
        <v>18</v>
      </c>
      <c r="R3704" s="2" t="s">
        <v>28</v>
      </c>
      <c r="S3704" s="24">
        <f t="shared" si="289"/>
        <v>0.02</v>
      </c>
    </row>
    <row r="3705" spans="1:19" x14ac:dyDescent="0.25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>VLOOKUP(F3705,'Customer Info'!$A:$B,2,0)</f>
        <v>Nicole</v>
      </c>
      <c r="H3705" s="6" t="str">
        <f>VLOOKUP(F3705,'Customer Info'!$A$1:$C$501,3,0)</f>
        <v>Fjeld</v>
      </c>
      <c r="I3705" s="6" t="str">
        <f>VLOOKUP(F3705,Customer,5,0)</f>
        <v>Berlin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417</v>
      </c>
      <c r="O3705" s="2">
        <v>30</v>
      </c>
      <c r="P3705" s="8">
        <f t="shared" si="287"/>
        <v>447</v>
      </c>
      <c r="Q3705" s="8">
        <f t="shared" si="288"/>
        <v>18</v>
      </c>
      <c r="R3705" s="2" t="s">
        <v>28</v>
      </c>
      <c r="S3705" s="24">
        <f t="shared" si="289"/>
        <v>0.02</v>
      </c>
    </row>
    <row r="3706" spans="1:19" x14ac:dyDescent="0.25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>VLOOKUP(F3706,'Customer Info'!$A:$B,2,0)</f>
        <v>Nancy</v>
      </c>
      <c r="H3706" s="6" t="str">
        <f>VLOOKUP(F3706,'Customer Info'!$A$1:$C$501,3,0)</f>
        <v>Lomonaco</v>
      </c>
      <c r="I3706" s="6" t="str">
        <f>VLOOKUP(F3706,Customer,5,0)</f>
        <v>Tengzhou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13152</v>
      </c>
      <c r="O3706" s="2">
        <v>51</v>
      </c>
      <c r="P3706" s="8">
        <f t="shared" si="287"/>
        <v>13203</v>
      </c>
      <c r="Q3706" s="8">
        <f t="shared" si="288"/>
        <v>988</v>
      </c>
      <c r="R3706" s="2" t="s">
        <v>50</v>
      </c>
      <c r="S3706" s="24">
        <f t="shared" si="289"/>
        <v>0.05</v>
      </c>
    </row>
    <row r="3707" spans="1:19" x14ac:dyDescent="0.25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>VLOOKUP(F3707,'Customer Info'!$A:$B,2,0)</f>
        <v>Victoria</v>
      </c>
      <c r="H3707" s="6" t="str">
        <f>VLOOKUP(F3707,'Customer Info'!$A$1:$C$501,3,0)</f>
        <v>Brennan</v>
      </c>
      <c r="I3707" s="6" t="str">
        <f>VLOOKUP(F3707,Customer,5,0)</f>
        <v>Canberra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1654</v>
      </c>
      <c r="O3707" s="2">
        <v>21</v>
      </c>
      <c r="P3707" s="8">
        <f t="shared" si="287"/>
        <v>1675</v>
      </c>
      <c r="Q3707" s="8">
        <f t="shared" si="288"/>
        <v>77</v>
      </c>
      <c r="R3707" s="2" t="s">
        <v>50</v>
      </c>
      <c r="S3707" s="24">
        <f t="shared" si="289"/>
        <v>0.02</v>
      </c>
    </row>
    <row r="3708" spans="1:19" x14ac:dyDescent="0.25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>VLOOKUP(F3708,'Customer Info'!$A:$B,2,0)</f>
        <v>Ted</v>
      </c>
      <c r="H3708" s="6" t="str">
        <f>VLOOKUP(F3708,'Customer Info'!$A$1:$C$501,3,0)</f>
        <v>Trevino</v>
      </c>
      <c r="I3708" s="6" t="str">
        <f>VLOOKUP(F3708,Customer,5,0)</f>
        <v>Gold Coast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8370</v>
      </c>
      <c r="O3708" s="2">
        <v>94</v>
      </c>
      <c r="P3708" s="8">
        <f t="shared" si="287"/>
        <v>8464</v>
      </c>
      <c r="Q3708" s="8">
        <f t="shared" si="288"/>
        <v>699</v>
      </c>
      <c r="R3708" s="2" t="s">
        <v>28</v>
      </c>
      <c r="S3708" s="24">
        <f t="shared" si="289"/>
        <v>0.05</v>
      </c>
    </row>
    <row r="3709" spans="1:19" x14ac:dyDescent="0.25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>VLOOKUP(F3709,'Customer Info'!$A:$B,2,0)</f>
        <v>Stuart</v>
      </c>
      <c r="H3709" s="6" t="str">
        <f>VLOOKUP(F3709,'Customer Info'!$A$1:$C$501,3,0)</f>
        <v>Calhoun</v>
      </c>
      <c r="I3709" s="6" t="str">
        <f>VLOOKUP(F3709,Customer,5,0)</f>
        <v>Raipur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7359</v>
      </c>
      <c r="O3709" s="2">
        <v>47</v>
      </c>
      <c r="P3709" s="8">
        <f t="shared" si="287"/>
        <v>7406</v>
      </c>
      <c r="Q3709" s="8">
        <f t="shared" si="288"/>
        <v>351</v>
      </c>
      <c r="R3709" s="2" t="s">
        <v>28</v>
      </c>
      <c r="S3709" s="24">
        <f t="shared" si="289"/>
        <v>0.05</v>
      </c>
    </row>
    <row r="3710" spans="1:19" x14ac:dyDescent="0.25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>VLOOKUP(F3710,'Customer Info'!$A:$B,2,0)</f>
        <v>Quincy</v>
      </c>
      <c r="H3710" s="6" t="str">
        <f>VLOOKUP(F3710,'Customer Info'!$A$1:$C$501,3,0)</f>
        <v>Jones</v>
      </c>
      <c r="I3710" s="6" t="str">
        <f>VLOOKUP(F3710,Customer,5,0)</f>
        <v>Gold Coast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4170</v>
      </c>
      <c r="O3710" s="2">
        <v>50</v>
      </c>
      <c r="P3710" s="8">
        <f t="shared" si="287"/>
        <v>4220</v>
      </c>
      <c r="Q3710" s="8">
        <f t="shared" si="288"/>
        <v>204</v>
      </c>
      <c r="R3710" s="2" t="s">
        <v>28</v>
      </c>
      <c r="S3710" s="24">
        <f t="shared" si="289"/>
        <v>0.02</v>
      </c>
    </row>
    <row r="3711" spans="1:19" x14ac:dyDescent="0.25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>VLOOKUP(F3711,'Customer Info'!$A:$B,2,0)</f>
        <v>Rob</v>
      </c>
      <c r="H3711" s="6" t="str">
        <f>VLOOKUP(F3711,'Customer Info'!$A$1:$C$501,3,0)</f>
        <v>Haberlin</v>
      </c>
      <c r="I3711" s="6" t="str">
        <f>VLOOKUP(F3711,Customer,5,0)</f>
        <v>Harbin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6106</v>
      </c>
      <c r="O3711" s="2">
        <v>29</v>
      </c>
      <c r="P3711" s="8">
        <f t="shared" si="287"/>
        <v>6135</v>
      </c>
      <c r="Q3711" s="8">
        <f t="shared" si="288"/>
        <v>232</v>
      </c>
      <c r="R3711" s="2" t="s">
        <v>28</v>
      </c>
      <c r="S3711" s="24">
        <f t="shared" si="289"/>
        <v>0.05</v>
      </c>
    </row>
    <row r="3712" spans="1:19" x14ac:dyDescent="0.25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>VLOOKUP(F3712,'Customer Info'!$A:$B,2,0)</f>
        <v>Jill</v>
      </c>
      <c r="H3712" s="6" t="str">
        <f>VLOOKUP(F3712,'Customer Info'!$A$1:$C$501,3,0)</f>
        <v>Stevenson</v>
      </c>
      <c r="I3712" s="6" t="str">
        <f>VLOOKUP(F3712,Customer,5,0)</f>
        <v>Bengbu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382</v>
      </c>
      <c r="O3712" s="2">
        <v>30</v>
      </c>
      <c r="P3712" s="8">
        <f t="shared" si="287"/>
        <v>412</v>
      </c>
      <c r="Q3712" s="8">
        <f t="shared" si="288"/>
        <v>42</v>
      </c>
      <c r="R3712" s="2" t="s">
        <v>50</v>
      </c>
      <c r="S3712" s="24">
        <f t="shared" si="289"/>
        <v>0.02</v>
      </c>
    </row>
    <row r="3713" spans="1:19" x14ac:dyDescent="0.25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>VLOOKUP(F3713,'Customer Info'!$A:$B,2,0)</f>
        <v>Olvera</v>
      </c>
      <c r="H3713" s="6" t="str">
        <f>VLOOKUP(F3713,'Customer Info'!$A$1:$C$501,3,0)</f>
        <v>Toch</v>
      </c>
      <c r="I3713" s="6" t="str">
        <f>VLOOKUP(F3713,Customer,5,0)</f>
        <v>Wollongong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13230</v>
      </c>
      <c r="O3713" s="2">
        <v>33</v>
      </c>
      <c r="P3713" s="8">
        <f t="shared" si="287"/>
        <v>13263</v>
      </c>
      <c r="Q3713" s="8">
        <f t="shared" si="288"/>
        <v>864</v>
      </c>
      <c r="R3713" s="2" t="s">
        <v>50</v>
      </c>
      <c r="S3713" s="24">
        <f t="shared" si="289"/>
        <v>0.05</v>
      </c>
    </row>
    <row r="3714" spans="1:19" x14ac:dyDescent="0.25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>VLOOKUP(F3714,'Customer Info'!$A:$B,2,0)</f>
        <v>Alice</v>
      </c>
      <c r="H3714" s="6" t="str">
        <f>VLOOKUP(F3714,'Customer Info'!$A$1:$C$501,3,0)</f>
        <v>McCarthy</v>
      </c>
      <c r="I3714" s="6" t="str">
        <f>VLOOKUP(F3714,Customer,5,0)</f>
        <v>Berlin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10620</v>
      </c>
      <c r="O3714" s="2">
        <v>68</v>
      </c>
      <c r="P3714" s="8">
        <f t="shared" si="287"/>
        <v>10688</v>
      </c>
      <c r="Q3714" s="8">
        <f t="shared" si="288"/>
        <v>1068</v>
      </c>
      <c r="R3714" s="2" t="s">
        <v>28</v>
      </c>
      <c r="S3714" s="24">
        <f t="shared" si="289"/>
        <v>0.05</v>
      </c>
    </row>
    <row r="3715" spans="1:19" x14ac:dyDescent="0.25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>VLOOKUP(F3715,'Customer Info'!$A:$B,2,0)</f>
        <v>Patrick</v>
      </c>
      <c r="H3715" s="6" t="str">
        <f>VLOOKUP(F3715,'Customer Info'!$A$1:$C$501,3,0)</f>
        <v>Bzostek</v>
      </c>
      <c r="I3715" s="6" t="str">
        <f>VLOOKUP(F3715,Customer,5,0)</f>
        <v>Krefeld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6276</v>
      </c>
      <c r="O3715" s="2">
        <v>96</v>
      </c>
      <c r="P3715" s="8">
        <f t="shared" si="287"/>
        <v>6372</v>
      </c>
      <c r="Q3715" s="8">
        <f t="shared" si="288"/>
        <v>412</v>
      </c>
      <c r="R3715" s="2" t="s">
        <v>26</v>
      </c>
      <c r="S3715" s="24">
        <f t="shared" si="289"/>
        <v>0.05</v>
      </c>
    </row>
    <row r="3716" spans="1:19" x14ac:dyDescent="0.25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>VLOOKUP(F3716,'Customer Info'!$A:$B,2,0)</f>
        <v>Meg</v>
      </c>
      <c r="H3716" s="6" t="str">
        <f>VLOOKUP(F3716,'Customer Info'!$A$1:$C$501,3,0)</f>
        <v>Tillman</v>
      </c>
      <c r="I3716" s="6" t="str">
        <f>VLOOKUP(F3716,Customer,5,0)</f>
        <v>Bangalore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</v>
      </c>
      <c r="O3716" s="2">
        <v>89</v>
      </c>
      <c r="P3716" s="8">
        <f t="shared" si="287"/>
        <v>517</v>
      </c>
      <c r="Q3716" s="8">
        <f t="shared" si="288"/>
        <v>28</v>
      </c>
      <c r="R3716" s="2" t="s">
        <v>28</v>
      </c>
      <c r="S3716" s="24">
        <f t="shared" si="289"/>
        <v>0.02</v>
      </c>
    </row>
    <row r="3717" spans="1:19" x14ac:dyDescent="0.25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>VLOOKUP(F3717,'Customer Info'!$A:$B,2,0)</f>
        <v>Duane</v>
      </c>
      <c r="H3717" s="6" t="str">
        <f>VLOOKUP(F3717,'Customer Info'!$A$1:$C$501,3,0)</f>
        <v>Huffman</v>
      </c>
      <c r="I3717" s="6" t="str">
        <f>VLOOKUP(F3717,Customer,5,0)</f>
        <v>Jakarta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23528</v>
      </c>
      <c r="O3717" s="2">
        <v>66</v>
      </c>
      <c r="P3717" s="8">
        <f t="shared" si="287"/>
        <v>23594</v>
      </c>
      <c r="Q3717" s="8">
        <f t="shared" si="288"/>
        <v>676</v>
      </c>
      <c r="R3717" s="2" t="s">
        <v>28</v>
      </c>
      <c r="S3717" s="24">
        <f t="shared" si="289"/>
        <v>0.05</v>
      </c>
    </row>
    <row r="3718" spans="1:19" x14ac:dyDescent="0.25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>VLOOKUP(F3718,'Customer Info'!$A:$B,2,0)</f>
        <v>Dianna</v>
      </c>
      <c r="H3718" s="6" t="str">
        <f>VLOOKUP(F3718,'Customer Info'!$A$1:$C$501,3,0)</f>
        <v>Vittorini</v>
      </c>
      <c r="I3718" s="6" t="str">
        <f>VLOOKUP(F3718,Customer,5,0)</f>
        <v>Cottbus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170</v>
      </c>
      <c r="O3718" s="2">
        <v>30</v>
      </c>
      <c r="P3718" s="8">
        <f t="shared" si="287"/>
        <v>200</v>
      </c>
      <c r="Q3718" s="8">
        <f t="shared" si="288"/>
        <v>17</v>
      </c>
      <c r="R3718" s="2" t="s">
        <v>50</v>
      </c>
      <c r="S3718" s="24">
        <f t="shared" si="289"/>
        <v>0.02</v>
      </c>
    </row>
    <row r="3719" spans="1:19" x14ac:dyDescent="0.25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>VLOOKUP(F3719,'Customer Info'!$A:$B,2,0)</f>
        <v>Stuart</v>
      </c>
      <c r="H3719" s="6" t="str">
        <f>VLOOKUP(F3719,'Customer Info'!$A$1:$C$501,3,0)</f>
        <v>Calhoun</v>
      </c>
      <c r="I3719" s="6" t="str">
        <f>VLOOKUP(F3719,Customer,5,0)</f>
        <v>Nowra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6082</v>
      </c>
      <c r="O3719" s="2">
        <v>37</v>
      </c>
      <c r="P3719" s="8">
        <f t="shared" si="287"/>
        <v>6119</v>
      </c>
      <c r="Q3719" s="8">
        <f t="shared" si="288"/>
        <v>228</v>
      </c>
      <c r="R3719" s="2" t="s">
        <v>50</v>
      </c>
      <c r="S3719" s="24">
        <f t="shared" si="289"/>
        <v>0.05</v>
      </c>
    </row>
    <row r="3720" spans="1:19" x14ac:dyDescent="0.25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>VLOOKUP(F3720,'Customer Info'!$A:$B,2,0)</f>
        <v>Victoria</v>
      </c>
      <c r="H3720" s="6" t="str">
        <f>VLOOKUP(F3720,'Customer Info'!$A$1:$C$501,3,0)</f>
        <v>Wilson</v>
      </c>
      <c r="I3720" s="6" t="str">
        <f>VLOOKUP(F3720,Customer,5,0)</f>
        <v>Berlin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19011</v>
      </c>
      <c r="O3720" s="2">
        <v>66</v>
      </c>
      <c r="P3720" s="8">
        <f t="shared" si="287"/>
        <v>19077</v>
      </c>
      <c r="Q3720" s="8">
        <f t="shared" si="288"/>
        <v>366</v>
      </c>
      <c r="R3720" s="2" t="s">
        <v>28</v>
      </c>
      <c r="S3720" s="24">
        <f t="shared" si="289"/>
        <v>0.05</v>
      </c>
    </row>
    <row r="3721" spans="1:19" x14ac:dyDescent="0.25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>VLOOKUP(F3721,'Customer Info'!$A:$B,2,0)</f>
        <v>Rachel</v>
      </c>
      <c r="H3721" s="6" t="str">
        <f>VLOOKUP(F3721,'Customer Info'!$A$1:$C$501,3,0)</f>
        <v>Payne</v>
      </c>
      <c r="I3721" s="6" t="str">
        <f>VLOOKUP(F3721,Customer,5,0)</f>
        <v>Mianyang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666</v>
      </c>
      <c r="O3721" s="2">
        <v>78</v>
      </c>
      <c r="P3721" s="8">
        <f t="shared" si="287"/>
        <v>744</v>
      </c>
      <c r="Q3721" s="8">
        <f t="shared" si="288"/>
        <v>54</v>
      </c>
      <c r="R3721" s="2" t="s">
        <v>50</v>
      </c>
      <c r="S3721" s="24">
        <f t="shared" si="289"/>
        <v>0.02</v>
      </c>
    </row>
    <row r="3722" spans="1:19" x14ac:dyDescent="0.25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>VLOOKUP(F3722,'Customer Info'!$A:$B,2,0)</f>
        <v>Denny</v>
      </c>
      <c r="H3722" s="6" t="str">
        <f>VLOOKUP(F3722,'Customer Info'!$A$1:$C$501,3,0)</f>
        <v>Ordway</v>
      </c>
      <c r="I3722" s="6" t="str">
        <f>VLOOKUP(F3722,Customer,5,0)</f>
        <v>Berlin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552</v>
      </c>
      <c r="O3722" s="2">
        <v>10</v>
      </c>
      <c r="P3722" s="8">
        <f t="shared" si="287"/>
        <v>562</v>
      </c>
      <c r="Q3722" s="8">
        <f t="shared" si="288"/>
        <v>42</v>
      </c>
      <c r="R3722" s="2" t="s">
        <v>28</v>
      </c>
      <c r="S3722" s="24">
        <f t="shared" si="289"/>
        <v>0.02</v>
      </c>
    </row>
    <row r="3723" spans="1:19" x14ac:dyDescent="0.25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>VLOOKUP(F3723,'Customer Info'!$A:$B,2,0)</f>
        <v>Robert</v>
      </c>
      <c r="H3723" s="6" t="str">
        <f>VLOOKUP(F3723,'Customer Info'!$A$1:$C$501,3,0)</f>
        <v>Dilbeck</v>
      </c>
      <c r="I3723" s="6" t="str">
        <f>VLOOKUP(F3723,Customer,5,0)</f>
        <v>Sydney</v>
      </c>
      <c r="J3723" s="2">
        <v>167</v>
      </c>
      <c r="K3723" s="2">
        <v>152</v>
      </c>
      <c r="L3723" s="2">
        <v>1</v>
      </c>
      <c r="M3723" s="7">
        <f t="shared" ref="M3723:M3786" si="290">K3723*L3723</f>
        <v>152</v>
      </c>
      <c r="N3723" s="7">
        <f t="shared" ref="N3723:N3786" si="291">J3723*L3723</f>
        <v>167</v>
      </c>
      <c r="O3723" s="2">
        <v>30</v>
      </c>
      <c r="P3723" s="8">
        <f t="shared" ref="P3723:P3786" si="292">N3723+O3723</f>
        <v>197</v>
      </c>
      <c r="Q3723" s="8">
        <f t="shared" ref="Q3723:Q3786" si="293">N3723-M3723</f>
        <v>15</v>
      </c>
      <c r="R3723" s="2" t="s">
        <v>28</v>
      </c>
      <c r="S3723" s="24">
        <f t="shared" ref="S3723:S3786" si="294">VLOOKUP(N3723,$T$1:$U$7,2,TRUE)</f>
        <v>0.02</v>
      </c>
    </row>
    <row r="3724" spans="1:19" x14ac:dyDescent="0.25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>VLOOKUP(F3724,'Customer Info'!$A:$B,2,0)</f>
        <v>John</v>
      </c>
      <c r="H3724" s="6" t="str">
        <f>VLOOKUP(F3724,'Customer Info'!$A$1:$C$501,3,0)</f>
        <v>Grady</v>
      </c>
      <c r="I3724" s="6" t="str">
        <f>VLOOKUP(F3724,Customer,5,0)</f>
        <v>Queanbeyan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8">
        <f t="shared" si="292"/>
        <v>170</v>
      </c>
      <c r="Q3724" s="8">
        <f t="shared" si="293"/>
        <v>3</v>
      </c>
      <c r="R3724" s="2" t="s">
        <v>28</v>
      </c>
      <c r="S3724" s="24">
        <f t="shared" si="294"/>
        <v>0.02</v>
      </c>
    </row>
    <row r="3725" spans="1:19" x14ac:dyDescent="0.25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>VLOOKUP(F3725,'Customer Info'!$A:$B,2,0)</f>
        <v>Larry</v>
      </c>
      <c r="H3725" s="6" t="str">
        <f>VLOOKUP(F3725,'Customer Info'!$A$1:$C$501,3,0)</f>
        <v>Blacks</v>
      </c>
      <c r="I3725" s="6" t="str">
        <f>VLOOKUP(F3725,Customer,5,0)</f>
        <v>Shangyu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8">
        <f t="shared" si="292"/>
        <v>9797</v>
      </c>
      <c r="Q3725" s="8">
        <f t="shared" si="293"/>
        <v>462</v>
      </c>
      <c r="R3725" s="2" t="s">
        <v>56</v>
      </c>
      <c r="S3725" s="24">
        <f t="shared" si="294"/>
        <v>0.05</v>
      </c>
    </row>
    <row r="3726" spans="1:19" x14ac:dyDescent="0.25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>VLOOKUP(F3726,'Customer Info'!$A:$B,2,0)</f>
        <v>Claudia</v>
      </c>
      <c r="H3726" s="6" t="str">
        <f>VLOOKUP(F3726,'Customer Info'!$A$1:$C$501,3,0)</f>
        <v>Bergmann</v>
      </c>
      <c r="I3726" s="6" t="str">
        <f>VLOOKUP(F3726,Customer,5,0)</f>
        <v>Aschaffenburg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8">
        <f t="shared" si="292"/>
        <v>785</v>
      </c>
      <c r="Q3726" s="8">
        <f t="shared" si="293"/>
        <v>60</v>
      </c>
      <c r="R3726" s="2" t="s">
        <v>50</v>
      </c>
      <c r="S3726" s="24">
        <f t="shared" si="294"/>
        <v>0.02</v>
      </c>
    </row>
    <row r="3727" spans="1:19" x14ac:dyDescent="0.25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>VLOOKUP(F3727,'Customer Info'!$A:$B,2,0)</f>
        <v>Victoria</v>
      </c>
      <c r="H3727" s="6" t="str">
        <f>VLOOKUP(F3727,'Customer Info'!$A$1:$C$501,3,0)</f>
        <v>Brennan</v>
      </c>
      <c r="I3727" s="6" t="str">
        <f>VLOOKUP(F3727,Customer,5,0)</f>
        <v>Adelaide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8">
        <f t="shared" si="292"/>
        <v>675</v>
      </c>
      <c r="Q3727" s="8">
        <f t="shared" si="293"/>
        <v>55</v>
      </c>
      <c r="R3727" s="2" t="s">
        <v>50</v>
      </c>
      <c r="S3727" s="24">
        <f t="shared" si="294"/>
        <v>0.02</v>
      </c>
    </row>
    <row r="3728" spans="1:19" x14ac:dyDescent="0.25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>VLOOKUP(F3728,'Customer Info'!$A:$B,2,0)</f>
        <v>Carl</v>
      </c>
      <c r="H3728" s="6" t="str">
        <f>VLOOKUP(F3728,'Customer Info'!$A$1:$C$501,3,0)</f>
        <v>Weiss</v>
      </c>
      <c r="I3728" s="6" t="str">
        <f>VLOOKUP(F3728,Customer,5,0)</f>
        <v>Delhi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370</v>
      </c>
      <c r="O3728" s="2">
        <v>30</v>
      </c>
      <c r="P3728" s="8">
        <f t="shared" si="292"/>
        <v>400</v>
      </c>
      <c r="Q3728" s="8">
        <f t="shared" si="293"/>
        <v>28</v>
      </c>
      <c r="R3728" s="2" t="s">
        <v>50</v>
      </c>
      <c r="S3728" s="24">
        <f t="shared" si="294"/>
        <v>0.02</v>
      </c>
    </row>
    <row r="3729" spans="1:19" x14ac:dyDescent="0.25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>VLOOKUP(F3729,'Customer Info'!$A:$B,2,0)</f>
        <v>Mike</v>
      </c>
      <c r="H3729" s="6" t="str">
        <f>VLOOKUP(F3729,'Customer Info'!$A$1:$C$501,3,0)</f>
        <v>Gockenbach</v>
      </c>
      <c r="I3729" s="6" t="str">
        <f>VLOOKUP(F3729,Customer,5,0)</f>
        <v>Caloundra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4798</v>
      </c>
      <c r="O3729" s="2">
        <v>90</v>
      </c>
      <c r="P3729" s="8">
        <f t="shared" si="292"/>
        <v>4888</v>
      </c>
      <c r="Q3729" s="8">
        <f t="shared" si="293"/>
        <v>350</v>
      </c>
      <c r="R3729" s="2" t="s">
        <v>50</v>
      </c>
      <c r="S3729" s="24">
        <f t="shared" si="294"/>
        <v>0.02</v>
      </c>
    </row>
    <row r="3730" spans="1:19" x14ac:dyDescent="0.25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>VLOOKUP(F3730,'Customer Info'!$A:$B,2,0)</f>
        <v>Muhammed</v>
      </c>
      <c r="H3730" s="6" t="str">
        <f>VLOOKUP(F3730,'Customer Info'!$A$1:$C$501,3,0)</f>
        <v>Lee</v>
      </c>
      <c r="I3730" s="6" t="str">
        <f>VLOOKUP(F3730,Customer,5,0)</f>
        <v>Nellore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15920</v>
      </c>
      <c r="O3730" s="2">
        <v>87</v>
      </c>
      <c r="P3730" s="8">
        <f t="shared" si="292"/>
        <v>16007</v>
      </c>
      <c r="Q3730" s="8">
        <f t="shared" si="293"/>
        <v>1185</v>
      </c>
      <c r="R3730" s="2" t="s">
        <v>50</v>
      </c>
      <c r="S3730" s="24">
        <f t="shared" si="294"/>
        <v>0.05</v>
      </c>
    </row>
    <row r="3731" spans="1:19" x14ac:dyDescent="0.25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>VLOOKUP(F3731,'Customer Info'!$A:$B,2,0)</f>
        <v>MaryBeth</v>
      </c>
      <c r="H3731" s="6" t="str">
        <f>VLOOKUP(F3731,'Customer Info'!$A$1:$C$501,3,0)</f>
        <v>Skach</v>
      </c>
      <c r="I3731" s="6" t="str">
        <f>VLOOKUP(F3731,Customer,5,0)</f>
        <v>Licheng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420</v>
      </c>
      <c r="O3731" s="2">
        <v>10</v>
      </c>
      <c r="P3731" s="8">
        <f t="shared" si="292"/>
        <v>430</v>
      </c>
      <c r="Q3731" s="8">
        <f t="shared" si="293"/>
        <v>14</v>
      </c>
      <c r="R3731" s="2" t="s">
        <v>26</v>
      </c>
      <c r="S3731" s="24">
        <f t="shared" si="294"/>
        <v>0.02</v>
      </c>
    </row>
    <row r="3732" spans="1:19" x14ac:dyDescent="0.25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>VLOOKUP(F3732,'Customer Info'!$A:$B,2,0)</f>
        <v>Roy</v>
      </c>
      <c r="H3732" s="6" t="str">
        <f>VLOOKUP(F3732,'Customer Info'!$A$1:$C$501,3,0)</f>
        <v>Skaria</v>
      </c>
      <c r="I3732" s="6" t="str">
        <f>VLOOKUP(F3732,Customer,5,0)</f>
        <v>Bogor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27642</v>
      </c>
      <c r="O3732" s="2">
        <v>57</v>
      </c>
      <c r="P3732" s="8">
        <f t="shared" si="292"/>
        <v>27699</v>
      </c>
      <c r="Q3732" s="8">
        <f t="shared" si="293"/>
        <v>2757</v>
      </c>
      <c r="R3732" s="2" t="s">
        <v>28</v>
      </c>
      <c r="S3732" s="24">
        <f t="shared" si="294"/>
        <v>7.0000000000000007E-2</v>
      </c>
    </row>
    <row r="3733" spans="1:19" x14ac:dyDescent="0.25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>VLOOKUP(F3733,'Customer Info'!$A:$B,2,0)</f>
        <v>Sam</v>
      </c>
      <c r="H3733" s="6" t="str">
        <f>VLOOKUP(F3733,'Customer Info'!$A$1:$C$501,3,0)</f>
        <v>Zeldin</v>
      </c>
      <c r="I3733" s="6" t="str">
        <f>VLOOKUP(F3733,Customer,5,0)</f>
        <v>Yanji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1169</v>
      </c>
      <c r="O3733" s="2">
        <v>97</v>
      </c>
      <c r="P3733" s="8">
        <f t="shared" si="292"/>
        <v>1266</v>
      </c>
      <c r="Q3733" s="8">
        <f t="shared" si="293"/>
        <v>97</v>
      </c>
      <c r="R3733" s="2" t="s">
        <v>56</v>
      </c>
      <c r="S3733" s="24">
        <f t="shared" si="294"/>
        <v>0.02</v>
      </c>
    </row>
    <row r="3734" spans="1:19" x14ac:dyDescent="0.25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>VLOOKUP(F3734,'Customer Info'!$A:$B,2,0)</f>
        <v>Candace</v>
      </c>
      <c r="H3734" s="6" t="str">
        <f>VLOOKUP(F3734,'Customer Info'!$A$1:$C$501,3,0)</f>
        <v>McMahon</v>
      </c>
      <c r="I3734" s="6" t="str">
        <f>VLOOKUP(F3734,Customer,5,0)</f>
        <v>Canberra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15218</v>
      </c>
      <c r="O3734" s="2">
        <v>84</v>
      </c>
      <c r="P3734" s="8">
        <f t="shared" si="292"/>
        <v>15302</v>
      </c>
      <c r="Q3734" s="8">
        <f t="shared" si="293"/>
        <v>722</v>
      </c>
      <c r="R3734" s="2" t="s">
        <v>28</v>
      </c>
      <c r="S3734" s="24">
        <f t="shared" si="294"/>
        <v>0.05</v>
      </c>
    </row>
    <row r="3735" spans="1:19" x14ac:dyDescent="0.25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>VLOOKUP(F3735,'Customer Info'!$A:$B,2,0)</f>
        <v>Daniel</v>
      </c>
      <c r="H3735" s="6" t="str">
        <f>VLOOKUP(F3735,'Customer Info'!$A$1:$C$501,3,0)</f>
        <v>Raglin</v>
      </c>
      <c r="I3735" s="6" t="str">
        <f>VLOOKUP(F3735,Customer,5,0)</f>
        <v>Gold Coast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6872</v>
      </c>
      <c r="O3735" s="2">
        <v>46</v>
      </c>
      <c r="P3735" s="8">
        <f t="shared" si="292"/>
        <v>6918</v>
      </c>
      <c r="Q3735" s="8">
        <f t="shared" si="293"/>
        <v>692</v>
      </c>
      <c r="R3735" s="2" t="s">
        <v>26</v>
      </c>
      <c r="S3735" s="24">
        <f t="shared" si="294"/>
        <v>0.05</v>
      </c>
    </row>
    <row r="3736" spans="1:19" x14ac:dyDescent="0.25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>VLOOKUP(F3736,'Customer Info'!$A:$B,2,0)</f>
        <v>Toby</v>
      </c>
      <c r="H3736" s="6" t="str">
        <f>VLOOKUP(F3736,'Customer Info'!$A$1:$C$501,3,0)</f>
        <v>Braunhardt</v>
      </c>
      <c r="I3736" s="6" t="str">
        <f>VLOOKUP(F3736,Customer,5,0)</f>
        <v>Jiangyan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5058</v>
      </c>
      <c r="O3736" s="2">
        <v>70</v>
      </c>
      <c r="P3736" s="8">
        <f t="shared" si="292"/>
        <v>5128</v>
      </c>
      <c r="Q3736" s="8">
        <f t="shared" si="293"/>
        <v>285</v>
      </c>
      <c r="R3736" s="2" t="s">
        <v>28</v>
      </c>
      <c r="S3736" s="24">
        <f t="shared" si="294"/>
        <v>0.05</v>
      </c>
    </row>
    <row r="3737" spans="1:19" x14ac:dyDescent="0.25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>VLOOKUP(F3737,'Customer Info'!$A:$B,2,0)</f>
        <v>Victoria</v>
      </c>
      <c r="H3737" s="6" t="str">
        <f>VLOOKUP(F3737,'Customer Info'!$A$1:$C$501,3,0)</f>
        <v>Wilson</v>
      </c>
      <c r="I3737" s="6" t="str">
        <f>VLOOKUP(F3737,Customer,5,0)</f>
        <v>Berlin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6110</v>
      </c>
      <c r="O3737" s="2">
        <v>47</v>
      </c>
      <c r="P3737" s="8">
        <f t="shared" si="292"/>
        <v>6157</v>
      </c>
      <c r="Q3737" s="8">
        <f t="shared" si="293"/>
        <v>175</v>
      </c>
      <c r="R3737" s="2" t="s">
        <v>50</v>
      </c>
      <c r="S3737" s="24">
        <f t="shared" si="294"/>
        <v>0.05</v>
      </c>
    </row>
    <row r="3738" spans="1:19" x14ac:dyDescent="0.25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>VLOOKUP(F3738,'Customer Info'!$A:$B,2,0)</f>
        <v>Valerie</v>
      </c>
      <c r="H3738" s="6" t="str">
        <f>VLOOKUP(F3738,'Customer Info'!$A$1:$C$501,3,0)</f>
        <v>Mitchum</v>
      </c>
      <c r="I3738" s="6" t="str">
        <f>VLOOKUP(F3738,Customer,5,0)</f>
        <v>Chengdu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10160</v>
      </c>
      <c r="O3738" s="2">
        <v>57</v>
      </c>
      <c r="P3738" s="8">
        <f t="shared" si="292"/>
        <v>10217</v>
      </c>
      <c r="Q3738" s="8">
        <f t="shared" si="293"/>
        <v>572</v>
      </c>
      <c r="R3738" s="2" t="s">
        <v>28</v>
      </c>
      <c r="S3738" s="24">
        <f t="shared" si="294"/>
        <v>0.05</v>
      </c>
    </row>
    <row r="3739" spans="1:19" x14ac:dyDescent="0.25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>VLOOKUP(F3739,'Customer Info'!$A:$B,2,0)</f>
        <v>Ted</v>
      </c>
      <c r="H3739" s="6" t="str">
        <f>VLOOKUP(F3739,'Customer Info'!$A$1:$C$501,3,0)</f>
        <v>Trevino</v>
      </c>
      <c r="I3739" s="6" t="str">
        <f>VLOOKUP(F3739,Customer,5,0)</f>
        <v>Bendigo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604</v>
      </c>
      <c r="O3739" s="2">
        <v>30</v>
      </c>
      <c r="P3739" s="8">
        <f t="shared" si="292"/>
        <v>634</v>
      </c>
      <c r="Q3739" s="8">
        <f t="shared" si="293"/>
        <v>48</v>
      </c>
      <c r="R3739" s="2" t="s">
        <v>28</v>
      </c>
      <c r="S3739" s="24">
        <f t="shared" si="294"/>
        <v>0.02</v>
      </c>
    </row>
    <row r="3740" spans="1:19" x14ac:dyDescent="0.25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>VLOOKUP(F3740,'Customer Info'!$A:$B,2,0)</f>
        <v>Jim</v>
      </c>
      <c r="H3740" s="6" t="str">
        <f>VLOOKUP(F3740,'Customer Info'!$A$1:$C$501,3,0)</f>
        <v>Epp</v>
      </c>
      <c r="I3740" s="6" t="str">
        <f>VLOOKUP(F3740,Customer,5,0)</f>
        <v>Jingmen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12800</v>
      </c>
      <c r="O3740" s="2">
        <v>25</v>
      </c>
      <c r="P3740" s="8">
        <f t="shared" si="292"/>
        <v>12825</v>
      </c>
      <c r="Q3740" s="8">
        <f t="shared" si="293"/>
        <v>-2</v>
      </c>
      <c r="R3740" s="2" t="s">
        <v>28</v>
      </c>
      <c r="S3740" s="24">
        <f t="shared" si="294"/>
        <v>0.05</v>
      </c>
    </row>
    <row r="3741" spans="1:19" x14ac:dyDescent="0.25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>VLOOKUP(F3741,'Customer Info'!$A:$B,2,0)</f>
        <v>Aaron</v>
      </c>
      <c r="H3741" s="6" t="str">
        <f>VLOOKUP(F3741,'Customer Info'!$A$1:$C$501,3,0)</f>
        <v>Hawkins</v>
      </c>
      <c r="I3741" s="6" t="str">
        <f>VLOOKUP(F3741,Customer,5,0)</f>
        <v>Minden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136</v>
      </c>
      <c r="O3741" s="2">
        <v>10</v>
      </c>
      <c r="P3741" s="8">
        <f t="shared" si="292"/>
        <v>146</v>
      </c>
      <c r="Q3741" s="8">
        <f t="shared" si="293"/>
        <v>10</v>
      </c>
      <c r="R3741" s="2" t="s">
        <v>50</v>
      </c>
      <c r="S3741" s="24">
        <f t="shared" si="294"/>
        <v>0.02</v>
      </c>
    </row>
    <row r="3742" spans="1:19" x14ac:dyDescent="0.25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>VLOOKUP(F3742,'Customer Info'!$A:$B,2,0)</f>
        <v>Marc</v>
      </c>
      <c r="H3742" s="6" t="str">
        <f>VLOOKUP(F3742,'Customer Info'!$A$1:$C$501,3,0)</f>
        <v>Harrigan</v>
      </c>
      <c r="I3742" s="6" t="str">
        <f>VLOOKUP(F3742,Customer,5,0)</f>
        <v>Bogor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560</v>
      </c>
      <c r="O3742" s="2">
        <v>30</v>
      </c>
      <c r="P3742" s="8">
        <f t="shared" si="292"/>
        <v>590</v>
      </c>
      <c r="Q3742" s="8">
        <f t="shared" si="293"/>
        <v>12</v>
      </c>
      <c r="R3742" s="2" t="s">
        <v>28</v>
      </c>
      <c r="S3742" s="24">
        <f t="shared" si="294"/>
        <v>0.02</v>
      </c>
    </row>
    <row r="3743" spans="1:19" x14ac:dyDescent="0.25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>VLOOKUP(F3743,'Customer Info'!$A:$B,2,0)</f>
        <v>Emily</v>
      </c>
      <c r="H3743" s="6" t="str">
        <f>VLOOKUP(F3743,'Customer Info'!$A$1:$C$501,3,0)</f>
        <v>Burns</v>
      </c>
      <c r="I3743" s="6" t="str">
        <f>VLOOKUP(F3743,Customer,5,0)</f>
        <v>Nasik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4577</v>
      </c>
      <c r="O3743" s="2">
        <v>64</v>
      </c>
      <c r="P3743" s="8">
        <f t="shared" si="292"/>
        <v>4641</v>
      </c>
      <c r="Q3743" s="8">
        <f t="shared" si="293"/>
        <v>297</v>
      </c>
      <c r="R3743" s="2" t="s">
        <v>50</v>
      </c>
      <c r="S3743" s="24">
        <f t="shared" si="294"/>
        <v>0.02</v>
      </c>
    </row>
    <row r="3744" spans="1:19" x14ac:dyDescent="0.25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>VLOOKUP(F3744,'Customer Info'!$A:$B,2,0)</f>
        <v>Joy</v>
      </c>
      <c r="H3744" s="6" t="str">
        <f>VLOOKUP(F3744,'Customer Info'!$A$1:$C$501,3,0)</f>
        <v>Bell</v>
      </c>
      <c r="I3744" s="6" t="str">
        <f>VLOOKUP(F3744,Customer,5,0)</f>
        <v>Vijayawada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207</v>
      </c>
      <c r="O3744" s="2">
        <v>10</v>
      </c>
      <c r="P3744" s="8">
        <f t="shared" si="292"/>
        <v>217</v>
      </c>
      <c r="Q3744" s="8">
        <f t="shared" si="293"/>
        <v>18</v>
      </c>
      <c r="R3744" s="2" t="s">
        <v>50</v>
      </c>
      <c r="S3744" s="24">
        <f t="shared" si="294"/>
        <v>0.02</v>
      </c>
    </row>
    <row r="3745" spans="1:19" x14ac:dyDescent="0.25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>VLOOKUP(F3745,'Customer Info'!$A:$B,2,0)</f>
        <v>Nick</v>
      </c>
      <c r="H3745" s="6" t="str">
        <f>VLOOKUP(F3745,'Customer Info'!$A$1:$C$501,3,0)</f>
        <v>Radford</v>
      </c>
      <c r="I3745" s="6" t="str">
        <f>VLOOKUP(F3745,Customer,5,0)</f>
        <v>Lucknow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13156</v>
      </c>
      <c r="O3745" s="2">
        <v>37</v>
      </c>
      <c r="P3745" s="8">
        <f t="shared" si="292"/>
        <v>13193</v>
      </c>
      <c r="Q3745" s="8">
        <f t="shared" si="293"/>
        <v>736</v>
      </c>
      <c r="R3745" s="2" t="s">
        <v>28</v>
      </c>
      <c r="S3745" s="24">
        <f t="shared" si="294"/>
        <v>0.05</v>
      </c>
    </row>
    <row r="3746" spans="1:19" x14ac:dyDescent="0.25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>VLOOKUP(F3746,'Customer Info'!$A:$B,2,0)</f>
        <v>Becky</v>
      </c>
      <c r="H3746" s="6" t="str">
        <f>VLOOKUP(F3746,'Customer Info'!$A$1:$C$501,3,0)</f>
        <v>Pak</v>
      </c>
      <c r="I3746" s="6" t="str">
        <f>VLOOKUP(F3746,Customer,5,0)</f>
        <v>Mandurah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5494</v>
      </c>
      <c r="O3746" s="2">
        <v>86</v>
      </c>
      <c r="P3746" s="8">
        <f t="shared" si="292"/>
        <v>5580</v>
      </c>
      <c r="Q3746" s="8">
        <f t="shared" si="293"/>
        <v>404</v>
      </c>
      <c r="R3746" s="2" t="s">
        <v>28</v>
      </c>
      <c r="S3746" s="24">
        <f t="shared" si="294"/>
        <v>0.05</v>
      </c>
    </row>
    <row r="3747" spans="1:19" x14ac:dyDescent="0.25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>VLOOKUP(F3747,'Customer Info'!$A:$B,2,0)</f>
        <v>Claire</v>
      </c>
      <c r="H3747" s="6" t="str">
        <f>VLOOKUP(F3747,'Customer Info'!$A$1:$C$501,3,0)</f>
        <v>Gute</v>
      </c>
      <c r="I3747" s="6" t="str">
        <f>VLOOKUP(F3747,Customer,5,0)</f>
        <v>Shenzhen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8394</v>
      </c>
      <c r="O3747" s="2">
        <v>21</v>
      </c>
      <c r="P3747" s="8">
        <f t="shared" si="292"/>
        <v>8415</v>
      </c>
      <c r="Q3747" s="8">
        <f t="shared" si="293"/>
        <v>396</v>
      </c>
      <c r="R3747" s="2" t="s">
        <v>28</v>
      </c>
      <c r="S3747" s="24">
        <f t="shared" si="294"/>
        <v>0.05</v>
      </c>
    </row>
    <row r="3748" spans="1:19" x14ac:dyDescent="0.25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>VLOOKUP(F3748,'Customer Info'!$A:$B,2,0)</f>
        <v>Adrian</v>
      </c>
      <c r="H3748" s="6" t="str">
        <f>VLOOKUP(F3748,'Customer Info'!$A$1:$C$501,3,0)</f>
        <v>Barton</v>
      </c>
      <c r="I3748" s="6" t="str">
        <f>VLOOKUP(F3748,Customer,5,0)</f>
        <v>Zigong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175</v>
      </c>
      <c r="O3748" s="2">
        <v>30</v>
      </c>
      <c r="P3748" s="8">
        <f t="shared" si="292"/>
        <v>205</v>
      </c>
      <c r="Q3748" s="8">
        <f t="shared" si="293"/>
        <v>17</v>
      </c>
      <c r="R3748" s="2" t="s">
        <v>28</v>
      </c>
      <c r="S3748" s="24">
        <f t="shared" si="294"/>
        <v>0.02</v>
      </c>
    </row>
    <row r="3749" spans="1:19" x14ac:dyDescent="0.25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>VLOOKUP(F3749,'Customer Info'!$A:$B,2,0)</f>
        <v>Adam</v>
      </c>
      <c r="H3749" s="6" t="str">
        <f>VLOOKUP(F3749,'Customer Info'!$A$1:$C$501,3,0)</f>
        <v>Bellavance</v>
      </c>
      <c r="I3749" s="6" t="str">
        <f>VLOOKUP(F3749,Customer,5,0)</f>
        <v>Kaiyuan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9692</v>
      </c>
      <c r="O3749" s="2">
        <v>41</v>
      </c>
      <c r="P3749" s="8">
        <f t="shared" si="292"/>
        <v>9733</v>
      </c>
      <c r="Q3749" s="8">
        <f t="shared" si="293"/>
        <v>708</v>
      </c>
      <c r="R3749" s="2" t="s">
        <v>28</v>
      </c>
      <c r="S3749" s="24">
        <f t="shared" si="294"/>
        <v>0.05</v>
      </c>
    </row>
    <row r="3750" spans="1:19" x14ac:dyDescent="0.25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>VLOOKUP(F3750,'Customer Info'!$A:$B,2,0)</f>
        <v>Laurel</v>
      </c>
      <c r="H3750" s="6" t="str">
        <f>VLOOKUP(F3750,'Customer Info'!$A$1:$C$501,3,0)</f>
        <v>Beltran</v>
      </c>
      <c r="I3750" s="6" t="str">
        <f>VLOOKUP(F3750,Customer,5,0)</f>
        <v>Melbourne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13536</v>
      </c>
      <c r="O3750" s="2">
        <v>28</v>
      </c>
      <c r="P3750" s="8">
        <f t="shared" si="292"/>
        <v>13564</v>
      </c>
      <c r="Q3750" s="8">
        <f t="shared" si="293"/>
        <v>512</v>
      </c>
      <c r="R3750" s="2" t="s">
        <v>28</v>
      </c>
      <c r="S3750" s="24">
        <f t="shared" si="294"/>
        <v>0.05</v>
      </c>
    </row>
    <row r="3751" spans="1:19" x14ac:dyDescent="0.25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>VLOOKUP(F3751,'Customer Info'!$A:$B,2,0)</f>
        <v>Debra</v>
      </c>
      <c r="H3751" s="6" t="str">
        <f>VLOOKUP(F3751,'Customer Info'!$A$1:$C$501,3,0)</f>
        <v>Catini</v>
      </c>
      <c r="I3751" s="6" t="str">
        <f>VLOOKUP(F3751,Customer,5,0)</f>
        <v>Brisbane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5424</v>
      </c>
      <c r="O3751" s="2">
        <v>42</v>
      </c>
      <c r="P3751" s="8">
        <f t="shared" si="292"/>
        <v>5466</v>
      </c>
      <c r="Q3751" s="8">
        <f t="shared" si="293"/>
        <v>204</v>
      </c>
      <c r="R3751" s="2" t="s">
        <v>50</v>
      </c>
      <c r="S3751" s="24">
        <f t="shared" si="294"/>
        <v>0.05</v>
      </c>
    </row>
    <row r="3752" spans="1:19" x14ac:dyDescent="0.25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>VLOOKUP(F3752,'Customer Info'!$A:$B,2,0)</f>
        <v>Toby</v>
      </c>
      <c r="H3752" s="6" t="str">
        <f>VLOOKUP(F3752,'Customer Info'!$A$1:$C$501,3,0)</f>
        <v>Braunhardt</v>
      </c>
      <c r="I3752" s="6" t="str">
        <f>VLOOKUP(F3752,Customer,5,0)</f>
        <v>Jiangyan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290</v>
      </c>
      <c r="O3752" s="2">
        <v>30</v>
      </c>
      <c r="P3752" s="8">
        <f t="shared" si="292"/>
        <v>320</v>
      </c>
      <c r="Q3752" s="8">
        <f t="shared" si="293"/>
        <v>30</v>
      </c>
      <c r="R3752" s="2" t="s">
        <v>28</v>
      </c>
      <c r="S3752" s="24">
        <f t="shared" si="294"/>
        <v>0.02</v>
      </c>
    </row>
    <row r="3753" spans="1:19" x14ac:dyDescent="0.25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>VLOOKUP(F3753,'Customer Info'!$A:$B,2,0)</f>
        <v>Jeremy</v>
      </c>
      <c r="H3753" s="6" t="str">
        <f>VLOOKUP(F3753,'Customer Info'!$A$1:$C$501,3,0)</f>
        <v>Ellison</v>
      </c>
      <c r="I3753" s="6" t="str">
        <f>VLOOKUP(F3753,Customer,5,0)</f>
        <v>Faridabad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6481</v>
      </c>
      <c r="O3753" s="2">
        <v>38</v>
      </c>
      <c r="P3753" s="8">
        <f t="shared" si="292"/>
        <v>6519</v>
      </c>
      <c r="Q3753" s="8">
        <f t="shared" si="293"/>
        <v>597</v>
      </c>
      <c r="R3753" s="2" t="s">
        <v>28</v>
      </c>
      <c r="S3753" s="24">
        <f t="shared" si="294"/>
        <v>0.05</v>
      </c>
    </row>
    <row r="3754" spans="1:19" x14ac:dyDescent="0.25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>VLOOKUP(F3754,'Customer Info'!$A:$B,2,0)</f>
        <v>Philisse</v>
      </c>
      <c r="H3754" s="6" t="str">
        <f>VLOOKUP(F3754,'Customer Info'!$A$1:$C$501,3,0)</f>
        <v>Overcash</v>
      </c>
      <c r="I3754" s="6" t="str">
        <f>VLOOKUP(F3754,Customer,5,0)</f>
        <v>Potsdam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829</v>
      </c>
      <c r="O3754" s="2">
        <v>87</v>
      </c>
      <c r="P3754" s="8">
        <f t="shared" si="292"/>
        <v>916</v>
      </c>
      <c r="Q3754" s="8">
        <f t="shared" si="293"/>
        <v>68</v>
      </c>
      <c r="R3754" s="2" t="s">
        <v>28</v>
      </c>
      <c r="S3754" s="24">
        <f t="shared" si="294"/>
        <v>0.02</v>
      </c>
    </row>
    <row r="3755" spans="1:19" x14ac:dyDescent="0.25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>VLOOKUP(F3755,'Customer Info'!$A:$B,2,0)</f>
        <v>Scott</v>
      </c>
      <c r="H3755" s="6" t="str">
        <f>VLOOKUP(F3755,'Customer Info'!$A$1:$C$501,3,0)</f>
        <v>Williamson</v>
      </c>
      <c r="I3755" s="6" t="str">
        <f>VLOOKUP(F3755,Customer,5,0)</f>
        <v>Launceston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4606</v>
      </c>
      <c r="O3755" s="2">
        <v>36</v>
      </c>
      <c r="P3755" s="8">
        <f t="shared" si="292"/>
        <v>4642</v>
      </c>
      <c r="Q3755" s="8">
        <f t="shared" si="293"/>
        <v>301</v>
      </c>
      <c r="R3755" s="2" t="s">
        <v>28</v>
      </c>
      <c r="S3755" s="24">
        <f t="shared" si="294"/>
        <v>0.02</v>
      </c>
    </row>
    <row r="3756" spans="1:19" x14ac:dyDescent="0.25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>VLOOKUP(F3756,'Customer Info'!$A:$B,2,0)</f>
        <v>Annie</v>
      </c>
      <c r="H3756" s="6" t="str">
        <f>VLOOKUP(F3756,'Customer Info'!$A$1:$C$501,3,0)</f>
        <v>Thurman</v>
      </c>
      <c r="I3756" s="6" t="str">
        <f>VLOOKUP(F3756,Customer,5,0)</f>
        <v>Sydney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2829</v>
      </c>
      <c r="O3756" s="2">
        <v>76</v>
      </c>
      <c r="P3756" s="8">
        <f t="shared" si="292"/>
        <v>2905</v>
      </c>
      <c r="Q3756" s="8">
        <f t="shared" si="293"/>
        <v>233</v>
      </c>
      <c r="R3756" s="2" t="s">
        <v>28</v>
      </c>
      <c r="S3756" s="24">
        <f t="shared" si="294"/>
        <v>0.02</v>
      </c>
    </row>
    <row r="3757" spans="1:19" x14ac:dyDescent="0.25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>VLOOKUP(F3757,'Customer Info'!$A:$B,2,0)</f>
        <v>Craig</v>
      </c>
      <c r="H3757" s="6" t="str">
        <f>VLOOKUP(F3757,'Customer Info'!$A$1:$C$501,3,0)</f>
        <v>Yedwab</v>
      </c>
      <c r="I3757" s="6" t="str">
        <f>VLOOKUP(F3757,Customer,5,0)</f>
        <v>Aligarh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19560</v>
      </c>
      <c r="O3757" s="2">
        <v>62</v>
      </c>
      <c r="P3757" s="8">
        <f t="shared" si="292"/>
        <v>19622</v>
      </c>
      <c r="Q3757" s="8">
        <f t="shared" si="293"/>
        <v>1605</v>
      </c>
      <c r="R3757" s="2" t="s">
        <v>50</v>
      </c>
      <c r="S3757" s="24">
        <f t="shared" si="294"/>
        <v>0.05</v>
      </c>
    </row>
    <row r="3758" spans="1:19" x14ac:dyDescent="0.25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>VLOOKUP(F3758,'Customer Info'!$A:$B,2,0)</f>
        <v>Steven</v>
      </c>
      <c r="H3758" s="6" t="str">
        <f>VLOOKUP(F3758,'Customer Info'!$A$1:$C$501,3,0)</f>
        <v>Cartwright</v>
      </c>
      <c r="I3758" s="6" t="str">
        <f>VLOOKUP(F3758,Customer,5,0)</f>
        <v>Newcastle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10824</v>
      </c>
      <c r="O3758" s="2">
        <v>30</v>
      </c>
      <c r="P3758" s="8">
        <f t="shared" si="292"/>
        <v>10854</v>
      </c>
      <c r="Q3758" s="8">
        <f t="shared" si="293"/>
        <v>612</v>
      </c>
      <c r="R3758" s="2" t="s">
        <v>28</v>
      </c>
      <c r="S3758" s="24">
        <f t="shared" si="294"/>
        <v>0.05</v>
      </c>
    </row>
    <row r="3759" spans="1:19" x14ac:dyDescent="0.25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>VLOOKUP(F3759,'Customer Info'!$A:$B,2,0)</f>
        <v>Pamela</v>
      </c>
      <c r="H3759" s="6" t="str">
        <f>VLOOKUP(F3759,'Customer Info'!$A$1:$C$501,3,0)</f>
        <v>Coakley</v>
      </c>
      <c r="I3759" s="6" t="str">
        <f>VLOOKUP(F3759,Customer,5,0)</f>
        <v>Jakarta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2996</v>
      </c>
      <c r="O3759" s="2">
        <v>29</v>
      </c>
      <c r="P3759" s="8">
        <f t="shared" si="292"/>
        <v>3025</v>
      </c>
      <c r="Q3759" s="8">
        <f t="shared" si="293"/>
        <v>326</v>
      </c>
      <c r="R3759" s="2" t="s">
        <v>28</v>
      </c>
      <c r="S3759" s="24">
        <f t="shared" si="294"/>
        <v>0.02</v>
      </c>
    </row>
    <row r="3760" spans="1:19" x14ac:dyDescent="0.25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>VLOOKUP(F3760,'Customer Info'!$A:$B,2,0)</f>
        <v>Stuart</v>
      </c>
      <c r="H3760" s="6" t="str">
        <f>VLOOKUP(F3760,'Customer Info'!$A$1:$C$501,3,0)</f>
        <v>Calhoun</v>
      </c>
      <c r="I3760" s="6" t="str">
        <f>VLOOKUP(F3760,Customer,5,0)</f>
        <v>Nowra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968</v>
      </c>
      <c r="O3760" s="2">
        <v>67</v>
      </c>
      <c r="P3760" s="8">
        <f t="shared" si="292"/>
        <v>1035</v>
      </c>
      <c r="Q3760" s="8">
        <f t="shared" si="293"/>
        <v>55</v>
      </c>
      <c r="R3760" s="2" t="s">
        <v>50</v>
      </c>
      <c r="S3760" s="24">
        <f t="shared" si="294"/>
        <v>0.02</v>
      </c>
    </row>
    <row r="3761" spans="1:19" x14ac:dyDescent="0.25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>VLOOKUP(F3761,'Customer Info'!$A:$B,2,0)</f>
        <v>Darren</v>
      </c>
      <c r="H3761" s="6" t="str">
        <f>VLOOKUP(F3761,'Customer Info'!$A$1:$C$501,3,0)</f>
        <v>Budd</v>
      </c>
      <c r="I3761" s="6" t="str">
        <f>VLOOKUP(F3761,Customer,5,0)</f>
        <v>Perth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2116</v>
      </c>
      <c r="O3761" s="2">
        <v>94</v>
      </c>
      <c r="P3761" s="8">
        <f t="shared" si="292"/>
        <v>2210</v>
      </c>
      <c r="Q3761" s="8">
        <f t="shared" si="293"/>
        <v>138</v>
      </c>
      <c r="R3761" s="2" t="s">
        <v>26</v>
      </c>
      <c r="S3761" s="24">
        <f t="shared" si="294"/>
        <v>0.02</v>
      </c>
    </row>
    <row r="3762" spans="1:19" x14ac:dyDescent="0.25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>VLOOKUP(F3762,'Customer Info'!$A:$B,2,0)</f>
        <v>Nicole</v>
      </c>
      <c r="H3762" s="6" t="str">
        <f>VLOOKUP(F3762,'Customer Info'!$A$1:$C$501,3,0)</f>
        <v>Fjeld</v>
      </c>
      <c r="I3762" s="6" t="str">
        <f>VLOOKUP(F3762,Customer,5,0)</f>
        <v>Berlin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2907</v>
      </c>
      <c r="O3762" s="2">
        <v>61</v>
      </c>
      <c r="P3762" s="8">
        <f t="shared" si="292"/>
        <v>2968</v>
      </c>
      <c r="Q3762" s="8">
        <f t="shared" si="293"/>
        <v>240</v>
      </c>
      <c r="R3762" s="2" t="s">
        <v>28</v>
      </c>
      <c r="S3762" s="24">
        <f t="shared" si="294"/>
        <v>0.02</v>
      </c>
    </row>
    <row r="3763" spans="1:19" x14ac:dyDescent="0.25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>VLOOKUP(F3763,'Customer Info'!$A:$B,2,0)</f>
        <v>Lindsay</v>
      </c>
      <c r="H3763" s="6" t="str">
        <f>VLOOKUP(F3763,'Customer Info'!$A$1:$C$501,3,0)</f>
        <v>Castell</v>
      </c>
      <c r="I3763" s="6" t="str">
        <f>VLOOKUP(F3763,Customer,5,0)</f>
        <v>Depok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9084</v>
      </c>
      <c r="O3763" s="2">
        <v>26</v>
      </c>
      <c r="P3763" s="8">
        <f t="shared" si="292"/>
        <v>9110</v>
      </c>
      <c r="Q3763" s="8">
        <f t="shared" si="293"/>
        <v>508</v>
      </c>
      <c r="R3763" s="2" t="s">
        <v>50</v>
      </c>
      <c r="S3763" s="24">
        <f t="shared" si="294"/>
        <v>0.05</v>
      </c>
    </row>
    <row r="3764" spans="1:19" x14ac:dyDescent="0.25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>VLOOKUP(F3764,'Customer Info'!$A:$B,2,0)</f>
        <v>Harold</v>
      </c>
      <c r="H3764" s="6" t="str">
        <f>VLOOKUP(F3764,'Customer Info'!$A$1:$C$501,3,0)</f>
        <v>Dahlen</v>
      </c>
      <c r="I3764" s="6" t="str">
        <f>VLOOKUP(F3764,Customer,5,0)</f>
        <v>Jakarta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561</v>
      </c>
      <c r="O3764" s="2">
        <v>30</v>
      </c>
      <c r="P3764" s="8">
        <f t="shared" si="292"/>
        <v>591</v>
      </c>
      <c r="Q3764" s="8">
        <f t="shared" si="293"/>
        <v>33</v>
      </c>
      <c r="R3764" s="2" t="s">
        <v>50</v>
      </c>
      <c r="S3764" s="24">
        <f t="shared" si="294"/>
        <v>0.02</v>
      </c>
    </row>
    <row r="3765" spans="1:19" x14ac:dyDescent="0.25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>VLOOKUP(F3765,'Customer Info'!$A:$B,2,0)</f>
        <v>Alex</v>
      </c>
      <c r="H3765" s="6" t="str">
        <f>VLOOKUP(F3765,'Customer Info'!$A$1:$C$501,3,0)</f>
        <v>Grayson</v>
      </c>
      <c r="I3765" s="6" t="str">
        <f>VLOOKUP(F3765,Customer,5,0)</f>
        <v>Anyang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4116</v>
      </c>
      <c r="O3765" s="2">
        <v>59</v>
      </c>
      <c r="P3765" s="8">
        <f t="shared" si="292"/>
        <v>4175</v>
      </c>
      <c r="Q3765" s="8">
        <f t="shared" si="293"/>
        <v>192</v>
      </c>
      <c r="R3765" s="2" t="s">
        <v>56</v>
      </c>
      <c r="S3765" s="24">
        <f t="shared" si="294"/>
        <v>0.02</v>
      </c>
    </row>
    <row r="3766" spans="1:19" x14ac:dyDescent="0.25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>VLOOKUP(F3766,'Customer Info'!$A:$B,2,0)</f>
        <v>Annie</v>
      </c>
      <c r="H3766" s="6" t="str">
        <f>VLOOKUP(F3766,'Customer Info'!$A$1:$C$501,3,0)</f>
        <v>Zypern</v>
      </c>
      <c r="I3766" s="6" t="str">
        <f>VLOOKUP(F3766,Customer,5,0)</f>
        <v>Brisbane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6666</v>
      </c>
      <c r="O3766" s="2">
        <v>51</v>
      </c>
      <c r="P3766" s="8">
        <f t="shared" si="292"/>
        <v>6717</v>
      </c>
      <c r="Q3766" s="8">
        <f t="shared" si="293"/>
        <v>423</v>
      </c>
      <c r="R3766" s="2" t="s">
        <v>26</v>
      </c>
      <c r="S3766" s="24">
        <f t="shared" si="294"/>
        <v>0.05</v>
      </c>
    </row>
    <row r="3767" spans="1:19" x14ac:dyDescent="0.25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>VLOOKUP(F3767,'Customer Info'!$A:$B,2,0)</f>
        <v>Peter</v>
      </c>
      <c r="H3767" s="6" t="str">
        <f>VLOOKUP(F3767,'Customer Info'!$A$1:$C$501,3,0)</f>
        <v>McVee</v>
      </c>
      <c r="I3767" s="6" t="str">
        <f>VLOOKUP(F3767,Customer,5,0)</f>
        <v>Hamburg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1036</v>
      </c>
      <c r="O3767" s="2">
        <v>30</v>
      </c>
      <c r="P3767" s="8">
        <f t="shared" si="292"/>
        <v>1066</v>
      </c>
      <c r="Q3767" s="8">
        <f t="shared" si="293"/>
        <v>84</v>
      </c>
      <c r="R3767" s="2" t="s">
        <v>50</v>
      </c>
      <c r="S3767" s="24">
        <f t="shared" si="294"/>
        <v>0.02</v>
      </c>
    </row>
    <row r="3768" spans="1:19" x14ac:dyDescent="0.25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>VLOOKUP(F3768,'Customer Info'!$A:$B,2,0)</f>
        <v>Nick</v>
      </c>
      <c r="H3768" s="6" t="str">
        <f>VLOOKUP(F3768,'Customer Info'!$A$1:$C$501,3,0)</f>
        <v>Radford</v>
      </c>
      <c r="I3768" s="6" t="str">
        <f>VLOOKUP(F3768,Customer,5,0)</f>
        <v>Lucknow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4410</v>
      </c>
      <c r="O3768" s="2">
        <v>34</v>
      </c>
      <c r="P3768" s="8">
        <f t="shared" si="292"/>
        <v>4444</v>
      </c>
      <c r="Q3768" s="8">
        <f t="shared" si="293"/>
        <v>288</v>
      </c>
      <c r="R3768" s="2" t="s">
        <v>28</v>
      </c>
      <c r="S3768" s="24">
        <f t="shared" si="294"/>
        <v>0.02</v>
      </c>
    </row>
    <row r="3769" spans="1:19" x14ac:dyDescent="0.25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>VLOOKUP(F3769,'Customer Info'!$A:$B,2,0)</f>
        <v>Caroline</v>
      </c>
      <c r="H3769" s="6" t="str">
        <f>VLOOKUP(F3769,'Customer Info'!$A$1:$C$501,3,0)</f>
        <v>Jumper</v>
      </c>
      <c r="I3769" s="6" t="str">
        <f>VLOOKUP(F3769,Customer,5,0)</f>
        <v>Xuzhou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1060</v>
      </c>
      <c r="O3769" s="2">
        <v>83</v>
      </c>
      <c r="P3769" s="8">
        <f t="shared" si="292"/>
        <v>1143</v>
      </c>
      <c r="Q3769" s="8">
        <f t="shared" si="293"/>
        <v>96</v>
      </c>
      <c r="R3769" s="2" t="s">
        <v>28</v>
      </c>
      <c r="S3769" s="24">
        <f t="shared" si="294"/>
        <v>0.02</v>
      </c>
    </row>
    <row r="3770" spans="1:19" x14ac:dyDescent="0.25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>VLOOKUP(F3770,'Customer Info'!$A:$B,2,0)</f>
        <v>Dan</v>
      </c>
      <c r="H3770" s="6" t="str">
        <f>VLOOKUP(F3770,'Customer Info'!$A$1:$C$501,3,0)</f>
        <v>Campbell</v>
      </c>
      <c r="I3770" s="6" t="str">
        <f>VLOOKUP(F3770,Customer,5,0)</f>
        <v>Perth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63</v>
      </c>
      <c r="O3770" s="2">
        <v>10</v>
      </c>
      <c r="P3770" s="8">
        <f t="shared" si="292"/>
        <v>73</v>
      </c>
      <c r="Q3770" s="8">
        <f t="shared" si="293"/>
        <v>5</v>
      </c>
      <c r="R3770" s="2" t="s">
        <v>26</v>
      </c>
      <c r="S3770" s="24">
        <f t="shared" si="294"/>
        <v>0.02</v>
      </c>
    </row>
    <row r="3771" spans="1:19" x14ac:dyDescent="0.25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>VLOOKUP(F3771,'Customer Info'!$A:$B,2,0)</f>
        <v>Steven</v>
      </c>
      <c r="H3771" s="6" t="str">
        <f>VLOOKUP(F3771,'Customer Info'!$A$1:$C$501,3,0)</f>
        <v>Roelle</v>
      </c>
      <c r="I3771" s="6" t="str">
        <f>VLOOKUP(F3771,Customer,5,0)</f>
        <v>Bonn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1845</v>
      </c>
      <c r="O3771" s="2">
        <v>60</v>
      </c>
      <c r="P3771" s="8">
        <f t="shared" si="292"/>
        <v>1905</v>
      </c>
      <c r="Q3771" s="8">
        <f t="shared" si="293"/>
        <v>103</v>
      </c>
      <c r="R3771" s="2" t="s">
        <v>26</v>
      </c>
      <c r="S3771" s="24">
        <f t="shared" si="294"/>
        <v>0.02</v>
      </c>
    </row>
    <row r="3772" spans="1:19" x14ac:dyDescent="0.25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>VLOOKUP(F3772,'Customer Info'!$A:$B,2,0)</f>
        <v>Hallie</v>
      </c>
      <c r="H3772" s="6" t="str">
        <f>VLOOKUP(F3772,'Customer Info'!$A$1:$C$501,3,0)</f>
        <v>Redmond</v>
      </c>
      <c r="I3772" s="6" t="str">
        <f>VLOOKUP(F3772,Customer,5,0)</f>
        <v>Caloundra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2636</v>
      </c>
      <c r="O3772" s="2">
        <v>88</v>
      </c>
      <c r="P3772" s="8">
        <f t="shared" si="292"/>
        <v>2724</v>
      </c>
      <c r="Q3772" s="8">
        <f t="shared" si="293"/>
        <v>218</v>
      </c>
      <c r="R3772" s="2" t="s">
        <v>28</v>
      </c>
      <c r="S3772" s="24">
        <f t="shared" si="294"/>
        <v>0.02</v>
      </c>
    </row>
    <row r="3773" spans="1:19" x14ac:dyDescent="0.25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>VLOOKUP(F3773,'Customer Info'!$A:$B,2,0)</f>
        <v>Eugene</v>
      </c>
      <c r="H3773" s="6" t="str">
        <f>VLOOKUP(F3773,'Customer Info'!$A$1:$C$501,3,0)</f>
        <v>Hildebrand</v>
      </c>
      <c r="I3773" s="6" t="str">
        <f>VLOOKUP(F3773,Customer,5,0)</f>
        <v>Sindelfingen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300</v>
      </c>
      <c r="O3773" s="2">
        <v>10</v>
      </c>
      <c r="P3773" s="8">
        <f t="shared" si="292"/>
        <v>310</v>
      </c>
      <c r="Q3773" s="8">
        <f t="shared" si="293"/>
        <v>20</v>
      </c>
      <c r="R3773" s="2" t="s">
        <v>50</v>
      </c>
      <c r="S3773" s="24">
        <f t="shared" si="294"/>
        <v>0.02</v>
      </c>
    </row>
    <row r="3774" spans="1:19" x14ac:dyDescent="0.25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>VLOOKUP(F3774,'Customer Info'!$A:$B,2,0)</f>
        <v>Magdelene</v>
      </c>
      <c r="H3774" s="6" t="str">
        <f>VLOOKUP(F3774,'Customer Info'!$A$1:$C$501,3,0)</f>
        <v>Morse</v>
      </c>
      <c r="I3774" s="6" t="str">
        <f>VLOOKUP(F3774,Customer,5,0)</f>
        <v>Berlin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7930</v>
      </c>
      <c r="O3774" s="2">
        <v>47</v>
      </c>
      <c r="P3774" s="8">
        <f t="shared" si="292"/>
        <v>7977</v>
      </c>
      <c r="Q3774" s="8">
        <f t="shared" si="293"/>
        <v>380</v>
      </c>
      <c r="R3774" s="2" t="s">
        <v>26</v>
      </c>
      <c r="S3774" s="24">
        <f t="shared" si="294"/>
        <v>0.05</v>
      </c>
    </row>
    <row r="3775" spans="1:19" x14ac:dyDescent="0.25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>VLOOKUP(F3775,'Customer Info'!$A:$B,2,0)</f>
        <v>Maureen</v>
      </c>
      <c r="H3775" s="6" t="str">
        <f>VLOOKUP(F3775,'Customer Info'!$A$1:$C$501,3,0)</f>
        <v>Fritzler</v>
      </c>
      <c r="I3775" s="6" t="str">
        <f>VLOOKUP(F3775,Customer,5,0)</f>
        <v>BadenBaden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146890</v>
      </c>
      <c r="O3775" s="2">
        <v>34</v>
      </c>
      <c r="P3775" s="8">
        <f t="shared" si="292"/>
        <v>146924</v>
      </c>
      <c r="Q3775" s="8">
        <f t="shared" si="293"/>
        <v>12330</v>
      </c>
      <c r="R3775" s="2" t="s">
        <v>28</v>
      </c>
      <c r="S3775" s="24">
        <f t="shared" si="294"/>
        <v>0.12</v>
      </c>
    </row>
    <row r="3776" spans="1:19" x14ac:dyDescent="0.25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>VLOOKUP(F3776,'Customer Info'!$A:$B,2,0)</f>
        <v>Russell</v>
      </c>
      <c r="H3776" s="6" t="str">
        <f>VLOOKUP(F3776,'Customer Info'!$A$1:$C$501,3,0)</f>
        <v>Applegate</v>
      </c>
      <c r="I3776" s="6" t="str">
        <f>VLOOKUP(F3776,Customer,5,0)</f>
        <v>Gorakhpur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1181</v>
      </c>
      <c r="O3776" s="2">
        <v>26</v>
      </c>
      <c r="P3776" s="8">
        <f t="shared" si="292"/>
        <v>1207</v>
      </c>
      <c r="Q3776" s="8">
        <f t="shared" si="293"/>
        <v>45</v>
      </c>
      <c r="R3776" s="2" t="s">
        <v>50</v>
      </c>
      <c r="S3776" s="24">
        <f t="shared" si="294"/>
        <v>0.02</v>
      </c>
    </row>
    <row r="3777" spans="1:19" x14ac:dyDescent="0.25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>VLOOKUP(F3777,'Customer Info'!$A:$B,2,0)</f>
        <v>Kean</v>
      </c>
      <c r="H3777" s="6" t="str">
        <f>VLOOKUP(F3777,'Customer Info'!$A$1:$C$501,3,0)</f>
        <v>Thornton</v>
      </c>
      <c r="I3777" s="6" t="str">
        <f>VLOOKUP(F3777,Customer,5,0)</f>
        <v>Brisbane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1186</v>
      </c>
      <c r="O3777" s="2">
        <v>87</v>
      </c>
      <c r="P3777" s="8">
        <f t="shared" si="292"/>
        <v>1273</v>
      </c>
      <c r="Q3777" s="8">
        <f t="shared" si="293"/>
        <v>45</v>
      </c>
      <c r="R3777" s="2" t="s">
        <v>28</v>
      </c>
      <c r="S3777" s="24">
        <f t="shared" si="294"/>
        <v>0.02</v>
      </c>
    </row>
    <row r="3778" spans="1:19" x14ac:dyDescent="0.25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>VLOOKUP(F3778,'Customer Info'!$A:$B,2,0)</f>
        <v>Rachel</v>
      </c>
      <c r="H3778" s="6" t="str">
        <f>VLOOKUP(F3778,'Customer Info'!$A$1:$C$501,3,0)</f>
        <v>Payne</v>
      </c>
      <c r="I3778" s="6" t="str">
        <f>VLOOKUP(F3778,Customer,5,0)</f>
        <v>Caloundra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511</v>
      </c>
      <c r="O3778" s="2">
        <v>22</v>
      </c>
      <c r="P3778" s="8">
        <f t="shared" si="292"/>
        <v>533</v>
      </c>
      <c r="Q3778" s="8">
        <f t="shared" si="293"/>
        <v>34</v>
      </c>
      <c r="R3778" s="2" t="s">
        <v>28</v>
      </c>
      <c r="S3778" s="24">
        <f t="shared" si="294"/>
        <v>0.02</v>
      </c>
    </row>
    <row r="3779" spans="1:19" x14ac:dyDescent="0.25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>VLOOKUP(F3779,'Customer Info'!$A:$B,2,0)</f>
        <v>Christine</v>
      </c>
      <c r="H3779" s="6" t="str">
        <f>VLOOKUP(F3779,'Customer Info'!$A$1:$C$501,3,0)</f>
        <v>Abelman</v>
      </c>
      <c r="I3779" s="6" t="str">
        <f>VLOOKUP(F3779,Customer,5,0)</f>
        <v>Nasik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7398</v>
      </c>
      <c r="O3779" s="2">
        <v>53</v>
      </c>
      <c r="P3779" s="8">
        <f t="shared" si="292"/>
        <v>7451</v>
      </c>
      <c r="Q3779" s="8">
        <f t="shared" si="293"/>
        <v>348</v>
      </c>
      <c r="R3779" s="2" t="s">
        <v>28</v>
      </c>
      <c r="S3779" s="24">
        <f t="shared" si="294"/>
        <v>0.05</v>
      </c>
    </row>
    <row r="3780" spans="1:19" x14ac:dyDescent="0.25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>VLOOKUP(F3780,'Customer Info'!$A:$B,2,0)</f>
        <v>Delfina</v>
      </c>
      <c r="H3780" s="6" t="str">
        <f>VLOOKUP(F3780,'Customer Info'!$A$1:$C$501,3,0)</f>
        <v>Latchford</v>
      </c>
      <c r="I3780" s="6" t="str">
        <f>VLOOKUP(F3780,Customer,5,0)</f>
        <v>Yogyakarta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2566</v>
      </c>
      <c r="O3780" s="2">
        <v>43</v>
      </c>
      <c r="P3780" s="8">
        <f t="shared" si="292"/>
        <v>2609</v>
      </c>
      <c r="Q3780" s="8">
        <f t="shared" si="293"/>
        <v>192</v>
      </c>
      <c r="R3780" s="2" t="s">
        <v>26</v>
      </c>
      <c r="S3780" s="24">
        <f t="shared" si="294"/>
        <v>0.02</v>
      </c>
    </row>
    <row r="3781" spans="1:19" x14ac:dyDescent="0.25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>VLOOKUP(F3781,'Customer Info'!$A:$B,2,0)</f>
        <v>Darren</v>
      </c>
      <c r="H3781" s="6" t="str">
        <f>VLOOKUP(F3781,'Customer Info'!$A$1:$C$501,3,0)</f>
        <v>Budd</v>
      </c>
      <c r="I3781" s="6" t="str">
        <f>VLOOKUP(F3781,Customer,5,0)</f>
        <v>Perth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597</v>
      </c>
      <c r="O3781" s="2">
        <v>30</v>
      </c>
      <c r="P3781" s="8">
        <f t="shared" si="292"/>
        <v>627</v>
      </c>
      <c r="Q3781" s="8">
        <f t="shared" si="293"/>
        <v>69</v>
      </c>
      <c r="R3781" s="2" t="s">
        <v>28</v>
      </c>
      <c r="S3781" s="24">
        <f t="shared" si="294"/>
        <v>0.02</v>
      </c>
    </row>
    <row r="3782" spans="1:19" x14ac:dyDescent="0.25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>VLOOKUP(F3782,'Customer Info'!$A:$B,2,0)</f>
        <v>Rob</v>
      </c>
      <c r="H3782" s="6" t="str">
        <f>VLOOKUP(F3782,'Customer Info'!$A$1:$C$501,3,0)</f>
        <v>Williams</v>
      </c>
      <c r="I3782" s="6" t="str">
        <f>VLOOKUP(F3782,Customer,5,0)</f>
        <v>Wodonga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35436</v>
      </c>
      <c r="O3782" s="2">
        <v>22</v>
      </c>
      <c r="P3782" s="8">
        <f t="shared" si="292"/>
        <v>35458</v>
      </c>
      <c r="Q3782" s="8">
        <f t="shared" si="293"/>
        <v>3840</v>
      </c>
      <c r="R3782" s="2" t="s">
        <v>28</v>
      </c>
      <c r="S3782" s="24">
        <f t="shared" si="294"/>
        <v>7.0000000000000007E-2</v>
      </c>
    </row>
    <row r="3783" spans="1:19" x14ac:dyDescent="0.25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>VLOOKUP(F3783,'Customer Info'!$A:$B,2,0)</f>
        <v>Deirdre</v>
      </c>
      <c r="H3783" s="6" t="str">
        <f>VLOOKUP(F3783,'Customer Info'!$A$1:$C$501,3,0)</f>
        <v>Greer</v>
      </c>
      <c r="I3783" s="6" t="str">
        <f>VLOOKUP(F3783,Customer,5,0)</f>
        <v>Bandung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1453</v>
      </c>
      <c r="O3783" s="2">
        <v>76</v>
      </c>
      <c r="P3783" s="8">
        <f t="shared" si="292"/>
        <v>1529</v>
      </c>
      <c r="Q3783" s="8">
        <f t="shared" si="293"/>
        <v>42</v>
      </c>
      <c r="R3783" s="2" t="s">
        <v>50</v>
      </c>
      <c r="S3783" s="24">
        <f t="shared" si="294"/>
        <v>0.02</v>
      </c>
    </row>
    <row r="3784" spans="1:19" x14ac:dyDescent="0.25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>VLOOKUP(F3784,'Customer Info'!$A:$B,2,0)</f>
        <v>Brian</v>
      </c>
      <c r="H3784" s="6" t="str">
        <f>VLOOKUP(F3784,'Customer Info'!$A$1:$C$501,3,0)</f>
        <v>Dahlen</v>
      </c>
      <c r="I3784" s="6" t="str">
        <f>VLOOKUP(F3784,Customer,5,0)</f>
        <v>Shantou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18270</v>
      </c>
      <c r="O3784" s="2">
        <v>94</v>
      </c>
      <c r="P3784" s="8">
        <f t="shared" si="292"/>
        <v>18364</v>
      </c>
      <c r="Q3784" s="8">
        <f t="shared" si="293"/>
        <v>1984</v>
      </c>
      <c r="R3784" s="2" t="s">
        <v>26</v>
      </c>
      <c r="S3784" s="24">
        <f t="shared" si="294"/>
        <v>0.05</v>
      </c>
    </row>
    <row r="3785" spans="1:19" x14ac:dyDescent="0.25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>VLOOKUP(F3785,'Customer Info'!$A:$B,2,0)</f>
        <v>John</v>
      </c>
      <c r="H3785" s="6" t="str">
        <f>VLOOKUP(F3785,'Customer Info'!$A$1:$C$501,3,0)</f>
        <v>Huston</v>
      </c>
      <c r="I3785" s="6" t="str">
        <f>VLOOKUP(F3785,Customer,5,0)</f>
        <v>Jena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27918</v>
      </c>
      <c r="O3785" s="2">
        <v>51</v>
      </c>
      <c r="P3785" s="8">
        <f t="shared" si="292"/>
        <v>27969</v>
      </c>
      <c r="Q3785" s="8">
        <f t="shared" si="293"/>
        <v>2535</v>
      </c>
      <c r="R3785" s="2" t="s">
        <v>28</v>
      </c>
      <c r="S3785" s="24">
        <f t="shared" si="294"/>
        <v>7.0000000000000007E-2</v>
      </c>
    </row>
    <row r="3786" spans="1:19" x14ac:dyDescent="0.25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>VLOOKUP(F3786,'Customer Info'!$A:$B,2,0)</f>
        <v>Brooke</v>
      </c>
      <c r="H3786" s="6" t="str">
        <f>VLOOKUP(F3786,'Customer Info'!$A$1:$C$501,3,0)</f>
        <v>Gillingham</v>
      </c>
      <c r="I3786" s="6" t="str">
        <f>VLOOKUP(F3786,Customer,5,0)</f>
        <v>Sunbury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3764</v>
      </c>
      <c r="O3786" s="2">
        <v>78</v>
      </c>
      <c r="P3786" s="8">
        <f t="shared" si="292"/>
        <v>3842</v>
      </c>
      <c r="Q3786" s="8">
        <f t="shared" si="293"/>
        <v>180</v>
      </c>
      <c r="R3786" s="2" t="s">
        <v>50</v>
      </c>
      <c r="S3786" s="24">
        <f t="shared" si="294"/>
        <v>0.02</v>
      </c>
    </row>
    <row r="3787" spans="1:19" x14ac:dyDescent="0.25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>VLOOKUP(F3787,'Customer Info'!$A:$B,2,0)</f>
        <v>Xylona</v>
      </c>
      <c r="H3787" s="6" t="str">
        <f>VLOOKUP(F3787,'Customer Info'!$A$1:$C$501,3,0)</f>
        <v>Preis</v>
      </c>
      <c r="I3787" s="6" t="str">
        <f>VLOOKUP(F3787,Customer,5,0)</f>
        <v>Qidong</v>
      </c>
      <c r="J3787" s="2">
        <v>2958</v>
      </c>
      <c r="K3787" s="2">
        <v>2743</v>
      </c>
      <c r="L3787" s="2">
        <v>2</v>
      </c>
      <c r="M3787" s="7">
        <f t="shared" ref="M3787:M3850" si="295">K3787*L3787</f>
        <v>5486</v>
      </c>
      <c r="N3787" s="7">
        <f t="shared" ref="N3787:N3850" si="296">J3787*L3787</f>
        <v>5916</v>
      </c>
      <c r="O3787" s="2">
        <v>47</v>
      </c>
      <c r="P3787" s="8">
        <f t="shared" ref="P3787:P3850" si="297">N3787+O3787</f>
        <v>5963</v>
      </c>
      <c r="Q3787" s="8">
        <f t="shared" ref="Q3787:Q3850" si="298">N3787-M3787</f>
        <v>430</v>
      </c>
      <c r="R3787" s="2" t="s">
        <v>50</v>
      </c>
      <c r="S3787" s="24">
        <f t="shared" ref="S3787:S3850" si="299">VLOOKUP(N3787,$T$1:$U$7,2,TRUE)</f>
        <v>0.05</v>
      </c>
    </row>
    <row r="3788" spans="1:19" x14ac:dyDescent="0.25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>VLOOKUP(F3788,'Customer Info'!$A:$B,2,0)</f>
        <v>Shirley</v>
      </c>
      <c r="H3788" s="6" t="str">
        <f>VLOOKUP(F3788,'Customer Info'!$A$1:$C$501,3,0)</f>
        <v>Schmidt</v>
      </c>
      <c r="I3788" s="6" t="str">
        <f>VLOOKUP(F3788,Customer,5,0)</f>
        <v>Bijapur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8">
        <f t="shared" si="297"/>
        <v>35649</v>
      </c>
      <c r="Q3788" s="8">
        <f t="shared" si="298"/>
        <v>1680</v>
      </c>
      <c r="R3788" s="2" t="s">
        <v>28</v>
      </c>
      <c r="S3788" s="24">
        <f t="shared" si="299"/>
        <v>7.0000000000000007E-2</v>
      </c>
    </row>
    <row r="3789" spans="1:19" x14ac:dyDescent="0.25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>VLOOKUP(F3789,'Customer Info'!$A:$B,2,0)</f>
        <v>Kelly</v>
      </c>
      <c r="H3789" s="6" t="str">
        <f>VLOOKUP(F3789,'Customer Info'!$A$1:$C$501,3,0)</f>
        <v>Collister</v>
      </c>
      <c r="I3789" s="6" t="str">
        <f>VLOOKUP(F3789,Customer,5,0)</f>
        <v>Tangshan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8">
        <f t="shared" si="297"/>
        <v>3174</v>
      </c>
      <c r="Q3789" s="8">
        <f t="shared" si="298"/>
        <v>90</v>
      </c>
      <c r="R3789" s="2" t="s">
        <v>28</v>
      </c>
      <c r="S3789" s="24">
        <f t="shared" si="299"/>
        <v>0.02</v>
      </c>
    </row>
    <row r="3790" spans="1:19" x14ac:dyDescent="0.25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>VLOOKUP(F3790,'Customer Info'!$A:$B,2,0)</f>
        <v>Resi</v>
      </c>
      <c r="H3790" s="6" t="str">
        <f>VLOOKUP(F3790,'Customer Info'!$A$1:$C$501,3,0)</f>
        <v>Pšlking</v>
      </c>
      <c r="I3790" s="6" t="str">
        <f>VLOOKUP(F3790,Customer,5,0)</f>
        <v>Gelsenkirchen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8">
        <f t="shared" si="297"/>
        <v>368</v>
      </c>
      <c r="Q3790" s="8">
        <f t="shared" si="298"/>
        <v>30</v>
      </c>
      <c r="R3790" s="2" t="s">
        <v>28</v>
      </c>
      <c r="S3790" s="24">
        <f t="shared" si="299"/>
        <v>0.02</v>
      </c>
    </row>
    <row r="3791" spans="1:19" x14ac:dyDescent="0.25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>VLOOKUP(F3791,'Customer Info'!$A:$B,2,0)</f>
        <v>Emily</v>
      </c>
      <c r="H3791" s="6" t="str">
        <f>VLOOKUP(F3791,'Customer Info'!$A$1:$C$501,3,0)</f>
        <v>Grady</v>
      </c>
      <c r="I3791" s="6" t="str">
        <f>VLOOKUP(F3791,Customer,5,0)</f>
        <v>Pimpri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8">
        <f t="shared" si="297"/>
        <v>411</v>
      </c>
      <c r="Q3791" s="8">
        <f t="shared" si="298"/>
        <v>33</v>
      </c>
      <c r="R3791" s="2" t="s">
        <v>28</v>
      </c>
      <c r="S3791" s="24">
        <f t="shared" si="299"/>
        <v>0.02</v>
      </c>
    </row>
    <row r="3792" spans="1:19" x14ac:dyDescent="0.25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>VLOOKUP(F3792,'Customer Info'!$A:$B,2,0)</f>
        <v>Sally</v>
      </c>
      <c r="H3792" s="6" t="str">
        <f>VLOOKUP(F3792,'Customer Info'!$A$1:$C$501,3,0)</f>
        <v>Knutson</v>
      </c>
      <c r="I3792" s="6" t="str">
        <f>VLOOKUP(F3792,Customer,5,0)</f>
        <v>CastropRauxel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12736</v>
      </c>
      <c r="O3792" s="2">
        <v>63</v>
      </c>
      <c r="P3792" s="8">
        <f t="shared" si="297"/>
        <v>12799</v>
      </c>
      <c r="Q3792" s="8">
        <f t="shared" si="298"/>
        <v>948</v>
      </c>
      <c r="R3792" s="2" t="s">
        <v>56</v>
      </c>
      <c r="S3792" s="24">
        <f t="shared" si="299"/>
        <v>0.05</v>
      </c>
    </row>
    <row r="3793" spans="1:19" x14ac:dyDescent="0.25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>VLOOKUP(F3793,'Customer Info'!$A:$B,2,0)</f>
        <v>Harold</v>
      </c>
      <c r="H3793" s="6" t="str">
        <f>VLOOKUP(F3793,'Customer Info'!$A$1:$C$501,3,0)</f>
        <v>Dahlen</v>
      </c>
      <c r="I3793" s="6" t="str">
        <f>VLOOKUP(F3793,Customer,5,0)</f>
        <v>Melbourne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417</v>
      </c>
      <c r="O3793" s="2">
        <v>30</v>
      </c>
      <c r="P3793" s="8">
        <f t="shared" si="297"/>
        <v>447</v>
      </c>
      <c r="Q3793" s="8">
        <f t="shared" si="298"/>
        <v>18</v>
      </c>
      <c r="R3793" s="2" t="s">
        <v>28</v>
      </c>
      <c r="S3793" s="24">
        <f t="shared" si="299"/>
        <v>0.02</v>
      </c>
    </row>
    <row r="3794" spans="1:19" x14ac:dyDescent="0.25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>VLOOKUP(F3794,'Customer Info'!$A:$B,2,0)</f>
        <v>Philisse</v>
      </c>
      <c r="H3794" s="6" t="str">
        <f>VLOOKUP(F3794,'Customer Info'!$A$1:$C$501,3,0)</f>
        <v>Overcash</v>
      </c>
      <c r="I3794" s="6" t="str">
        <f>VLOOKUP(F3794,Customer,5,0)</f>
        <v>Devonport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156380</v>
      </c>
      <c r="O3794" s="2">
        <v>98</v>
      </c>
      <c r="P3794" s="8">
        <f t="shared" si="297"/>
        <v>156478</v>
      </c>
      <c r="Q3794" s="8">
        <f t="shared" si="298"/>
        <v>14316</v>
      </c>
      <c r="R3794" s="2" t="s">
        <v>28</v>
      </c>
      <c r="S3794" s="24">
        <f t="shared" si="299"/>
        <v>0.12</v>
      </c>
    </row>
    <row r="3795" spans="1:19" x14ac:dyDescent="0.25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>VLOOKUP(F3795,'Customer Info'!$A:$B,2,0)</f>
        <v>Brooke</v>
      </c>
      <c r="H3795" s="6" t="str">
        <f>VLOOKUP(F3795,'Customer Info'!$A$1:$C$501,3,0)</f>
        <v>Gillingham</v>
      </c>
      <c r="I3795" s="6" t="str">
        <f>VLOOKUP(F3795,Customer,5,0)</f>
        <v>Weimar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17778</v>
      </c>
      <c r="O3795" s="2">
        <v>95</v>
      </c>
      <c r="P3795" s="8">
        <f t="shared" si="297"/>
        <v>17873</v>
      </c>
      <c r="Q3795" s="8">
        <f t="shared" si="298"/>
        <v>840</v>
      </c>
      <c r="R3795" s="2" t="s">
        <v>28</v>
      </c>
      <c r="S3795" s="24">
        <f t="shared" si="299"/>
        <v>0.05</v>
      </c>
    </row>
    <row r="3796" spans="1:19" x14ac:dyDescent="0.25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>VLOOKUP(F3796,'Customer Info'!$A:$B,2,0)</f>
        <v>Sarah</v>
      </c>
      <c r="H3796" s="6" t="str">
        <f>VLOOKUP(F3796,'Customer Info'!$A$1:$C$501,3,0)</f>
        <v>Foster</v>
      </c>
      <c r="I3796" s="6" t="str">
        <f>VLOOKUP(F3796,Customer,5,0)</f>
        <v>Harbin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7590</v>
      </c>
      <c r="O3796" s="2">
        <v>97</v>
      </c>
      <c r="P3796" s="8">
        <f t="shared" si="297"/>
        <v>7687</v>
      </c>
      <c r="Q3796" s="8">
        <f t="shared" si="298"/>
        <v>630</v>
      </c>
      <c r="R3796" s="2" t="s">
        <v>28</v>
      </c>
      <c r="S3796" s="24">
        <f t="shared" si="299"/>
        <v>0.05</v>
      </c>
    </row>
    <row r="3797" spans="1:19" x14ac:dyDescent="0.25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>VLOOKUP(F3797,'Customer Info'!$A:$B,2,0)</f>
        <v>Tracy</v>
      </c>
      <c r="H3797" s="6" t="str">
        <f>VLOOKUP(F3797,'Customer Info'!$A$1:$C$501,3,0)</f>
        <v>Blumstein</v>
      </c>
      <c r="I3797" s="6" t="str">
        <f>VLOOKUP(F3797,Customer,5,0)</f>
        <v>Guangzhou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405</v>
      </c>
      <c r="O3797" s="2">
        <v>10</v>
      </c>
      <c r="P3797" s="8">
        <f t="shared" si="297"/>
        <v>415</v>
      </c>
      <c r="Q3797" s="8">
        <f t="shared" si="298"/>
        <v>20</v>
      </c>
      <c r="R3797" s="2" t="s">
        <v>28</v>
      </c>
      <c r="S3797" s="24">
        <f t="shared" si="299"/>
        <v>0.02</v>
      </c>
    </row>
    <row r="3798" spans="1:19" x14ac:dyDescent="0.25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>VLOOKUP(F3798,'Customer Info'!$A:$B,2,0)</f>
        <v>Ralph</v>
      </c>
      <c r="H3798" s="6" t="str">
        <f>VLOOKUP(F3798,'Customer Info'!$A$1:$C$501,3,0)</f>
        <v>Arnett</v>
      </c>
      <c r="I3798" s="6" t="str">
        <f>VLOOKUP(F3798,Customer,5,0)</f>
        <v>Jhansi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13728</v>
      </c>
      <c r="O3798" s="2">
        <v>95</v>
      </c>
      <c r="P3798" s="8">
        <f t="shared" si="297"/>
        <v>13823</v>
      </c>
      <c r="Q3798" s="8">
        <f t="shared" si="298"/>
        <v>394</v>
      </c>
      <c r="R3798" s="2" t="s">
        <v>28</v>
      </c>
      <c r="S3798" s="24">
        <f t="shared" si="299"/>
        <v>0.05</v>
      </c>
    </row>
    <row r="3799" spans="1:19" x14ac:dyDescent="0.25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>VLOOKUP(F3799,'Customer Info'!$A:$B,2,0)</f>
        <v>Claire</v>
      </c>
      <c r="H3799" s="6" t="str">
        <f>VLOOKUP(F3799,'Customer Info'!$A$1:$C$501,3,0)</f>
        <v>Gute</v>
      </c>
      <c r="I3799" s="6" t="str">
        <f>VLOOKUP(F3799,Customer,5,0)</f>
        <v>Worms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6660</v>
      </c>
      <c r="O3799" s="2">
        <v>83</v>
      </c>
      <c r="P3799" s="8">
        <f t="shared" si="297"/>
        <v>6743</v>
      </c>
      <c r="Q3799" s="8">
        <f t="shared" si="298"/>
        <v>615</v>
      </c>
      <c r="R3799" s="2" t="s">
        <v>26</v>
      </c>
      <c r="S3799" s="24">
        <f t="shared" si="299"/>
        <v>0.05</v>
      </c>
    </row>
    <row r="3800" spans="1:19" x14ac:dyDescent="0.25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>VLOOKUP(F3800,'Customer Info'!$A:$B,2,0)</f>
        <v>Rick</v>
      </c>
      <c r="H3800" s="6" t="str">
        <f>VLOOKUP(F3800,'Customer Info'!$A$1:$C$501,3,0)</f>
        <v>Reed</v>
      </c>
      <c r="I3800" s="6" t="str">
        <f>VLOOKUP(F3800,Customer,5,0)</f>
        <v>Lucknow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2034</v>
      </c>
      <c r="O3800" s="2">
        <v>72</v>
      </c>
      <c r="P3800" s="8">
        <f t="shared" si="297"/>
        <v>2106</v>
      </c>
      <c r="Q3800" s="8">
        <f t="shared" si="298"/>
        <v>134</v>
      </c>
      <c r="R3800" s="2" t="s">
        <v>28</v>
      </c>
      <c r="S3800" s="24">
        <f t="shared" si="299"/>
        <v>0.02</v>
      </c>
    </row>
    <row r="3801" spans="1:19" x14ac:dyDescent="0.25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>VLOOKUP(F3801,'Customer Info'!$A:$B,2,0)</f>
        <v>Darren</v>
      </c>
      <c r="H3801" s="6" t="str">
        <f>VLOOKUP(F3801,'Customer Info'!$A$1:$C$501,3,0)</f>
        <v>Koutras</v>
      </c>
      <c r="I3801" s="6" t="str">
        <f>VLOOKUP(F3801,Customer,5,0)</f>
        <v>Pune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1533</v>
      </c>
      <c r="O3801" s="2">
        <v>77</v>
      </c>
      <c r="P3801" s="8">
        <f t="shared" si="297"/>
        <v>1610</v>
      </c>
      <c r="Q3801" s="8">
        <f t="shared" si="298"/>
        <v>102</v>
      </c>
      <c r="R3801" s="2" t="s">
        <v>28</v>
      </c>
      <c r="S3801" s="24">
        <f t="shared" si="299"/>
        <v>0.02</v>
      </c>
    </row>
    <row r="3802" spans="1:19" x14ac:dyDescent="0.25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>VLOOKUP(F3802,'Customer Info'!$A:$B,2,0)</f>
        <v>Rick</v>
      </c>
      <c r="H3802" s="6" t="str">
        <f>VLOOKUP(F3802,'Customer Info'!$A$1:$C$501,3,0)</f>
        <v>Reed</v>
      </c>
      <c r="I3802" s="6" t="str">
        <f>VLOOKUP(F3802,Customer,5,0)</f>
        <v>Lucknow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507</v>
      </c>
      <c r="O3802" s="2">
        <v>30</v>
      </c>
      <c r="P3802" s="8">
        <f t="shared" si="297"/>
        <v>537</v>
      </c>
      <c r="Q3802" s="8">
        <f t="shared" si="298"/>
        <v>45</v>
      </c>
      <c r="R3802" s="2" t="s">
        <v>28</v>
      </c>
      <c r="S3802" s="24">
        <f t="shared" si="299"/>
        <v>0.02</v>
      </c>
    </row>
    <row r="3803" spans="1:19" x14ac:dyDescent="0.25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>VLOOKUP(F3803,'Customer Info'!$A:$B,2,0)</f>
        <v>Brad</v>
      </c>
      <c r="H3803" s="6" t="str">
        <f>VLOOKUP(F3803,'Customer Info'!$A$1:$C$501,3,0)</f>
        <v>Thomas</v>
      </c>
      <c r="I3803" s="6" t="str">
        <f>VLOOKUP(F3803,Customer,5,0)</f>
        <v>Udaipur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2225</v>
      </c>
      <c r="O3803" s="2">
        <v>20</v>
      </c>
      <c r="P3803" s="8">
        <f t="shared" si="297"/>
        <v>2245</v>
      </c>
      <c r="Q3803" s="8">
        <f t="shared" si="298"/>
        <v>150</v>
      </c>
      <c r="R3803" s="2" t="s">
        <v>50</v>
      </c>
      <c r="S3803" s="24">
        <f t="shared" si="299"/>
        <v>0.02</v>
      </c>
    </row>
    <row r="3804" spans="1:19" x14ac:dyDescent="0.25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>VLOOKUP(F3804,'Customer Info'!$A:$B,2,0)</f>
        <v>Logan</v>
      </c>
      <c r="H3804" s="6" t="str">
        <f>VLOOKUP(F3804,'Customer Info'!$A$1:$C$501,3,0)</f>
        <v>Currie</v>
      </c>
      <c r="I3804" s="6" t="str">
        <f>VLOOKUP(F3804,Customer,5,0)</f>
        <v>Amravati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370</v>
      </c>
      <c r="O3804" s="2">
        <v>30</v>
      </c>
      <c r="P3804" s="8">
        <f t="shared" si="297"/>
        <v>400</v>
      </c>
      <c r="Q3804" s="8">
        <f t="shared" si="298"/>
        <v>28</v>
      </c>
      <c r="R3804" s="2" t="s">
        <v>50</v>
      </c>
      <c r="S3804" s="24">
        <f t="shared" si="299"/>
        <v>0.02</v>
      </c>
    </row>
    <row r="3805" spans="1:19" x14ac:dyDescent="0.25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>VLOOKUP(F3805,'Customer Info'!$A:$B,2,0)</f>
        <v>Helen</v>
      </c>
      <c r="H3805" s="6" t="str">
        <f>VLOOKUP(F3805,'Customer Info'!$A$1:$C$501,3,0)</f>
        <v>Abelman</v>
      </c>
      <c r="I3805" s="6" t="str">
        <f>VLOOKUP(F3805,Customer,5,0)</f>
        <v>Munich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3236</v>
      </c>
      <c r="O3805" s="2">
        <v>93</v>
      </c>
      <c r="P3805" s="8">
        <f t="shared" si="297"/>
        <v>3329</v>
      </c>
      <c r="Q3805" s="8">
        <f t="shared" si="298"/>
        <v>156</v>
      </c>
      <c r="R3805" s="2" t="s">
        <v>28</v>
      </c>
      <c r="S3805" s="24">
        <f t="shared" si="299"/>
        <v>0.02</v>
      </c>
    </row>
    <row r="3806" spans="1:19" x14ac:dyDescent="0.25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>VLOOKUP(F3806,'Customer Info'!$A:$B,2,0)</f>
        <v>Brendan</v>
      </c>
      <c r="H3806" s="6" t="str">
        <f>VLOOKUP(F3806,'Customer Info'!$A$1:$C$501,3,0)</f>
        <v>Dodson</v>
      </c>
      <c r="I3806" s="6" t="str">
        <f>VLOOKUP(F3806,Customer,5,0)</f>
        <v>Adelaide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4500</v>
      </c>
      <c r="O3806" s="2">
        <v>88</v>
      </c>
      <c r="P3806" s="8">
        <f t="shared" si="297"/>
        <v>4588</v>
      </c>
      <c r="Q3806" s="8">
        <f t="shared" si="298"/>
        <v>86</v>
      </c>
      <c r="R3806" s="2" t="s">
        <v>28</v>
      </c>
      <c r="S3806" s="24">
        <f t="shared" si="299"/>
        <v>0.02</v>
      </c>
    </row>
    <row r="3807" spans="1:19" x14ac:dyDescent="0.25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>VLOOKUP(F3807,'Customer Info'!$A:$B,2,0)</f>
        <v>Ivan</v>
      </c>
      <c r="H3807" s="6" t="str">
        <f>VLOOKUP(F3807,'Customer Info'!$A$1:$C$501,3,0)</f>
        <v>Gibson</v>
      </c>
      <c r="I3807" s="6" t="str">
        <f>VLOOKUP(F3807,Customer,5,0)</f>
        <v>Perth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1864</v>
      </c>
      <c r="O3807" s="2">
        <v>74</v>
      </c>
      <c r="P3807" s="8">
        <f t="shared" si="297"/>
        <v>1938</v>
      </c>
      <c r="Q3807" s="8">
        <f t="shared" si="298"/>
        <v>188</v>
      </c>
      <c r="R3807" s="2" t="s">
        <v>28</v>
      </c>
      <c r="S3807" s="24">
        <f t="shared" si="299"/>
        <v>0.02</v>
      </c>
    </row>
    <row r="3808" spans="1:19" x14ac:dyDescent="0.25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>VLOOKUP(F3808,'Customer Info'!$A:$B,2,0)</f>
        <v>Darren</v>
      </c>
      <c r="H3808" s="6" t="str">
        <f>VLOOKUP(F3808,'Customer Info'!$A$1:$C$501,3,0)</f>
        <v>Budd</v>
      </c>
      <c r="I3808" s="6" t="str">
        <f>VLOOKUP(F3808,Customer,5,0)</f>
        <v>Jakarta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6585</v>
      </c>
      <c r="O3808" s="2">
        <v>40</v>
      </c>
      <c r="P3808" s="8">
        <f t="shared" si="297"/>
        <v>6625</v>
      </c>
      <c r="Q3808" s="8">
        <f t="shared" si="298"/>
        <v>480</v>
      </c>
      <c r="R3808" s="2" t="s">
        <v>28</v>
      </c>
      <c r="S3808" s="24">
        <f t="shared" si="299"/>
        <v>0.05</v>
      </c>
    </row>
    <row r="3809" spans="1:19" x14ac:dyDescent="0.25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>VLOOKUP(F3809,'Customer Info'!$A:$B,2,0)</f>
        <v>Melanie</v>
      </c>
      <c r="H3809" s="6" t="str">
        <f>VLOOKUP(F3809,'Customer Info'!$A$1:$C$501,3,0)</f>
        <v>Seite</v>
      </c>
      <c r="I3809" s="6" t="str">
        <f>VLOOKUP(F3809,Customer,5,0)</f>
        <v>Xining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1752</v>
      </c>
      <c r="O3809" s="2">
        <v>71</v>
      </c>
      <c r="P3809" s="8">
        <f t="shared" si="297"/>
        <v>1823</v>
      </c>
      <c r="Q3809" s="8">
        <f t="shared" si="298"/>
        <v>176</v>
      </c>
      <c r="R3809" s="2" t="s">
        <v>28</v>
      </c>
      <c r="S3809" s="24">
        <f t="shared" si="299"/>
        <v>0.02</v>
      </c>
    </row>
    <row r="3810" spans="1:19" x14ac:dyDescent="0.25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>VLOOKUP(F3810,'Customer Info'!$A:$B,2,0)</f>
        <v>Mike</v>
      </c>
      <c r="H3810" s="6" t="str">
        <f>VLOOKUP(F3810,'Customer Info'!$A$1:$C$501,3,0)</f>
        <v>Pelletier</v>
      </c>
      <c r="I3810" s="6" t="str">
        <f>VLOOKUP(F3810,Customer,5,0)</f>
        <v>Gorakhpur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338</v>
      </c>
      <c r="O3810" s="2">
        <v>30</v>
      </c>
      <c r="P3810" s="8">
        <f t="shared" si="297"/>
        <v>368</v>
      </c>
      <c r="Q3810" s="8">
        <f t="shared" si="298"/>
        <v>18</v>
      </c>
      <c r="R3810" s="2" t="s">
        <v>28</v>
      </c>
      <c r="S3810" s="24">
        <f t="shared" si="299"/>
        <v>0.02</v>
      </c>
    </row>
    <row r="3811" spans="1:19" x14ac:dyDescent="0.25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>VLOOKUP(F3811,'Customer Info'!$A:$B,2,0)</f>
        <v>Pamela</v>
      </c>
      <c r="H3811" s="6" t="str">
        <f>VLOOKUP(F3811,'Customer Info'!$A$1:$C$501,3,0)</f>
        <v>Stobb</v>
      </c>
      <c r="I3811" s="6" t="str">
        <f>VLOOKUP(F3811,Customer,5,0)</f>
        <v>Bremen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46046</v>
      </c>
      <c r="O3811" s="2">
        <v>65</v>
      </c>
      <c r="P3811" s="8">
        <f t="shared" si="297"/>
        <v>46111</v>
      </c>
      <c r="Q3811" s="8">
        <f t="shared" si="298"/>
        <v>2576</v>
      </c>
      <c r="R3811" s="2" t="s">
        <v>28</v>
      </c>
      <c r="S3811" s="24">
        <f t="shared" si="299"/>
        <v>7.0000000000000007E-2</v>
      </c>
    </row>
    <row r="3812" spans="1:19" x14ac:dyDescent="0.25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>VLOOKUP(F3812,'Customer Info'!$A:$B,2,0)</f>
        <v>Valerie</v>
      </c>
      <c r="H3812" s="6" t="str">
        <f>VLOOKUP(F3812,'Customer Info'!$A$1:$C$501,3,0)</f>
        <v>Mitchum</v>
      </c>
      <c r="I3812" s="6" t="str">
        <f>VLOOKUP(F3812,Customer,5,0)</f>
        <v>Chengdu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25255</v>
      </c>
      <c r="O3812" s="2">
        <v>45</v>
      </c>
      <c r="P3812" s="8">
        <f t="shared" si="297"/>
        <v>25300</v>
      </c>
      <c r="Q3812" s="8">
        <f t="shared" si="298"/>
        <v>2085</v>
      </c>
      <c r="R3812" s="2" t="s">
        <v>56</v>
      </c>
      <c r="S3812" s="24">
        <f t="shared" si="299"/>
        <v>7.0000000000000007E-2</v>
      </c>
    </row>
    <row r="3813" spans="1:19" x14ac:dyDescent="0.25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>VLOOKUP(F3813,'Customer Info'!$A:$B,2,0)</f>
        <v>Darren</v>
      </c>
      <c r="H3813" s="6" t="str">
        <f>VLOOKUP(F3813,'Customer Info'!$A$1:$C$501,3,0)</f>
        <v>Budd</v>
      </c>
      <c r="I3813" s="6" t="str">
        <f>VLOOKUP(F3813,Customer,5,0)</f>
        <v>Perth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925</v>
      </c>
      <c r="O3813" s="2">
        <v>30</v>
      </c>
      <c r="P3813" s="8">
        <f t="shared" si="297"/>
        <v>955</v>
      </c>
      <c r="Q3813" s="8">
        <f t="shared" si="298"/>
        <v>70</v>
      </c>
      <c r="R3813" s="2" t="s">
        <v>50</v>
      </c>
      <c r="S3813" s="24">
        <f t="shared" si="299"/>
        <v>0.02</v>
      </c>
    </row>
    <row r="3814" spans="1:19" x14ac:dyDescent="0.25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>VLOOKUP(F3814,'Customer Info'!$A:$B,2,0)</f>
        <v>Cari</v>
      </c>
      <c r="H3814" s="6" t="str">
        <f>VLOOKUP(F3814,'Customer Info'!$A$1:$C$501,3,0)</f>
        <v>Schnelling</v>
      </c>
      <c r="I3814" s="6" t="str">
        <f>VLOOKUP(F3814,Customer,5,0)</f>
        <v>Agra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20250</v>
      </c>
      <c r="O3814" s="2">
        <v>77</v>
      </c>
      <c r="P3814" s="8">
        <f t="shared" si="297"/>
        <v>20327</v>
      </c>
      <c r="Q3814" s="8">
        <f t="shared" si="298"/>
        <v>387</v>
      </c>
      <c r="R3814" s="2" t="s">
        <v>28</v>
      </c>
      <c r="S3814" s="24">
        <f t="shared" si="299"/>
        <v>0.05</v>
      </c>
    </row>
    <row r="3815" spans="1:19" x14ac:dyDescent="0.25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>VLOOKUP(F3815,'Customer Info'!$A:$B,2,0)</f>
        <v>Stefanie</v>
      </c>
      <c r="H3815" s="6" t="str">
        <f>VLOOKUP(F3815,'Customer Info'!$A$1:$C$501,3,0)</f>
        <v>Holloman</v>
      </c>
      <c r="I3815" s="6" t="str">
        <f>VLOOKUP(F3815,Customer,5,0)</f>
        <v>Durgapur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1447</v>
      </c>
      <c r="O3815" s="2">
        <v>87</v>
      </c>
      <c r="P3815" s="8">
        <f t="shared" si="297"/>
        <v>1534</v>
      </c>
      <c r="Q3815" s="8">
        <f t="shared" si="298"/>
        <v>121</v>
      </c>
      <c r="R3815" s="2" t="s">
        <v>50</v>
      </c>
      <c r="S3815" s="24">
        <f t="shared" si="299"/>
        <v>0.02</v>
      </c>
    </row>
    <row r="3816" spans="1:19" x14ac:dyDescent="0.25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>VLOOKUP(F3816,'Customer Info'!$A:$B,2,0)</f>
        <v>Michelle</v>
      </c>
      <c r="H3816" s="6" t="str">
        <f>VLOOKUP(F3816,'Customer Info'!$A$1:$C$501,3,0)</f>
        <v>Tran</v>
      </c>
      <c r="I3816" s="6" t="str">
        <f>VLOOKUP(F3816,Customer,5,0)</f>
        <v>Mount Gambier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1364</v>
      </c>
      <c r="O3816" s="2">
        <v>75</v>
      </c>
      <c r="P3816" s="8">
        <f t="shared" si="297"/>
        <v>1439</v>
      </c>
      <c r="Q3816" s="8">
        <f t="shared" si="298"/>
        <v>90</v>
      </c>
      <c r="R3816" s="2" t="s">
        <v>28</v>
      </c>
      <c r="S3816" s="24">
        <f t="shared" si="299"/>
        <v>0.02</v>
      </c>
    </row>
    <row r="3817" spans="1:19" x14ac:dyDescent="0.25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>VLOOKUP(F3817,'Customer Info'!$A:$B,2,0)</f>
        <v>Muhammed</v>
      </c>
      <c r="H3817" s="6" t="str">
        <f>VLOOKUP(F3817,'Customer Info'!$A$1:$C$501,3,0)</f>
        <v>Lee</v>
      </c>
      <c r="I3817" s="6" t="str">
        <f>VLOOKUP(F3817,Customer,5,0)</f>
        <v>Nellore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6708</v>
      </c>
      <c r="O3817" s="2">
        <v>29</v>
      </c>
      <c r="P3817" s="8">
        <f t="shared" si="297"/>
        <v>6737</v>
      </c>
      <c r="Q3817" s="8">
        <f t="shared" si="298"/>
        <v>504</v>
      </c>
      <c r="R3817" s="2" t="s">
        <v>50</v>
      </c>
      <c r="S3817" s="24">
        <f t="shared" si="299"/>
        <v>0.05</v>
      </c>
    </row>
    <row r="3818" spans="1:19" x14ac:dyDescent="0.25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>VLOOKUP(F3818,'Customer Info'!$A:$B,2,0)</f>
        <v>Harold</v>
      </c>
      <c r="H3818" s="6" t="str">
        <f>VLOOKUP(F3818,'Customer Info'!$A$1:$C$501,3,0)</f>
        <v>Pawlan</v>
      </c>
      <c r="I3818" s="6" t="str">
        <f>VLOOKUP(F3818,Customer,5,0)</f>
        <v>Banda Aceh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2253</v>
      </c>
      <c r="O3818" s="2">
        <v>72</v>
      </c>
      <c r="P3818" s="8">
        <f t="shared" si="297"/>
        <v>2325</v>
      </c>
      <c r="Q3818" s="8">
        <f t="shared" si="298"/>
        <v>165</v>
      </c>
      <c r="R3818" s="2" t="s">
        <v>50</v>
      </c>
      <c r="S3818" s="24">
        <f t="shared" si="299"/>
        <v>0.02</v>
      </c>
    </row>
    <row r="3819" spans="1:19" x14ac:dyDescent="0.25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>VLOOKUP(F3819,'Customer Info'!$A:$B,2,0)</f>
        <v>Philip</v>
      </c>
      <c r="H3819" s="6" t="str">
        <f>VLOOKUP(F3819,'Customer Info'!$A$1:$C$501,3,0)</f>
        <v>Fox</v>
      </c>
      <c r="I3819" s="6" t="str">
        <f>VLOOKUP(F3819,Customer,5,0)</f>
        <v>Remscheid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1772</v>
      </c>
      <c r="O3819" s="2">
        <v>38</v>
      </c>
      <c r="P3819" s="8">
        <f t="shared" si="297"/>
        <v>1810</v>
      </c>
      <c r="Q3819" s="8">
        <f t="shared" si="298"/>
        <v>116</v>
      </c>
      <c r="R3819" s="2" t="s">
        <v>50</v>
      </c>
      <c r="S3819" s="24">
        <f t="shared" si="299"/>
        <v>0.02</v>
      </c>
    </row>
    <row r="3820" spans="1:19" x14ac:dyDescent="0.25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>VLOOKUP(F3820,'Customer Info'!$A:$B,2,0)</f>
        <v>Brooke</v>
      </c>
      <c r="H3820" s="6" t="str">
        <f>VLOOKUP(F3820,'Customer Info'!$A$1:$C$501,3,0)</f>
        <v>Gillingham</v>
      </c>
      <c r="I3820" s="6" t="str">
        <f>VLOOKUP(F3820,Customer,5,0)</f>
        <v>Mysore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16866</v>
      </c>
      <c r="O3820" s="2">
        <v>81</v>
      </c>
      <c r="P3820" s="8">
        <f t="shared" si="297"/>
        <v>16947</v>
      </c>
      <c r="Q3820" s="8">
        <f t="shared" si="298"/>
        <v>1264</v>
      </c>
      <c r="R3820" s="2" t="s">
        <v>28</v>
      </c>
      <c r="S3820" s="24">
        <f t="shared" si="299"/>
        <v>0.05</v>
      </c>
    </row>
    <row r="3821" spans="1:19" x14ac:dyDescent="0.25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>VLOOKUP(F3821,'Customer Info'!$A:$B,2,0)</f>
        <v>Brenda</v>
      </c>
      <c r="H3821" s="6" t="str">
        <f>VLOOKUP(F3821,'Customer Info'!$A$1:$C$501,3,0)</f>
        <v>Bowman</v>
      </c>
      <c r="I3821" s="6" t="str">
        <f>VLOOKUP(F3821,Customer,5,0)</f>
        <v>Perth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123</v>
      </c>
      <c r="O3821" s="2">
        <v>30</v>
      </c>
      <c r="P3821" s="8">
        <f t="shared" si="297"/>
        <v>153</v>
      </c>
      <c r="Q3821" s="8">
        <f t="shared" si="298"/>
        <v>8</v>
      </c>
      <c r="R3821" s="2" t="s">
        <v>50</v>
      </c>
      <c r="S3821" s="24">
        <f t="shared" si="299"/>
        <v>0.02</v>
      </c>
    </row>
    <row r="3822" spans="1:19" x14ac:dyDescent="0.25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>VLOOKUP(F3822,'Customer Info'!$A:$B,2,0)</f>
        <v>Ritsa</v>
      </c>
      <c r="H3822" s="6" t="str">
        <f>VLOOKUP(F3822,'Customer Info'!$A$1:$C$501,3,0)</f>
        <v>Hightower</v>
      </c>
      <c r="I3822" s="6" t="str">
        <f>VLOOKUP(F3822,Customer,5,0)</f>
        <v>Datong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8399</v>
      </c>
      <c r="O3822" s="2">
        <v>32</v>
      </c>
      <c r="P3822" s="8">
        <f t="shared" si="297"/>
        <v>8431</v>
      </c>
      <c r="Q3822" s="8">
        <f t="shared" si="298"/>
        <v>398</v>
      </c>
      <c r="R3822" s="2" t="s">
        <v>28</v>
      </c>
      <c r="S3822" s="24">
        <f t="shared" si="299"/>
        <v>0.05</v>
      </c>
    </row>
    <row r="3823" spans="1:19" x14ac:dyDescent="0.25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>VLOOKUP(F3823,'Customer Info'!$A:$B,2,0)</f>
        <v>Mitch</v>
      </c>
      <c r="H3823" s="6" t="str">
        <f>VLOOKUP(F3823,'Customer Info'!$A$1:$C$501,3,0)</f>
        <v>Willingham</v>
      </c>
      <c r="I3823" s="6" t="str">
        <f>VLOOKUP(F3823,Customer,5,0)</f>
        <v>Berlin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39610</v>
      </c>
      <c r="O3823" s="2">
        <v>98</v>
      </c>
      <c r="P3823" s="8">
        <f t="shared" si="297"/>
        <v>39708</v>
      </c>
      <c r="Q3823" s="8">
        <f t="shared" si="298"/>
        <v>2970</v>
      </c>
      <c r="R3823" s="2" t="s">
        <v>28</v>
      </c>
      <c r="S3823" s="24">
        <f t="shared" si="299"/>
        <v>7.0000000000000007E-2</v>
      </c>
    </row>
    <row r="3824" spans="1:19" x14ac:dyDescent="0.25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>VLOOKUP(F3824,'Customer Info'!$A:$B,2,0)</f>
        <v>Deirdre</v>
      </c>
      <c r="H3824" s="6" t="str">
        <f>VLOOKUP(F3824,'Customer Info'!$A$1:$C$501,3,0)</f>
        <v>Greer</v>
      </c>
      <c r="I3824" s="6" t="str">
        <f>VLOOKUP(F3824,Customer,5,0)</f>
        <v>Bandung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19044</v>
      </c>
      <c r="O3824" s="2">
        <v>81</v>
      </c>
      <c r="P3824" s="8">
        <f t="shared" si="297"/>
        <v>19125</v>
      </c>
      <c r="Q3824" s="8">
        <f t="shared" si="298"/>
        <v>1572</v>
      </c>
      <c r="R3824" s="2" t="s">
        <v>28</v>
      </c>
      <c r="S3824" s="24">
        <f t="shared" si="299"/>
        <v>0.05</v>
      </c>
    </row>
    <row r="3825" spans="1:19" x14ac:dyDescent="0.25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>VLOOKUP(F3825,'Customer Info'!$A:$B,2,0)</f>
        <v>Julie</v>
      </c>
      <c r="H3825" s="6" t="str">
        <f>VLOOKUP(F3825,'Customer Info'!$A$1:$C$501,3,0)</f>
        <v>Creighton</v>
      </c>
      <c r="I3825" s="6" t="str">
        <f>VLOOKUP(F3825,Customer,5,0)</f>
        <v>Bandung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53837</v>
      </c>
      <c r="O3825" s="2">
        <v>21</v>
      </c>
      <c r="P3825" s="8">
        <f t="shared" si="297"/>
        <v>53858</v>
      </c>
      <c r="Q3825" s="8">
        <f t="shared" si="298"/>
        <v>3052</v>
      </c>
      <c r="R3825" s="2" t="s">
        <v>26</v>
      </c>
      <c r="S3825" s="24">
        <f t="shared" si="299"/>
        <v>0.09</v>
      </c>
    </row>
    <row r="3826" spans="1:19" x14ac:dyDescent="0.25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>VLOOKUP(F3826,'Customer Info'!$A:$B,2,0)</f>
        <v>Shirley</v>
      </c>
      <c r="H3826" s="6" t="str">
        <f>VLOOKUP(F3826,'Customer Info'!$A$1:$C$501,3,0)</f>
        <v>Schmidt</v>
      </c>
      <c r="I3826" s="6" t="str">
        <f>VLOOKUP(F3826,Customer,5,0)</f>
        <v>Bijapur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278</v>
      </c>
      <c r="O3826" s="2">
        <v>30</v>
      </c>
      <c r="P3826" s="8">
        <f t="shared" si="297"/>
        <v>308</v>
      </c>
      <c r="Q3826" s="8">
        <f t="shared" si="298"/>
        <v>12</v>
      </c>
      <c r="R3826" s="2" t="s">
        <v>56</v>
      </c>
      <c r="S3826" s="24">
        <f t="shared" si="299"/>
        <v>0.02</v>
      </c>
    </row>
    <row r="3827" spans="1:19" x14ac:dyDescent="0.25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>VLOOKUP(F3827,'Customer Info'!$A:$B,2,0)</f>
        <v>Lynn</v>
      </c>
      <c r="H3827" s="6" t="str">
        <f>VLOOKUP(F3827,'Customer Info'!$A$1:$C$501,3,0)</f>
        <v>Smith</v>
      </c>
      <c r="I3827" s="6" t="str">
        <f>VLOOKUP(F3827,Customer,5,0)</f>
        <v>Guiping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24480</v>
      </c>
      <c r="O3827" s="2">
        <v>55</v>
      </c>
      <c r="P3827" s="8">
        <f t="shared" si="297"/>
        <v>24535</v>
      </c>
      <c r="Q3827" s="8">
        <f t="shared" si="298"/>
        <v>2055</v>
      </c>
      <c r="R3827" s="2" t="s">
        <v>26</v>
      </c>
      <c r="S3827" s="24">
        <f t="shared" si="299"/>
        <v>0.05</v>
      </c>
    </row>
    <row r="3828" spans="1:19" x14ac:dyDescent="0.25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>VLOOKUP(F3828,'Customer Info'!$A:$B,2,0)</f>
        <v>Bryan</v>
      </c>
      <c r="H3828" s="6" t="str">
        <f>VLOOKUP(F3828,'Customer Info'!$A$1:$C$501,3,0)</f>
        <v>Spruell</v>
      </c>
      <c r="I3828" s="6" t="str">
        <f>VLOOKUP(F3828,Customer,5,0)</f>
        <v>Bekasi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41184</v>
      </c>
      <c r="O3828" s="2">
        <v>67</v>
      </c>
      <c r="P3828" s="8">
        <f t="shared" si="297"/>
        <v>41251</v>
      </c>
      <c r="Q3828" s="8">
        <f t="shared" si="298"/>
        <v>1182</v>
      </c>
      <c r="R3828" s="2" t="s">
        <v>28</v>
      </c>
      <c r="S3828" s="24">
        <f t="shared" si="299"/>
        <v>7.0000000000000007E-2</v>
      </c>
    </row>
    <row r="3829" spans="1:19" x14ac:dyDescent="0.25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>VLOOKUP(F3829,'Customer Info'!$A:$B,2,0)</f>
        <v>Alex</v>
      </c>
      <c r="H3829" s="6" t="str">
        <f>VLOOKUP(F3829,'Customer Info'!$A$1:$C$501,3,0)</f>
        <v>Avila</v>
      </c>
      <c r="I3829" s="6" t="str">
        <f>VLOOKUP(F3829,Customer,5,0)</f>
        <v>Berlin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202</v>
      </c>
      <c r="O3829" s="2">
        <v>30</v>
      </c>
      <c r="P3829" s="8">
        <f t="shared" si="297"/>
        <v>232</v>
      </c>
      <c r="Q3829" s="8">
        <f t="shared" si="298"/>
        <v>15</v>
      </c>
      <c r="R3829" s="2" t="s">
        <v>50</v>
      </c>
      <c r="S3829" s="24">
        <f t="shared" si="299"/>
        <v>0.02</v>
      </c>
    </row>
    <row r="3830" spans="1:19" x14ac:dyDescent="0.25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>VLOOKUP(F3830,'Customer Info'!$A:$B,2,0)</f>
        <v>Magdelene</v>
      </c>
      <c r="H3830" s="6" t="str">
        <f>VLOOKUP(F3830,'Customer Info'!$A$1:$C$501,3,0)</f>
        <v>Morse</v>
      </c>
      <c r="I3830" s="6" t="str">
        <f>VLOOKUP(F3830,Customer,5,0)</f>
        <v>Berlin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3442</v>
      </c>
      <c r="O3830" s="2">
        <v>28</v>
      </c>
      <c r="P3830" s="8">
        <f t="shared" si="297"/>
        <v>3470</v>
      </c>
      <c r="Q3830" s="8">
        <f t="shared" si="298"/>
        <v>162</v>
      </c>
      <c r="R3830" s="2" t="s">
        <v>28</v>
      </c>
      <c r="S3830" s="24">
        <f t="shared" si="299"/>
        <v>0.02</v>
      </c>
    </row>
    <row r="3831" spans="1:19" x14ac:dyDescent="0.25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>VLOOKUP(F3831,'Customer Info'!$A:$B,2,0)</f>
        <v>Darren</v>
      </c>
      <c r="H3831" s="6" t="str">
        <f>VLOOKUP(F3831,'Customer Info'!$A$1:$C$501,3,0)</f>
        <v>Budd</v>
      </c>
      <c r="I3831" s="6" t="str">
        <f>VLOOKUP(F3831,Customer,5,0)</f>
        <v>Jakarta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837</v>
      </c>
      <c r="O3831" s="2">
        <v>25</v>
      </c>
      <c r="P3831" s="8">
        <f t="shared" si="297"/>
        <v>862</v>
      </c>
      <c r="Q3831" s="8">
        <f t="shared" si="298"/>
        <v>75</v>
      </c>
      <c r="R3831" s="2" t="s">
        <v>50</v>
      </c>
      <c r="S3831" s="24">
        <f t="shared" si="299"/>
        <v>0.02</v>
      </c>
    </row>
    <row r="3832" spans="1:19" x14ac:dyDescent="0.25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>VLOOKUP(F3832,'Customer Info'!$A:$B,2,0)</f>
        <v>Brooke</v>
      </c>
      <c r="H3832" s="6" t="str">
        <f>VLOOKUP(F3832,'Customer Info'!$A$1:$C$501,3,0)</f>
        <v>Gillingham</v>
      </c>
      <c r="I3832" s="6" t="str">
        <f>VLOOKUP(F3832,Customer,5,0)</f>
        <v>Geraldton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2976</v>
      </c>
      <c r="O3832" s="2">
        <v>28</v>
      </c>
      <c r="P3832" s="8">
        <f t="shared" si="297"/>
        <v>3004</v>
      </c>
      <c r="Q3832" s="8">
        <f t="shared" si="298"/>
        <v>192</v>
      </c>
      <c r="R3832" s="2" t="s">
        <v>50</v>
      </c>
      <c r="S3832" s="24">
        <f t="shared" si="299"/>
        <v>0.02</v>
      </c>
    </row>
    <row r="3833" spans="1:19" x14ac:dyDescent="0.25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>VLOOKUP(F3833,'Customer Info'!$A:$B,2,0)</f>
        <v>Beth</v>
      </c>
      <c r="H3833" s="6" t="str">
        <f>VLOOKUP(F3833,'Customer Info'!$A$1:$C$501,3,0)</f>
        <v>Thompson</v>
      </c>
      <c r="I3833" s="6" t="str">
        <f>VLOOKUP(F3833,Customer,5,0)</f>
        <v>Lohne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22912</v>
      </c>
      <c r="O3833" s="2">
        <v>47</v>
      </c>
      <c r="P3833" s="8">
        <f t="shared" si="297"/>
        <v>22959</v>
      </c>
      <c r="Q3833" s="8">
        <f t="shared" si="298"/>
        <v>880</v>
      </c>
      <c r="R3833" s="2" t="s">
        <v>28</v>
      </c>
      <c r="S3833" s="24">
        <f t="shared" si="299"/>
        <v>0.05</v>
      </c>
    </row>
    <row r="3834" spans="1:19" x14ac:dyDescent="0.25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>VLOOKUP(F3834,'Customer Info'!$A:$B,2,0)</f>
        <v>Don</v>
      </c>
      <c r="H3834" s="6" t="str">
        <f>VLOOKUP(F3834,'Customer Info'!$A$1:$C$501,3,0)</f>
        <v>Weiss</v>
      </c>
      <c r="I3834" s="6" t="str">
        <f>VLOOKUP(F3834,Customer,5,0)</f>
        <v>Sydney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9332</v>
      </c>
      <c r="O3834" s="2">
        <v>30</v>
      </c>
      <c r="P3834" s="8">
        <f t="shared" si="297"/>
        <v>9362</v>
      </c>
      <c r="Q3834" s="8">
        <f t="shared" si="298"/>
        <v>1092</v>
      </c>
      <c r="R3834" s="2" t="s">
        <v>26</v>
      </c>
      <c r="S3834" s="24">
        <f t="shared" si="299"/>
        <v>0.05</v>
      </c>
    </row>
    <row r="3835" spans="1:19" x14ac:dyDescent="0.25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>VLOOKUP(F3835,'Customer Info'!$A:$B,2,0)</f>
        <v>Kelly</v>
      </c>
      <c r="H3835" s="6" t="str">
        <f>VLOOKUP(F3835,'Customer Info'!$A$1:$C$501,3,0)</f>
        <v>Collister</v>
      </c>
      <c r="I3835" s="6" t="str">
        <f>VLOOKUP(F3835,Customer,5,0)</f>
        <v>Sydney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4676</v>
      </c>
      <c r="O3835" s="2">
        <v>71</v>
      </c>
      <c r="P3835" s="8">
        <f t="shared" si="297"/>
        <v>4747</v>
      </c>
      <c r="Q3835" s="8">
        <f t="shared" si="298"/>
        <v>264</v>
      </c>
      <c r="R3835" s="2" t="s">
        <v>28</v>
      </c>
      <c r="S3835" s="24">
        <f t="shared" si="299"/>
        <v>0.02</v>
      </c>
    </row>
    <row r="3836" spans="1:19" x14ac:dyDescent="0.25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>VLOOKUP(F3836,'Customer Info'!$A:$B,2,0)</f>
        <v>Valerie</v>
      </c>
      <c r="H3836" s="6" t="str">
        <f>VLOOKUP(F3836,'Customer Info'!$A$1:$C$501,3,0)</f>
        <v>Mitchum</v>
      </c>
      <c r="I3836" s="6" t="str">
        <f>VLOOKUP(F3836,Customer,5,0)</f>
        <v>Chengdu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42849</v>
      </c>
      <c r="O3836" s="2">
        <v>25</v>
      </c>
      <c r="P3836" s="8">
        <f t="shared" si="297"/>
        <v>42874</v>
      </c>
      <c r="Q3836" s="8">
        <f t="shared" si="298"/>
        <v>3537</v>
      </c>
      <c r="R3836" s="2" t="s">
        <v>28</v>
      </c>
      <c r="S3836" s="24">
        <f t="shared" si="299"/>
        <v>7.0000000000000007E-2</v>
      </c>
    </row>
    <row r="3837" spans="1:19" x14ac:dyDescent="0.25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>VLOOKUP(F3837,'Customer Info'!$A:$B,2,0)</f>
        <v>Jason</v>
      </c>
      <c r="H3837" s="6" t="str">
        <f>VLOOKUP(F3837,'Customer Info'!$A$1:$C$501,3,0)</f>
        <v>Gross</v>
      </c>
      <c r="I3837" s="6" t="str">
        <f>VLOOKUP(F3837,Customer,5,0)</f>
        <v>Sydney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63</v>
      </c>
      <c r="O3837" s="2">
        <v>10</v>
      </c>
      <c r="P3837" s="8">
        <f t="shared" si="297"/>
        <v>73</v>
      </c>
      <c r="Q3837" s="8">
        <f t="shared" si="298"/>
        <v>4</v>
      </c>
      <c r="R3837" s="2" t="s">
        <v>28</v>
      </c>
      <c r="S3837" s="24">
        <f t="shared" si="299"/>
        <v>0.02</v>
      </c>
    </row>
    <row r="3838" spans="1:19" x14ac:dyDescent="0.25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>VLOOKUP(F3838,'Customer Info'!$A:$B,2,0)</f>
        <v>Stefanie</v>
      </c>
      <c r="H3838" s="6" t="str">
        <f>VLOOKUP(F3838,'Customer Info'!$A$1:$C$501,3,0)</f>
        <v>Holloman</v>
      </c>
      <c r="I3838" s="6" t="str">
        <f>VLOOKUP(F3838,Customer,5,0)</f>
        <v>Durgapur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456</v>
      </c>
      <c r="O3838" s="2">
        <v>29</v>
      </c>
      <c r="P3838" s="8">
        <f t="shared" si="297"/>
        <v>485</v>
      </c>
      <c r="Q3838" s="8">
        <f t="shared" si="298"/>
        <v>26</v>
      </c>
      <c r="R3838" s="2" t="s">
        <v>28</v>
      </c>
      <c r="S3838" s="24">
        <f t="shared" si="299"/>
        <v>0.02</v>
      </c>
    </row>
    <row r="3839" spans="1:19" x14ac:dyDescent="0.25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>VLOOKUP(F3839,'Customer Info'!$A:$B,2,0)</f>
        <v>Ted</v>
      </c>
      <c r="H3839" s="6" t="str">
        <f>VLOOKUP(F3839,'Customer Info'!$A$1:$C$501,3,0)</f>
        <v>Trevino</v>
      </c>
      <c r="I3839" s="6" t="str">
        <f>VLOOKUP(F3839,Customer,5,0)</f>
        <v>Bendigo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679</v>
      </c>
      <c r="O3839" s="2">
        <v>10</v>
      </c>
      <c r="P3839" s="8">
        <f t="shared" si="297"/>
        <v>689</v>
      </c>
      <c r="Q3839" s="8">
        <f t="shared" si="298"/>
        <v>35</v>
      </c>
      <c r="R3839" s="2" t="s">
        <v>28</v>
      </c>
      <c r="S3839" s="24">
        <f t="shared" si="299"/>
        <v>0.02</v>
      </c>
    </row>
    <row r="3840" spans="1:19" x14ac:dyDescent="0.25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>VLOOKUP(F3840,'Customer Info'!$A:$B,2,0)</f>
        <v>John</v>
      </c>
      <c r="H3840" s="6" t="str">
        <f>VLOOKUP(F3840,'Customer Info'!$A$1:$C$501,3,0)</f>
        <v>Grady</v>
      </c>
      <c r="I3840" s="6" t="str">
        <f>VLOOKUP(F3840,Customer,5,0)</f>
        <v>Queanbeyan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20790</v>
      </c>
      <c r="O3840" s="2">
        <v>65</v>
      </c>
      <c r="P3840" s="8">
        <f t="shared" si="297"/>
        <v>20855</v>
      </c>
      <c r="Q3840" s="8">
        <f t="shared" si="298"/>
        <v>2430</v>
      </c>
      <c r="R3840" s="2" t="s">
        <v>28</v>
      </c>
      <c r="S3840" s="24">
        <f t="shared" si="299"/>
        <v>0.05</v>
      </c>
    </row>
    <row r="3841" spans="1:19" x14ac:dyDescent="0.25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>VLOOKUP(F3841,'Customer Info'!$A:$B,2,0)</f>
        <v>Cari</v>
      </c>
      <c r="H3841" s="6" t="str">
        <f>VLOOKUP(F3841,'Customer Info'!$A$1:$C$501,3,0)</f>
        <v>MacIntyre</v>
      </c>
      <c r="I3841" s="6" t="str">
        <f>VLOOKUP(F3841,Customer,5,0)</f>
        <v>Suzhou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1548</v>
      </c>
      <c r="O3841" s="2">
        <v>89</v>
      </c>
      <c r="P3841" s="8">
        <f t="shared" si="297"/>
        <v>1637</v>
      </c>
      <c r="Q3841" s="8">
        <f t="shared" si="298"/>
        <v>129</v>
      </c>
      <c r="R3841" s="2" t="s">
        <v>50</v>
      </c>
      <c r="S3841" s="24">
        <f t="shared" si="299"/>
        <v>0.02</v>
      </c>
    </row>
    <row r="3842" spans="1:19" x14ac:dyDescent="0.25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>VLOOKUP(F3842,'Customer Info'!$A:$B,2,0)</f>
        <v>Paul</v>
      </c>
      <c r="H3842" s="6" t="str">
        <f>VLOOKUP(F3842,'Customer Info'!$A$1:$C$501,3,0)</f>
        <v>Gonzalez</v>
      </c>
      <c r="I3842" s="6" t="str">
        <f>VLOOKUP(F3842,Customer,5,0)</f>
        <v>Durgapur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5577</v>
      </c>
      <c r="O3842" s="2">
        <v>44</v>
      </c>
      <c r="P3842" s="8">
        <f t="shared" si="297"/>
        <v>5621</v>
      </c>
      <c r="Q3842" s="8">
        <f t="shared" si="298"/>
        <v>312</v>
      </c>
      <c r="R3842" s="2" t="s">
        <v>28</v>
      </c>
      <c r="S3842" s="24">
        <f t="shared" si="299"/>
        <v>0.05</v>
      </c>
    </row>
    <row r="3843" spans="1:19" x14ac:dyDescent="0.25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>VLOOKUP(F3843,'Customer Info'!$A:$B,2,0)</f>
        <v>Jim</v>
      </c>
      <c r="H3843" s="6" t="str">
        <f>VLOOKUP(F3843,'Customer Info'!$A$1:$C$501,3,0)</f>
        <v>Epp</v>
      </c>
      <c r="I3843" s="6" t="str">
        <f>VLOOKUP(F3843,Customer,5,0)</f>
        <v>Jingmen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24597</v>
      </c>
      <c r="O3843" s="2">
        <v>35</v>
      </c>
      <c r="P3843" s="8">
        <f t="shared" si="297"/>
        <v>24632</v>
      </c>
      <c r="Q3843" s="8">
        <f t="shared" si="298"/>
        <v>2028</v>
      </c>
      <c r="R3843" s="2" t="s">
        <v>50</v>
      </c>
      <c r="S3843" s="24">
        <f t="shared" si="299"/>
        <v>0.05</v>
      </c>
    </row>
    <row r="3844" spans="1:19" x14ac:dyDescent="0.25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>VLOOKUP(F3844,'Customer Info'!$A:$B,2,0)</f>
        <v>Duane</v>
      </c>
      <c r="H3844" s="6" t="str">
        <f>VLOOKUP(F3844,'Customer Info'!$A$1:$C$501,3,0)</f>
        <v>Noonan</v>
      </c>
      <c r="I3844" s="6" t="str">
        <f>VLOOKUP(F3844,Customer,5,0)</f>
        <v>Durg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4761</v>
      </c>
      <c r="O3844" s="2">
        <v>26</v>
      </c>
      <c r="P3844" s="8">
        <f t="shared" si="297"/>
        <v>4787</v>
      </c>
      <c r="Q3844" s="8">
        <f t="shared" si="298"/>
        <v>477</v>
      </c>
      <c r="R3844" s="2" t="s">
        <v>56</v>
      </c>
      <c r="S3844" s="24">
        <f t="shared" si="299"/>
        <v>0.02</v>
      </c>
    </row>
    <row r="3845" spans="1:19" x14ac:dyDescent="0.25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>VLOOKUP(F3845,'Customer Info'!$A:$B,2,0)</f>
        <v>Tony</v>
      </c>
      <c r="H3845" s="6" t="str">
        <f>VLOOKUP(F3845,'Customer Info'!$A$1:$C$501,3,0)</f>
        <v>Sayre</v>
      </c>
      <c r="I3845" s="6" t="str">
        <f>VLOOKUP(F3845,Customer,5,0)</f>
        <v>Jakarta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61</v>
      </c>
      <c r="O3845" s="2">
        <v>10</v>
      </c>
      <c r="P3845" s="8">
        <f t="shared" si="297"/>
        <v>71</v>
      </c>
      <c r="Q3845" s="8">
        <f t="shared" si="298"/>
        <v>4</v>
      </c>
      <c r="R3845" s="2" t="s">
        <v>50</v>
      </c>
      <c r="S3845" s="24">
        <f t="shared" si="299"/>
        <v>0.02</v>
      </c>
    </row>
    <row r="3846" spans="1:19" x14ac:dyDescent="0.25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>VLOOKUP(F3846,'Customer Info'!$A:$B,2,0)</f>
        <v>Alejandro</v>
      </c>
      <c r="H3846" s="6" t="str">
        <f>VLOOKUP(F3846,'Customer Info'!$A$1:$C$501,3,0)</f>
        <v>Grove</v>
      </c>
      <c r="I3846" s="6" t="str">
        <f>VLOOKUP(F3846,Customer,5,0)</f>
        <v>Whyalla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1169</v>
      </c>
      <c r="O3846" s="2">
        <v>66</v>
      </c>
      <c r="P3846" s="8">
        <f t="shared" si="297"/>
        <v>1235</v>
      </c>
      <c r="Q3846" s="8">
        <f t="shared" si="298"/>
        <v>97</v>
      </c>
      <c r="R3846" s="2" t="s">
        <v>50</v>
      </c>
      <c r="S3846" s="24">
        <f t="shared" si="299"/>
        <v>0.02</v>
      </c>
    </row>
    <row r="3847" spans="1:19" x14ac:dyDescent="0.25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>VLOOKUP(F3847,'Customer Info'!$A:$B,2,0)</f>
        <v>John</v>
      </c>
      <c r="H3847" s="6" t="str">
        <f>VLOOKUP(F3847,'Customer Info'!$A$1:$C$501,3,0)</f>
        <v>Castell</v>
      </c>
      <c r="I3847" s="6" t="str">
        <f>VLOOKUP(F3847,Customer,5,0)</f>
        <v>Jakarta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6111</v>
      </c>
      <c r="O3847" s="2">
        <v>41</v>
      </c>
      <c r="P3847" s="8">
        <f t="shared" si="297"/>
        <v>6152</v>
      </c>
      <c r="Q3847" s="8">
        <f t="shared" si="298"/>
        <v>225</v>
      </c>
      <c r="R3847" s="2" t="s">
        <v>28</v>
      </c>
      <c r="S3847" s="24">
        <f t="shared" si="299"/>
        <v>0.05</v>
      </c>
    </row>
    <row r="3848" spans="1:19" x14ac:dyDescent="0.25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>VLOOKUP(F3848,'Customer Info'!$A:$B,2,0)</f>
        <v>Ritsa</v>
      </c>
      <c r="H3848" s="6" t="str">
        <f>VLOOKUP(F3848,'Customer Info'!$A$1:$C$501,3,0)</f>
        <v>Hightower</v>
      </c>
      <c r="I3848" s="6" t="str">
        <f>VLOOKUP(F3848,Customer,5,0)</f>
        <v>Datong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84378</v>
      </c>
      <c r="O3848" s="2">
        <v>62</v>
      </c>
      <c r="P3848" s="8">
        <f t="shared" si="297"/>
        <v>84440</v>
      </c>
      <c r="Q3848" s="8">
        <f t="shared" si="298"/>
        <v>4662</v>
      </c>
      <c r="R3848" s="2" t="s">
        <v>28</v>
      </c>
      <c r="S3848" s="24">
        <f t="shared" si="299"/>
        <v>0.09</v>
      </c>
    </row>
    <row r="3849" spans="1:19" x14ac:dyDescent="0.25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>VLOOKUP(F3849,'Customer Info'!$A:$B,2,0)</f>
        <v>Hilary</v>
      </c>
      <c r="H3849" s="6" t="str">
        <f>VLOOKUP(F3849,'Customer Info'!$A$1:$C$501,3,0)</f>
        <v>Holden</v>
      </c>
      <c r="I3849" s="6" t="str">
        <f>VLOOKUP(F3849,Customer,5,0)</f>
        <v>Mysore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270</v>
      </c>
      <c r="O3849" s="2">
        <v>30</v>
      </c>
      <c r="P3849" s="8">
        <f t="shared" si="297"/>
        <v>300</v>
      </c>
      <c r="Q3849" s="8">
        <f t="shared" si="298"/>
        <v>18</v>
      </c>
      <c r="R3849" s="2" t="s">
        <v>28</v>
      </c>
      <c r="S3849" s="24">
        <f t="shared" si="299"/>
        <v>0.02</v>
      </c>
    </row>
    <row r="3850" spans="1:19" x14ac:dyDescent="0.25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>VLOOKUP(F3850,'Customer Info'!$A:$B,2,0)</f>
        <v>Victoria</v>
      </c>
      <c r="H3850" s="6" t="str">
        <f>VLOOKUP(F3850,'Customer Info'!$A$1:$C$501,3,0)</f>
        <v>Brennan</v>
      </c>
      <c r="I3850" s="6" t="str">
        <f>VLOOKUP(F3850,Customer,5,0)</f>
        <v>Canberra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41010</v>
      </c>
      <c r="O3850" s="2">
        <v>86</v>
      </c>
      <c r="P3850" s="8">
        <f t="shared" si="297"/>
        <v>41096</v>
      </c>
      <c r="Q3850" s="8">
        <f t="shared" si="298"/>
        <v>3040</v>
      </c>
      <c r="R3850" s="2" t="s">
        <v>28</v>
      </c>
      <c r="S3850" s="24">
        <f t="shared" si="299"/>
        <v>7.0000000000000007E-2</v>
      </c>
    </row>
    <row r="3851" spans="1:19" x14ac:dyDescent="0.25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>VLOOKUP(F3851,'Customer Info'!$A:$B,2,0)</f>
        <v>Stuart</v>
      </c>
      <c r="H3851" s="6" t="str">
        <f>VLOOKUP(F3851,'Customer Info'!$A$1:$C$501,3,0)</f>
        <v>Calhoun</v>
      </c>
      <c r="I3851" s="6" t="str">
        <f>VLOOKUP(F3851,Customer,5,0)</f>
        <v>Raipur</v>
      </c>
      <c r="J3851" s="2">
        <v>185</v>
      </c>
      <c r="K3851" s="2">
        <v>174</v>
      </c>
      <c r="L3851" s="2">
        <v>1</v>
      </c>
      <c r="M3851" s="7">
        <f t="shared" ref="M3851:M3914" si="300">K3851*L3851</f>
        <v>174</v>
      </c>
      <c r="N3851" s="7">
        <f t="shared" ref="N3851:N3914" si="301">J3851*L3851</f>
        <v>185</v>
      </c>
      <c r="O3851" s="2">
        <v>30</v>
      </c>
      <c r="P3851" s="8">
        <f t="shared" ref="P3851:P3914" si="302">N3851+O3851</f>
        <v>215</v>
      </c>
      <c r="Q3851" s="8">
        <f t="shared" ref="Q3851:Q3914" si="303">N3851-M3851</f>
        <v>11</v>
      </c>
      <c r="R3851" s="2" t="s">
        <v>28</v>
      </c>
      <c r="S3851" s="24">
        <f t="shared" ref="S3851:S3914" si="304">VLOOKUP(N3851,$T$1:$U$7,2,TRUE)</f>
        <v>0.02</v>
      </c>
    </row>
    <row r="3852" spans="1:19" x14ac:dyDescent="0.25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>VLOOKUP(F3852,'Customer Info'!$A:$B,2,0)</f>
        <v>Clay</v>
      </c>
      <c r="H3852" s="6" t="str">
        <f>VLOOKUP(F3852,'Customer Info'!$A$1:$C$501,3,0)</f>
        <v>Cheatham</v>
      </c>
      <c r="I3852" s="6" t="str">
        <f>VLOOKUP(F3852,Customer,5,0)</f>
        <v>Freiburg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8">
        <f t="shared" si="302"/>
        <v>18156</v>
      </c>
      <c r="Q3852" s="8">
        <f t="shared" si="303"/>
        <v>1800</v>
      </c>
      <c r="R3852" s="2" t="s">
        <v>28</v>
      </c>
      <c r="S3852" s="24">
        <f t="shared" si="304"/>
        <v>0.05</v>
      </c>
    </row>
    <row r="3853" spans="1:19" x14ac:dyDescent="0.25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>VLOOKUP(F3853,'Customer Info'!$A:$B,2,0)</f>
        <v>Hunter</v>
      </c>
      <c r="H3853" s="6" t="str">
        <f>VLOOKUP(F3853,'Customer Info'!$A$1:$C$501,3,0)</f>
        <v>Lopez</v>
      </c>
      <c r="I3853" s="6" t="str">
        <f>VLOOKUP(F3853,Customer,5,0)</f>
        <v>Wollongong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8">
        <f t="shared" si="302"/>
        <v>367</v>
      </c>
      <c r="Q3853" s="8">
        <f t="shared" si="303"/>
        <v>25</v>
      </c>
      <c r="R3853" s="2" t="s">
        <v>50</v>
      </c>
      <c r="S3853" s="24">
        <f t="shared" si="304"/>
        <v>0.02</v>
      </c>
    </row>
    <row r="3854" spans="1:19" x14ac:dyDescent="0.25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>VLOOKUP(F3854,'Customer Info'!$A:$B,2,0)</f>
        <v>Laurel</v>
      </c>
      <c r="H3854" s="6" t="str">
        <f>VLOOKUP(F3854,'Customer Info'!$A$1:$C$501,3,0)</f>
        <v>Beltran</v>
      </c>
      <c r="I3854" s="6" t="str">
        <f>VLOOKUP(F3854,Customer,5,0)</f>
        <v>Bonn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8">
        <f t="shared" si="302"/>
        <v>9682</v>
      </c>
      <c r="Q3854" s="8">
        <f t="shared" si="303"/>
        <v>710</v>
      </c>
      <c r="R3854" s="2" t="s">
        <v>28</v>
      </c>
      <c r="S3854" s="24">
        <f t="shared" si="304"/>
        <v>0.05</v>
      </c>
    </row>
    <row r="3855" spans="1:19" x14ac:dyDescent="0.25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>VLOOKUP(F3855,'Customer Info'!$A:$B,2,0)</f>
        <v>Annie</v>
      </c>
      <c r="H3855" s="6" t="str">
        <f>VLOOKUP(F3855,'Customer Info'!$A$1:$C$501,3,0)</f>
        <v>Zypern</v>
      </c>
      <c r="I3855" s="6" t="str">
        <f>VLOOKUP(F3855,Customer,5,0)</f>
        <v>Brisbane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8">
        <f t="shared" si="302"/>
        <v>1813</v>
      </c>
      <c r="Q3855" s="8">
        <f t="shared" si="303"/>
        <v>180</v>
      </c>
      <c r="R3855" s="2" t="s">
        <v>50</v>
      </c>
      <c r="S3855" s="24">
        <f t="shared" si="304"/>
        <v>0.02</v>
      </c>
    </row>
    <row r="3856" spans="1:19" x14ac:dyDescent="0.25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>VLOOKUP(F3856,'Customer Info'!$A:$B,2,0)</f>
        <v>Kelly</v>
      </c>
      <c r="H3856" s="6" t="str">
        <f>VLOOKUP(F3856,'Customer Info'!$A$1:$C$501,3,0)</f>
        <v>Collister</v>
      </c>
      <c r="I3856" s="6" t="str">
        <f>VLOOKUP(F3856,Customer,5,0)</f>
        <v>Sydney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8738</v>
      </c>
      <c r="O3856" s="2">
        <v>63</v>
      </c>
      <c r="P3856" s="8">
        <f t="shared" si="302"/>
        <v>8801</v>
      </c>
      <c r="Q3856" s="8">
        <f t="shared" si="303"/>
        <v>576</v>
      </c>
      <c r="R3856" s="2" t="s">
        <v>28</v>
      </c>
      <c r="S3856" s="24">
        <f t="shared" si="304"/>
        <v>0.05</v>
      </c>
    </row>
    <row r="3857" spans="1:19" x14ac:dyDescent="0.25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>VLOOKUP(F3857,'Customer Info'!$A:$B,2,0)</f>
        <v>Aaron</v>
      </c>
      <c r="H3857" s="6" t="str">
        <f>VLOOKUP(F3857,'Customer Info'!$A$1:$C$501,3,0)</f>
        <v>Bergman</v>
      </c>
      <c r="I3857" s="6" t="str">
        <f>VLOOKUP(F3857,Customer,5,0)</f>
        <v>Halle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3053</v>
      </c>
      <c r="O3857" s="2">
        <v>35</v>
      </c>
      <c r="P3857" s="8">
        <f t="shared" si="302"/>
        <v>3088</v>
      </c>
      <c r="Q3857" s="8">
        <f t="shared" si="303"/>
        <v>116</v>
      </c>
      <c r="R3857" s="2" t="s">
        <v>28</v>
      </c>
      <c r="S3857" s="24">
        <f t="shared" si="304"/>
        <v>0.02</v>
      </c>
    </row>
    <row r="3858" spans="1:19" x14ac:dyDescent="0.25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>VLOOKUP(F3858,'Customer Info'!$A:$B,2,0)</f>
        <v>Rachel</v>
      </c>
      <c r="H3858" s="6" t="str">
        <f>VLOOKUP(F3858,'Customer Info'!$A$1:$C$501,3,0)</f>
        <v>Payne</v>
      </c>
      <c r="I3858" s="6" t="str">
        <f>VLOOKUP(F3858,Customer,5,0)</f>
        <v>Fuzhou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26901</v>
      </c>
      <c r="O3858" s="2">
        <v>52</v>
      </c>
      <c r="P3858" s="8">
        <f t="shared" si="302"/>
        <v>26953</v>
      </c>
      <c r="Q3858" s="8">
        <f t="shared" si="303"/>
        <v>2448</v>
      </c>
      <c r="R3858" s="2" t="s">
        <v>50</v>
      </c>
      <c r="S3858" s="24">
        <f t="shared" si="304"/>
        <v>7.0000000000000007E-2</v>
      </c>
    </row>
    <row r="3859" spans="1:19" x14ac:dyDescent="0.25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>VLOOKUP(F3859,'Customer Info'!$A:$B,2,0)</f>
        <v>Adam</v>
      </c>
      <c r="H3859" s="6" t="str">
        <f>VLOOKUP(F3859,'Customer Info'!$A$1:$C$501,3,0)</f>
        <v>Bellavance</v>
      </c>
      <c r="I3859" s="6" t="str">
        <f>VLOOKUP(F3859,Customer,5,0)</f>
        <v>Kaiyuan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1032</v>
      </c>
      <c r="O3859" s="2">
        <v>21</v>
      </c>
      <c r="P3859" s="8">
        <f t="shared" si="302"/>
        <v>1053</v>
      </c>
      <c r="Q3859" s="8">
        <f t="shared" si="303"/>
        <v>86</v>
      </c>
      <c r="R3859" s="2" t="s">
        <v>28</v>
      </c>
      <c r="S3859" s="24">
        <f t="shared" si="304"/>
        <v>0.02</v>
      </c>
    </row>
    <row r="3860" spans="1:19" x14ac:dyDescent="0.25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>VLOOKUP(F3860,'Customer Info'!$A:$B,2,0)</f>
        <v>Patrick</v>
      </c>
      <c r="H3860" s="6" t="str">
        <f>VLOOKUP(F3860,'Customer Info'!$A$1:$C$501,3,0)</f>
        <v>Bzostek</v>
      </c>
      <c r="I3860" s="6" t="str">
        <f>VLOOKUP(F3860,Customer,5,0)</f>
        <v>Brisbane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22524</v>
      </c>
      <c r="O3860" s="2">
        <v>76</v>
      </c>
      <c r="P3860" s="8">
        <f t="shared" si="302"/>
        <v>22600</v>
      </c>
      <c r="Q3860" s="8">
        <f t="shared" si="303"/>
        <v>1656</v>
      </c>
      <c r="R3860" s="2" t="s">
        <v>50</v>
      </c>
      <c r="S3860" s="24">
        <f t="shared" si="304"/>
        <v>0.05</v>
      </c>
    </row>
    <row r="3861" spans="1:19" x14ac:dyDescent="0.25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>VLOOKUP(F3861,'Customer Info'!$A:$B,2,0)</f>
        <v>Bill</v>
      </c>
      <c r="H3861" s="6" t="str">
        <f>VLOOKUP(F3861,'Customer Info'!$A$1:$C$501,3,0)</f>
        <v>Shonely</v>
      </c>
      <c r="I3861" s="6" t="str">
        <f>VLOOKUP(F3861,Customer,5,0)</f>
        <v>Jinjiang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12575</v>
      </c>
      <c r="O3861" s="2">
        <v>24</v>
      </c>
      <c r="P3861" s="8">
        <f t="shared" si="302"/>
        <v>12599</v>
      </c>
      <c r="Q3861" s="8">
        <f t="shared" si="303"/>
        <v>590</v>
      </c>
      <c r="R3861" s="2" t="s">
        <v>28</v>
      </c>
      <c r="S3861" s="24">
        <f t="shared" si="304"/>
        <v>0.05</v>
      </c>
    </row>
    <row r="3862" spans="1:19" x14ac:dyDescent="0.25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>VLOOKUP(F3862,'Customer Info'!$A:$B,2,0)</f>
        <v>Adrian</v>
      </c>
      <c r="H3862" s="6" t="str">
        <f>VLOOKUP(F3862,'Customer Info'!$A$1:$C$501,3,0)</f>
        <v>Barton</v>
      </c>
      <c r="I3862" s="6" t="str">
        <f>VLOOKUP(F3862,Customer,5,0)</f>
        <v>Wetzlar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183</v>
      </c>
      <c r="O3862" s="2">
        <v>30</v>
      </c>
      <c r="P3862" s="8">
        <f t="shared" si="302"/>
        <v>213</v>
      </c>
      <c r="Q3862" s="8">
        <f t="shared" si="303"/>
        <v>15</v>
      </c>
      <c r="R3862" s="2" t="s">
        <v>56</v>
      </c>
      <c r="S3862" s="24">
        <f t="shared" si="304"/>
        <v>0.02</v>
      </c>
    </row>
    <row r="3863" spans="1:19" x14ac:dyDescent="0.25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>VLOOKUP(F3863,'Customer Info'!$A:$B,2,0)</f>
        <v>Anthony</v>
      </c>
      <c r="H3863" s="6" t="str">
        <f>VLOOKUP(F3863,'Customer Info'!$A$1:$C$501,3,0)</f>
        <v>Rawles</v>
      </c>
      <c r="I3863" s="6" t="str">
        <f>VLOOKUP(F3863,Customer,5,0)</f>
        <v>Samarinda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345</v>
      </c>
      <c r="O3863" s="2">
        <v>10</v>
      </c>
      <c r="P3863" s="8">
        <f t="shared" si="302"/>
        <v>355</v>
      </c>
      <c r="Q3863" s="8">
        <f t="shared" si="303"/>
        <v>25</v>
      </c>
      <c r="R3863" s="2" t="s">
        <v>26</v>
      </c>
      <c r="S3863" s="24">
        <f t="shared" si="304"/>
        <v>0.02</v>
      </c>
    </row>
    <row r="3864" spans="1:19" x14ac:dyDescent="0.25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>VLOOKUP(F3864,'Customer Info'!$A:$B,2,0)</f>
        <v>Alyssa</v>
      </c>
      <c r="H3864" s="6" t="str">
        <f>VLOOKUP(F3864,'Customer Info'!$A$1:$C$501,3,0)</f>
        <v>Tate</v>
      </c>
      <c r="I3864" s="6" t="str">
        <f>VLOOKUP(F3864,Customer,5,0)</f>
        <v>Wafangdian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14272</v>
      </c>
      <c r="O3864" s="2">
        <v>96</v>
      </c>
      <c r="P3864" s="8">
        <f t="shared" si="302"/>
        <v>14368</v>
      </c>
      <c r="Q3864" s="8">
        <f t="shared" si="303"/>
        <v>920</v>
      </c>
      <c r="R3864" s="2" t="s">
        <v>28</v>
      </c>
      <c r="S3864" s="24">
        <f t="shared" si="304"/>
        <v>0.05</v>
      </c>
    </row>
    <row r="3865" spans="1:19" x14ac:dyDescent="0.25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>VLOOKUP(F3865,'Customer Info'!$A:$B,2,0)</f>
        <v>Dennis</v>
      </c>
      <c r="H3865" s="6" t="str">
        <f>VLOOKUP(F3865,'Customer Info'!$A$1:$C$501,3,0)</f>
        <v>Pardue</v>
      </c>
      <c r="I3865" s="6" t="str">
        <f>VLOOKUP(F3865,Customer,5,0)</f>
        <v>Pekalongan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5502</v>
      </c>
      <c r="O3865" s="2">
        <v>21</v>
      </c>
      <c r="P3865" s="8">
        <f t="shared" si="302"/>
        <v>5523</v>
      </c>
      <c r="Q3865" s="8">
        <f t="shared" si="303"/>
        <v>354</v>
      </c>
      <c r="R3865" s="2" t="s">
        <v>50</v>
      </c>
      <c r="S3865" s="24">
        <f t="shared" si="304"/>
        <v>0.05</v>
      </c>
    </row>
    <row r="3866" spans="1:19" x14ac:dyDescent="0.25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>VLOOKUP(F3866,'Customer Info'!$A:$B,2,0)</f>
        <v>Rick</v>
      </c>
      <c r="H3866" s="6" t="str">
        <f>VLOOKUP(F3866,'Customer Info'!$A$1:$C$501,3,0)</f>
        <v>Duston</v>
      </c>
      <c r="I3866" s="6" t="str">
        <f>VLOOKUP(F3866,Customer,5,0)</f>
        <v>Bhiwandi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1605</v>
      </c>
      <c r="O3866" s="2">
        <v>62</v>
      </c>
      <c r="P3866" s="8">
        <f t="shared" si="302"/>
        <v>1667</v>
      </c>
      <c r="Q3866" s="8">
        <f t="shared" si="303"/>
        <v>75</v>
      </c>
      <c r="R3866" s="2" t="s">
        <v>28</v>
      </c>
      <c r="S3866" s="24">
        <f t="shared" si="304"/>
        <v>0.02</v>
      </c>
    </row>
    <row r="3867" spans="1:19" x14ac:dyDescent="0.25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>VLOOKUP(F3867,'Customer Info'!$A:$B,2,0)</f>
        <v>Anthony</v>
      </c>
      <c r="H3867" s="6" t="str">
        <f>VLOOKUP(F3867,'Customer Info'!$A$1:$C$501,3,0)</f>
        <v>O'Donnell</v>
      </c>
      <c r="I3867" s="6" t="str">
        <f>VLOOKUP(F3867,Customer,5,0)</f>
        <v>Perth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2882</v>
      </c>
      <c r="O3867" s="2">
        <v>53</v>
      </c>
      <c r="P3867" s="8">
        <f t="shared" si="302"/>
        <v>2935</v>
      </c>
      <c r="Q3867" s="8">
        <f t="shared" si="303"/>
        <v>162</v>
      </c>
      <c r="R3867" s="2" t="s">
        <v>50</v>
      </c>
      <c r="S3867" s="24">
        <f t="shared" si="304"/>
        <v>0.02</v>
      </c>
    </row>
    <row r="3868" spans="1:19" x14ac:dyDescent="0.25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>VLOOKUP(F3868,'Customer Info'!$A:$B,2,0)</f>
        <v>Eric</v>
      </c>
      <c r="H3868" s="6" t="str">
        <f>VLOOKUP(F3868,'Customer Info'!$A$1:$C$501,3,0)</f>
        <v>Barreto</v>
      </c>
      <c r="I3868" s="6" t="str">
        <f>VLOOKUP(F3868,Customer,5,0)</f>
        <v>Liaoyang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8912</v>
      </c>
      <c r="O3868" s="2">
        <v>61</v>
      </c>
      <c r="P3868" s="8">
        <f t="shared" si="302"/>
        <v>8973</v>
      </c>
      <c r="Q3868" s="8">
        <f t="shared" si="303"/>
        <v>340</v>
      </c>
      <c r="R3868" s="2" t="s">
        <v>50</v>
      </c>
      <c r="S3868" s="24">
        <f t="shared" si="304"/>
        <v>0.05</v>
      </c>
    </row>
    <row r="3869" spans="1:19" x14ac:dyDescent="0.25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>VLOOKUP(F3869,'Customer Info'!$A:$B,2,0)</f>
        <v>Bill</v>
      </c>
      <c r="H3869" s="6" t="str">
        <f>VLOOKUP(F3869,'Customer Info'!$A$1:$C$501,3,0)</f>
        <v>Eplett</v>
      </c>
      <c r="I3869" s="6" t="str">
        <f>VLOOKUP(F3869,Customer,5,0)</f>
        <v>Newcastle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33124</v>
      </c>
      <c r="O3869" s="2">
        <v>48</v>
      </c>
      <c r="P3869" s="8">
        <f t="shared" si="302"/>
        <v>33172</v>
      </c>
      <c r="Q3869" s="8">
        <f t="shared" si="303"/>
        <v>2432</v>
      </c>
      <c r="R3869" s="2" t="s">
        <v>28</v>
      </c>
      <c r="S3869" s="24">
        <f t="shared" si="304"/>
        <v>7.0000000000000007E-2</v>
      </c>
    </row>
    <row r="3870" spans="1:19" x14ac:dyDescent="0.25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>VLOOKUP(F3870,'Customer Info'!$A:$B,2,0)</f>
        <v>Hallie</v>
      </c>
      <c r="H3870" s="6" t="str">
        <f>VLOOKUP(F3870,'Customer Info'!$A$1:$C$501,3,0)</f>
        <v>Redmond</v>
      </c>
      <c r="I3870" s="6" t="str">
        <f>VLOOKUP(F3870,Customer,5,0)</f>
        <v>Caloundra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244</v>
      </c>
      <c r="O3870" s="2">
        <v>10</v>
      </c>
      <c r="P3870" s="8">
        <f t="shared" si="302"/>
        <v>254</v>
      </c>
      <c r="Q3870" s="8">
        <f t="shared" si="303"/>
        <v>20</v>
      </c>
      <c r="R3870" s="2" t="s">
        <v>28</v>
      </c>
      <c r="S3870" s="24">
        <f t="shared" si="304"/>
        <v>0.02</v>
      </c>
    </row>
    <row r="3871" spans="1:19" x14ac:dyDescent="0.25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>VLOOKUP(F3871,'Customer Info'!$A:$B,2,0)</f>
        <v>Justin</v>
      </c>
      <c r="H3871" s="6" t="str">
        <f>VLOOKUP(F3871,'Customer Info'!$A$1:$C$501,3,0)</f>
        <v>Hirsh</v>
      </c>
      <c r="I3871" s="6" t="str">
        <f>VLOOKUP(F3871,Customer,5,0)</f>
        <v>Surakarta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2481</v>
      </c>
      <c r="O3871" s="2">
        <v>53</v>
      </c>
      <c r="P3871" s="8">
        <f t="shared" si="302"/>
        <v>2534</v>
      </c>
      <c r="Q3871" s="8">
        <f t="shared" si="303"/>
        <v>117</v>
      </c>
      <c r="R3871" s="2" t="s">
        <v>50</v>
      </c>
      <c r="S3871" s="24">
        <f t="shared" si="304"/>
        <v>0.02</v>
      </c>
    </row>
    <row r="3872" spans="1:19" x14ac:dyDescent="0.25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>VLOOKUP(F3872,'Customer Info'!$A:$B,2,0)</f>
        <v>Kristina</v>
      </c>
      <c r="H3872" s="6" t="str">
        <f>VLOOKUP(F3872,'Customer Info'!$A$1:$C$501,3,0)</f>
        <v>Nunn</v>
      </c>
      <c r="I3872" s="6" t="str">
        <f>VLOOKUP(F3872,Customer,5,0)</f>
        <v>Sydney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1530</v>
      </c>
      <c r="O3872" s="2">
        <v>77</v>
      </c>
      <c r="P3872" s="8">
        <f t="shared" si="302"/>
        <v>1607</v>
      </c>
      <c r="Q3872" s="8">
        <f t="shared" si="303"/>
        <v>128</v>
      </c>
      <c r="R3872" s="2" t="s">
        <v>28</v>
      </c>
      <c r="S3872" s="24">
        <f t="shared" si="304"/>
        <v>0.02</v>
      </c>
    </row>
    <row r="3873" spans="1:19" x14ac:dyDescent="0.25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>VLOOKUP(F3873,'Customer Info'!$A:$B,2,0)</f>
        <v>Greg</v>
      </c>
      <c r="H3873" s="6" t="str">
        <f>VLOOKUP(F3873,'Customer Info'!$A$1:$C$501,3,0)</f>
        <v>Hansen</v>
      </c>
      <c r="I3873" s="6" t="str">
        <f>VLOOKUP(F3873,Customer,5,0)</f>
        <v>Canberra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69</v>
      </c>
      <c r="O3873" s="2">
        <v>10</v>
      </c>
      <c r="P3873" s="8">
        <f t="shared" si="302"/>
        <v>79</v>
      </c>
      <c r="Q3873" s="8">
        <f t="shared" si="303"/>
        <v>5</v>
      </c>
      <c r="R3873" s="2" t="s">
        <v>50</v>
      </c>
      <c r="S3873" s="24">
        <f t="shared" si="304"/>
        <v>0.02</v>
      </c>
    </row>
    <row r="3874" spans="1:19" x14ac:dyDescent="0.25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>VLOOKUP(F3874,'Customer Info'!$A:$B,2,0)</f>
        <v>Alex</v>
      </c>
      <c r="H3874" s="6" t="str">
        <f>VLOOKUP(F3874,'Customer Info'!$A$1:$C$501,3,0)</f>
        <v>Avila</v>
      </c>
      <c r="I3874" s="6" t="str">
        <f>VLOOKUP(F3874,Customer,5,0)</f>
        <v>Newcastle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23685</v>
      </c>
      <c r="O3874" s="2">
        <v>31</v>
      </c>
      <c r="P3874" s="8">
        <f t="shared" si="302"/>
        <v>23716</v>
      </c>
      <c r="Q3874" s="8">
        <f t="shared" si="303"/>
        <v>1320</v>
      </c>
      <c r="R3874" s="2" t="s">
        <v>50</v>
      </c>
      <c r="S3874" s="24">
        <f t="shared" si="304"/>
        <v>0.05</v>
      </c>
    </row>
    <row r="3875" spans="1:19" x14ac:dyDescent="0.25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>VLOOKUP(F3875,'Customer Info'!$A:$B,2,0)</f>
        <v>Harry</v>
      </c>
      <c r="H3875" s="6" t="str">
        <f>VLOOKUP(F3875,'Customer Info'!$A$1:$C$501,3,0)</f>
        <v>Marie</v>
      </c>
      <c r="I3875" s="6" t="str">
        <f>VLOOKUP(F3875,Customer,5,0)</f>
        <v>Dortmund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810</v>
      </c>
      <c r="O3875" s="2">
        <v>30</v>
      </c>
      <c r="P3875" s="8">
        <f t="shared" si="302"/>
        <v>840</v>
      </c>
      <c r="Q3875" s="8">
        <f t="shared" si="303"/>
        <v>54</v>
      </c>
      <c r="R3875" s="2" t="s">
        <v>28</v>
      </c>
      <c r="S3875" s="24">
        <f t="shared" si="304"/>
        <v>0.02</v>
      </c>
    </row>
    <row r="3876" spans="1:19" x14ac:dyDescent="0.25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>VLOOKUP(F3876,'Customer Info'!$A:$B,2,0)</f>
        <v>Kelly</v>
      </c>
      <c r="H3876" s="6" t="str">
        <f>VLOOKUP(F3876,'Customer Info'!$A$1:$C$501,3,0)</f>
        <v>Collister</v>
      </c>
      <c r="I3876" s="6" t="str">
        <f>VLOOKUP(F3876,Customer,5,0)</f>
        <v>Tangshan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1836</v>
      </c>
      <c r="O3876" s="2">
        <v>76</v>
      </c>
      <c r="P3876" s="8">
        <f t="shared" si="302"/>
        <v>1912</v>
      </c>
      <c r="Q3876" s="8">
        <f t="shared" si="303"/>
        <v>118</v>
      </c>
      <c r="R3876" s="2" t="s">
        <v>28</v>
      </c>
      <c r="S3876" s="24">
        <f t="shared" si="304"/>
        <v>0.02</v>
      </c>
    </row>
    <row r="3877" spans="1:19" x14ac:dyDescent="0.25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>VLOOKUP(F3877,'Customer Info'!$A:$B,2,0)</f>
        <v>Kelly</v>
      </c>
      <c r="H3877" s="6" t="str">
        <f>VLOOKUP(F3877,'Customer Info'!$A$1:$C$501,3,0)</f>
        <v>Collister</v>
      </c>
      <c r="I3877" s="6" t="str">
        <f>VLOOKUP(F3877,Customer,5,0)</f>
        <v>Tangshan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174</v>
      </c>
      <c r="O3877" s="2">
        <v>10</v>
      </c>
      <c r="P3877" s="8">
        <f t="shared" si="302"/>
        <v>184</v>
      </c>
      <c r="Q3877" s="8">
        <f t="shared" si="303"/>
        <v>14</v>
      </c>
      <c r="R3877" s="2" t="s">
        <v>28</v>
      </c>
      <c r="S3877" s="24">
        <f t="shared" si="304"/>
        <v>0.02</v>
      </c>
    </row>
    <row r="3878" spans="1:19" x14ac:dyDescent="0.25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>VLOOKUP(F3878,'Customer Info'!$A:$B,2,0)</f>
        <v>Logan</v>
      </c>
      <c r="H3878" s="6" t="str">
        <f>VLOOKUP(F3878,'Customer Info'!$A$1:$C$501,3,0)</f>
        <v>Currie</v>
      </c>
      <c r="I3878" s="6" t="str">
        <f>VLOOKUP(F3878,Customer,5,0)</f>
        <v>Amravati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1136</v>
      </c>
      <c r="O3878" s="2">
        <v>30</v>
      </c>
      <c r="P3878" s="8">
        <f t="shared" si="302"/>
        <v>1166</v>
      </c>
      <c r="Q3878" s="8">
        <f t="shared" si="303"/>
        <v>64</v>
      </c>
      <c r="R3878" s="2" t="s">
        <v>28</v>
      </c>
      <c r="S3878" s="24">
        <f t="shared" si="304"/>
        <v>0.02</v>
      </c>
    </row>
    <row r="3879" spans="1:19" x14ac:dyDescent="0.25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>VLOOKUP(F3879,'Customer Info'!$A:$B,2,0)</f>
        <v>Trudy</v>
      </c>
      <c r="H3879" s="6" t="str">
        <f>VLOOKUP(F3879,'Customer Info'!$A$1:$C$501,3,0)</f>
        <v>Glocke</v>
      </c>
      <c r="I3879" s="6" t="str">
        <f>VLOOKUP(F3879,Customer,5,0)</f>
        <v>Huaiyin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246</v>
      </c>
      <c r="O3879" s="2">
        <v>30</v>
      </c>
      <c r="P3879" s="8">
        <f t="shared" si="302"/>
        <v>276</v>
      </c>
      <c r="Q3879" s="8">
        <f t="shared" si="303"/>
        <v>16</v>
      </c>
      <c r="R3879" s="2" t="s">
        <v>28</v>
      </c>
      <c r="S3879" s="24">
        <f t="shared" si="304"/>
        <v>0.02</v>
      </c>
    </row>
    <row r="3880" spans="1:19" x14ac:dyDescent="0.25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>VLOOKUP(F3880,'Customer Info'!$A:$B,2,0)</f>
        <v>Lindsay</v>
      </c>
      <c r="H3880" s="6" t="str">
        <f>VLOOKUP(F3880,'Customer Info'!$A$1:$C$501,3,0)</f>
        <v>Williams</v>
      </c>
      <c r="I3880" s="6" t="str">
        <f>VLOOKUP(F3880,Customer,5,0)</f>
        <v>Akola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3375</v>
      </c>
      <c r="O3880" s="2">
        <v>91</v>
      </c>
      <c r="P3880" s="8">
        <f t="shared" si="302"/>
        <v>3466</v>
      </c>
      <c r="Q3880" s="8">
        <f t="shared" si="303"/>
        <v>255</v>
      </c>
      <c r="R3880" s="2" t="s">
        <v>28</v>
      </c>
      <c r="S3880" s="24">
        <f t="shared" si="304"/>
        <v>0.02</v>
      </c>
    </row>
    <row r="3881" spans="1:19" x14ac:dyDescent="0.25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>VLOOKUP(F3881,'Customer Info'!$A:$B,2,0)</f>
        <v>Rob</v>
      </c>
      <c r="H3881" s="6" t="str">
        <f>VLOOKUP(F3881,'Customer Info'!$A$1:$C$501,3,0)</f>
        <v>Williams</v>
      </c>
      <c r="I3881" s="6" t="str">
        <f>VLOOKUP(F3881,Customer,5,0)</f>
        <v>Wodonga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1368</v>
      </c>
      <c r="O3881" s="2">
        <v>59</v>
      </c>
      <c r="P3881" s="8">
        <f t="shared" si="302"/>
        <v>1427</v>
      </c>
      <c r="Q3881" s="8">
        <f t="shared" si="303"/>
        <v>78</v>
      </c>
      <c r="R3881" s="2" t="s">
        <v>28</v>
      </c>
      <c r="S3881" s="24">
        <f t="shared" si="304"/>
        <v>0.02</v>
      </c>
    </row>
    <row r="3882" spans="1:19" x14ac:dyDescent="0.25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>VLOOKUP(F3882,'Customer Info'!$A:$B,2,0)</f>
        <v>Brenda</v>
      </c>
      <c r="H3882" s="6" t="str">
        <f>VLOOKUP(F3882,'Customer Info'!$A$1:$C$501,3,0)</f>
        <v>Bowman</v>
      </c>
      <c r="I3882" s="6" t="str">
        <f>VLOOKUP(F3882,Customer,5,0)</f>
        <v>Perth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3455</v>
      </c>
      <c r="O3882" s="2">
        <v>33</v>
      </c>
      <c r="P3882" s="8">
        <f t="shared" si="302"/>
        <v>3488</v>
      </c>
      <c r="Q3882" s="8">
        <f t="shared" si="303"/>
        <v>225</v>
      </c>
      <c r="R3882" s="2" t="s">
        <v>50</v>
      </c>
      <c r="S3882" s="24">
        <f t="shared" si="304"/>
        <v>0.02</v>
      </c>
    </row>
    <row r="3883" spans="1:19" x14ac:dyDescent="0.25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>VLOOKUP(F3883,'Customer Info'!$A:$B,2,0)</f>
        <v>Craig</v>
      </c>
      <c r="H3883" s="6" t="str">
        <f>VLOOKUP(F3883,'Customer Info'!$A$1:$C$501,3,0)</f>
        <v>Leslie</v>
      </c>
      <c r="I3883" s="6" t="str">
        <f>VLOOKUP(F3883,Customer,5,0)</f>
        <v>Wetzlar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2826</v>
      </c>
      <c r="O3883" s="2">
        <v>81</v>
      </c>
      <c r="P3883" s="8">
        <f t="shared" si="302"/>
        <v>2907</v>
      </c>
      <c r="Q3883" s="8">
        <f t="shared" si="303"/>
        <v>158</v>
      </c>
      <c r="R3883" s="2" t="s">
        <v>50</v>
      </c>
      <c r="S3883" s="24">
        <f t="shared" si="304"/>
        <v>0.02</v>
      </c>
    </row>
    <row r="3884" spans="1:19" x14ac:dyDescent="0.25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>VLOOKUP(F3884,'Customer Info'!$A:$B,2,0)</f>
        <v>Alejandro</v>
      </c>
      <c r="H3884" s="6" t="str">
        <f>VLOOKUP(F3884,'Customer Info'!$A$1:$C$501,3,0)</f>
        <v>Grove</v>
      </c>
      <c r="I3884" s="6" t="str">
        <f>VLOOKUP(F3884,Customer,5,0)</f>
        <v>Whyalla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106050</v>
      </c>
      <c r="O3884" s="2">
        <v>62</v>
      </c>
      <c r="P3884" s="8">
        <f t="shared" si="302"/>
        <v>106112</v>
      </c>
      <c r="Q3884" s="8">
        <f t="shared" si="303"/>
        <v>6939</v>
      </c>
      <c r="R3884" s="2" t="s">
        <v>50</v>
      </c>
      <c r="S3884" s="24">
        <f t="shared" si="304"/>
        <v>0.12</v>
      </c>
    </row>
    <row r="3885" spans="1:19" x14ac:dyDescent="0.25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>VLOOKUP(F3885,'Customer Info'!$A:$B,2,0)</f>
        <v>Toby</v>
      </c>
      <c r="H3885" s="6" t="str">
        <f>VLOOKUP(F3885,'Customer Info'!$A$1:$C$501,3,0)</f>
        <v>Braunhardt</v>
      </c>
      <c r="I3885" s="6" t="str">
        <f>VLOOKUP(F3885,Customer,5,0)</f>
        <v>Perth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7236</v>
      </c>
      <c r="O3885" s="2">
        <v>65</v>
      </c>
      <c r="P3885" s="8">
        <f t="shared" si="302"/>
        <v>7301</v>
      </c>
      <c r="Q3885" s="8">
        <f t="shared" si="303"/>
        <v>472</v>
      </c>
      <c r="R3885" s="2" t="s">
        <v>50</v>
      </c>
      <c r="S3885" s="24">
        <f t="shared" si="304"/>
        <v>0.05</v>
      </c>
    </row>
    <row r="3886" spans="1:19" x14ac:dyDescent="0.25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>VLOOKUP(F3886,'Customer Info'!$A:$B,2,0)</f>
        <v>Roland</v>
      </c>
      <c r="H3886" s="6" t="str">
        <f>VLOOKUP(F3886,'Customer Info'!$A$1:$C$501,3,0)</f>
        <v>Murray</v>
      </c>
      <c r="I3886" s="6" t="str">
        <f>VLOOKUP(F3886,Customer,5,0)</f>
        <v>Frankfurt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1622</v>
      </c>
      <c r="O3886" s="2">
        <v>53</v>
      </c>
      <c r="P3886" s="8">
        <f t="shared" si="302"/>
        <v>1675</v>
      </c>
      <c r="Q3886" s="8">
        <f t="shared" si="303"/>
        <v>62</v>
      </c>
      <c r="R3886" s="2" t="s">
        <v>56</v>
      </c>
      <c r="S3886" s="24">
        <f t="shared" si="304"/>
        <v>0.02</v>
      </c>
    </row>
    <row r="3887" spans="1:19" x14ac:dyDescent="0.25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>VLOOKUP(F3887,'Customer Info'!$A:$B,2,0)</f>
        <v>Claire</v>
      </c>
      <c r="H3887" s="6" t="str">
        <f>VLOOKUP(F3887,'Customer Info'!$A$1:$C$501,3,0)</f>
        <v>Gute</v>
      </c>
      <c r="I3887" s="6" t="str">
        <f>VLOOKUP(F3887,Customer,5,0)</f>
        <v>Shenzhen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834</v>
      </c>
      <c r="O3887" s="2">
        <v>61</v>
      </c>
      <c r="P3887" s="8">
        <f t="shared" si="302"/>
        <v>895</v>
      </c>
      <c r="Q3887" s="8">
        <f t="shared" si="303"/>
        <v>50</v>
      </c>
      <c r="R3887" s="2" t="s">
        <v>28</v>
      </c>
      <c r="S3887" s="24">
        <f t="shared" si="304"/>
        <v>0.02</v>
      </c>
    </row>
    <row r="3888" spans="1:19" x14ac:dyDescent="0.25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>VLOOKUP(F3888,'Customer Info'!$A:$B,2,0)</f>
        <v>Ken</v>
      </c>
      <c r="H3888" s="6" t="str">
        <f>VLOOKUP(F3888,'Customer Info'!$A$1:$C$501,3,0)</f>
        <v>Heidel</v>
      </c>
      <c r="I3888" s="6" t="str">
        <f>VLOOKUP(F3888,Customer,5,0)</f>
        <v>Tegal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48696</v>
      </c>
      <c r="O3888" s="2">
        <v>60</v>
      </c>
      <c r="P3888" s="8">
        <f t="shared" si="302"/>
        <v>48756</v>
      </c>
      <c r="Q3888" s="8">
        <f t="shared" si="303"/>
        <v>2232</v>
      </c>
      <c r="R3888" s="2" t="s">
        <v>28</v>
      </c>
      <c r="S3888" s="24">
        <f t="shared" si="304"/>
        <v>7.0000000000000007E-2</v>
      </c>
    </row>
    <row r="3889" spans="1:19" x14ac:dyDescent="0.25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>VLOOKUP(F3889,'Customer Info'!$A:$B,2,0)</f>
        <v>Benjamin</v>
      </c>
      <c r="H3889" s="6" t="str">
        <f>VLOOKUP(F3889,'Customer Info'!$A$1:$C$501,3,0)</f>
        <v>Patterson</v>
      </c>
      <c r="I3889" s="6" t="str">
        <f>VLOOKUP(F3889,Customer,5,0)</f>
        <v>Tamworth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834</v>
      </c>
      <c r="O3889" s="2">
        <v>25</v>
      </c>
      <c r="P3889" s="8">
        <f t="shared" si="302"/>
        <v>859</v>
      </c>
      <c r="Q3889" s="8">
        <f t="shared" si="303"/>
        <v>50</v>
      </c>
      <c r="R3889" s="2" t="s">
        <v>28</v>
      </c>
      <c r="S3889" s="24">
        <f t="shared" si="304"/>
        <v>0.02</v>
      </c>
    </row>
    <row r="3890" spans="1:19" x14ac:dyDescent="0.25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>VLOOKUP(F3890,'Customer Info'!$A:$B,2,0)</f>
        <v>Susan</v>
      </c>
      <c r="H3890" s="6" t="str">
        <f>VLOOKUP(F3890,'Customer Info'!$A$1:$C$501,3,0)</f>
        <v>MacKendrick</v>
      </c>
      <c r="I3890" s="6" t="str">
        <f>VLOOKUP(F3890,Customer,5,0)</f>
        <v>Brisbane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2079</v>
      </c>
      <c r="O3890" s="2">
        <v>52</v>
      </c>
      <c r="P3890" s="8">
        <f t="shared" si="302"/>
        <v>2131</v>
      </c>
      <c r="Q3890" s="8">
        <f t="shared" si="303"/>
        <v>78</v>
      </c>
      <c r="R3890" s="2" t="s">
        <v>28</v>
      </c>
      <c r="S3890" s="24">
        <f t="shared" si="304"/>
        <v>0.02</v>
      </c>
    </row>
    <row r="3891" spans="1:19" x14ac:dyDescent="0.25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>VLOOKUP(F3891,'Customer Info'!$A:$B,2,0)</f>
        <v>Matt</v>
      </c>
      <c r="H3891" s="6" t="str">
        <f>VLOOKUP(F3891,'Customer Info'!$A$1:$C$501,3,0)</f>
        <v>Collins</v>
      </c>
      <c r="I3891" s="6" t="str">
        <f>VLOOKUP(F3891,Customer,5,0)</f>
        <v>Mumbai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180</v>
      </c>
      <c r="O3891" s="2">
        <v>10</v>
      </c>
      <c r="P3891" s="8">
        <f t="shared" si="302"/>
        <v>190</v>
      </c>
      <c r="Q3891" s="8">
        <f t="shared" si="303"/>
        <v>9</v>
      </c>
      <c r="R3891" s="2" t="s">
        <v>28</v>
      </c>
      <c r="S3891" s="24">
        <f t="shared" si="304"/>
        <v>0.02</v>
      </c>
    </row>
    <row r="3892" spans="1:19" x14ac:dyDescent="0.25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>VLOOKUP(F3892,'Customer Info'!$A:$B,2,0)</f>
        <v>Dean</v>
      </c>
      <c r="H3892" s="6" t="str">
        <f>VLOOKUP(F3892,'Customer Info'!$A$1:$C$501,3,0)</f>
        <v>Katz</v>
      </c>
      <c r="I3892" s="6" t="str">
        <f>VLOOKUP(F3892,Customer,5,0)</f>
        <v>Changzhou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139</v>
      </c>
      <c r="O3892" s="2">
        <v>30</v>
      </c>
      <c r="P3892" s="8">
        <f t="shared" si="302"/>
        <v>169</v>
      </c>
      <c r="Q3892" s="8">
        <f t="shared" si="303"/>
        <v>6</v>
      </c>
      <c r="R3892" s="2" t="s">
        <v>28</v>
      </c>
      <c r="S3892" s="24">
        <f t="shared" si="304"/>
        <v>0.02</v>
      </c>
    </row>
    <row r="3893" spans="1:19" x14ac:dyDescent="0.25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>VLOOKUP(F3893,'Customer Info'!$A:$B,2,0)</f>
        <v>Bill</v>
      </c>
      <c r="H3893" s="6" t="str">
        <f>VLOOKUP(F3893,'Customer Info'!$A$1:$C$501,3,0)</f>
        <v>Donatelli</v>
      </c>
      <c r="I3893" s="6" t="str">
        <f>VLOOKUP(F3893,Customer,5,0)</f>
        <v>Kamarhati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123</v>
      </c>
      <c r="O3893" s="2">
        <v>30</v>
      </c>
      <c r="P3893" s="8">
        <f t="shared" si="302"/>
        <v>153</v>
      </c>
      <c r="Q3893" s="8">
        <f t="shared" si="303"/>
        <v>8</v>
      </c>
      <c r="R3893" s="2" t="s">
        <v>28</v>
      </c>
      <c r="S3893" s="24">
        <f t="shared" si="304"/>
        <v>0.02</v>
      </c>
    </row>
    <row r="3894" spans="1:19" x14ac:dyDescent="0.25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>VLOOKUP(F3894,'Customer Info'!$A:$B,2,0)</f>
        <v>Neil</v>
      </c>
      <c r="H3894" s="6" t="str">
        <f>VLOOKUP(F3894,'Customer Info'!$A$1:$C$501,3,0)</f>
        <v>Knudson</v>
      </c>
      <c r="I3894" s="6" t="str">
        <f>VLOOKUP(F3894,Customer,5,0)</f>
        <v>Malang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126</v>
      </c>
      <c r="O3894" s="2">
        <v>10</v>
      </c>
      <c r="P3894" s="8">
        <f t="shared" si="302"/>
        <v>136</v>
      </c>
      <c r="Q3894" s="8">
        <f t="shared" si="303"/>
        <v>8</v>
      </c>
      <c r="R3894" s="2" t="s">
        <v>50</v>
      </c>
      <c r="S3894" s="24">
        <f t="shared" si="304"/>
        <v>0.02</v>
      </c>
    </row>
    <row r="3895" spans="1:19" x14ac:dyDescent="0.25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>VLOOKUP(F3895,'Customer Info'!$A:$B,2,0)</f>
        <v>Alex</v>
      </c>
      <c r="H3895" s="6" t="str">
        <f>VLOOKUP(F3895,'Customer Info'!$A$1:$C$501,3,0)</f>
        <v>Avila</v>
      </c>
      <c r="I3895" s="6" t="str">
        <f>VLOOKUP(F3895,Customer,5,0)</f>
        <v>Agra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2716</v>
      </c>
      <c r="O3895" s="2">
        <v>41</v>
      </c>
      <c r="P3895" s="8">
        <f t="shared" si="302"/>
        <v>2757</v>
      </c>
      <c r="Q3895" s="8">
        <f t="shared" si="303"/>
        <v>100</v>
      </c>
      <c r="R3895" s="2" t="s">
        <v>50</v>
      </c>
      <c r="S3895" s="24">
        <f t="shared" si="304"/>
        <v>0.02</v>
      </c>
    </row>
    <row r="3896" spans="1:19" x14ac:dyDescent="0.25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>VLOOKUP(F3896,'Customer Info'!$A:$B,2,0)</f>
        <v>Deirdre</v>
      </c>
      <c r="H3896" s="6" t="str">
        <f>VLOOKUP(F3896,'Customer Info'!$A$1:$C$501,3,0)</f>
        <v>Greer</v>
      </c>
      <c r="I3896" s="6" t="str">
        <f>VLOOKUP(F3896,Customer,5,0)</f>
        <v>Perth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9154</v>
      </c>
      <c r="O3896" s="2">
        <v>59</v>
      </c>
      <c r="P3896" s="8">
        <f t="shared" si="302"/>
        <v>9213</v>
      </c>
      <c r="Q3896" s="8">
        <f t="shared" si="303"/>
        <v>594</v>
      </c>
      <c r="R3896" s="2" t="s">
        <v>28</v>
      </c>
      <c r="S3896" s="24">
        <f t="shared" si="304"/>
        <v>0.05</v>
      </c>
    </row>
    <row r="3897" spans="1:19" x14ac:dyDescent="0.25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>VLOOKUP(F3897,'Customer Info'!$A:$B,2,0)</f>
        <v>Laurel</v>
      </c>
      <c r="H3897" s="6" t="str">
        <f>VLOOKUP(F3897,'Customer Info'!$A$1:$C$501,3,0)</f>
        <v>Beltran</v>
      </c>
      <c r="I3897" s="6" t="str">
        <f>VLOOKUP(F3897,Customer,5,0)</f>
        <v>Bonn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3036</v>
      </c>
      <c r="O3897" s="2">
        <v>78</v>
      </c>
      <c r="P3897" s="8">
        <f t="shared" si="302"/>
        <v>3114</v>
      </c>
      <c r="Q3897" s="8">
        <f t="shared" si="303"/>
        <v>224</v>
      </c>
      <c r="R3897" s="2" t="s">
        <v>28</v>
      </c>
      <c r="S3897" s="24">
        <f t="shared" si="304"/>
        <v>0.02</v>
      </c>
    </row>
    <row r="3898" spans="1:19" x14ac:dyDescent="0.25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>VLOOKUP(F3898,'Customer Info'!$A:$B,2,0)</f>
        <v>Hallie</v>
      </c>
      <c r="H3898" s="6" t="str">
        <f>VLOOKUP(F3898,'Customer Info'!$A$1:$C$501,3,0)</f>
        <v>Redmond</v>
      </c>
      <c r="I3898" s="6" t="str">
        <f>VLOOKUP(F3898,Customer,5,0)</f>
        <v>Caloundra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23829</v>
      </c>
      <c r="O3898" s="2">
        <v>27</v>
      </c>
      <c r="P3898" s="8">
        <f t="shared" si="302"/>
        <v>23856</v>
      </c>
      <c r="Q3898" s="8">
        <f t="shared" si="303"/>
        <v>459</v>
      </c>
      <c r="R3898" s="2" t="s">
        <v>50</v>
      </c>
      <c r="S3898" s="24">
        <f t="shared" si="304"/>
        <v>0.05</v>
      </c>
    </row>
    <row r="3899" spans="1:19" x14ac:dyDescent="0.25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>VLOOKUP(F3899,'Customer Info'!$A:$B,2,0)</f>
        <v>Rob</v>
      </c>
      <c r="H3899" s="6" t="str">
        <f>VLOOKUP(F3899,'Customer Info'!$A$1:$C$501,3,0)</f>
        <v>Williams</v>
      </c>
      <c r="I3899" s="6" t="str">
        <f>VLOOKUP(F3899,Customer,5,0)</f>
        <v>Wodonga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7398</v>
      </c>
      <c r="O3899" s="2">
        <v>32</v>
      </c>
      <c r="P3899" s="8">
        <f t="shared" si="302"/>
        <v>7430</v>
      </c>
      <c r="Q3899" s="8">
        <f t="shared" si="303"/>
        <v>348</v>
      </c>
      <c r="R3899" s="2" t="s">
        <v>26</v>
      </c>
      <c r="S3899" s="24">
        <f t="shared" si="304"/>
        <v>0.05</v>
      </c>
    </row>
    <row r="3900" spans="1:19" x14ac:dyDescent="0.25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>VLOOKUP(F3900,'Customer Info'!$A:$B,2,0)</f>
        <v>Jennifer</v>
      </c>
      <c r="H3900" s="6" t="str">
        <f>VLOOKUP(F3900,'Customer Info'!$A$1:$C$501,3,0)</f>
        <v>Halladay</v>
      </c>
      <c r="I3900" s="6" t="str">
        <f>VLOOKUP(F3900,Customer,5,0)</f>
        <v>Bielefeld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189</v>
      </c>
      <c r="O3900" s="2">
        <v>10</v>
      </c>
      <c r="P3900" s="8">
        <f t="shared" si="302"/>
        <v>199</v>
      </c>
      <c r="Q3900" s="8">
        <f t="shared" si="303"/>
        <v>12</v>
      </c>
      <c r="R3900" s="2" t="s">
        <v>28</v>
      </c>
      <c r="S3900" s="24">
        <f t="shared" si="304"/>
        <v>0.02</v>
      </c>
    </row>
    <row r="3901" spans="1:19" x14ac:dyDescent="0.25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>VLOOKUP(F3901,'Customer Info'!$A:$B,2,0)</f>
        <v>Troy</v>
      </c>
      <c r="H3901" s="6" t="str">
        <f>VLOOKUP(F3901,'Customer Info'!$A$1:$C$501,3,0)</f>
        <v>Blackwell</v>
      </c>
      <c r="I3901" s="6" t="str">
        <f>VLOOKUP(F3901,Customer,5,0)</f>
        <v>Akola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19344</v>
      </c>
      <c r="O3901" s="2">
        <v>49</v>
      </c>
      <c r="P3901" s="8">
        <f t="shared" si="302"/>
        <v>19393</v>
      </c>
      <c r="Q3901" s="8">
        <f t="shared" si="303"/>
        <v>1938</v>
      </c>
      <c r="R3901" s="2" t="s">
        <v>50</v>
      </c>
      <c r="S3901" s="24">
        <f t="shared" si="304"/>
        <v>0.05</v>
      </c>
    </row>
    <row r="3902" spans="1:19" x14ac:dyDescent="0.25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>VLOOKUP(F3902,'Customer Info'!$A:$B,2,0)</f>
        <v>Ionia</v>
      </c>
      <c r="H3902" s="6" t="str">
        <f>VLOOKUP(F3902,'Customer Info'!$A$1:$C$501,3,0)</f>
        <v>McGrath</v>
      </c>
      <c r="I3902" s="6" t="str">
        <f>VLOOKUP(F3902,Customer,5,0)</f>
        <v>Dormagen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6732</v>
      </c>
      <c r="O3902" s="2">
        <v>84</v>
      </c>
      <c r="P3902" s="8">
        <f t="shared" si="302"/>
        <v>6816</v>
      </c>
      <c r="Q3902" s="8">
        <f t="shared" si="303"/>
        <v>303</v>
      </c>
      <c r="R3902" s="2" t="s">
        <v>50</v>
      </c>
      <c r="S3902" s="24">
        <f t="shared" si="304"/>
        <v>0.05</v>
      </c>
    </row>
    <row r="3903" spans="1:19" x14ac:dyDescent="0.25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>VLOOKUP(F3903,'Customer Info'!$A:$B,2,0)</f>
        <v>Dorothy</v>
      </c>
      <c r="H3903" s="6" t="str">
        <f>VLOOKUP(F3903,'Customer Info'!$A$1:$C$501,3,0)</f>
        <v>Wardle</v>
      </c>
      <c r="I3903" s="6" t="str">
        <f>VLOOKUP(F3903,Customer,5,0)</f>
        <v>Sydney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16044</v>
      </c>
      <c r="O3903" s="2">
        <v>36</v>
      </c>
      <c r="P3903" s="8">
        <f t="shared" si="302"/>
        <v>16080</v>
      </c>
      <c r="Q3903" s="8">
        <f t="shared" si="303"/>
        <v>308</v>
      </c>
      <c r="R3903" s="2" t="s">
        <v>50</v>
      </c>
      <c r="S3903" s="24">
        <f t="shared" si="304"/>
        <v>0.05</v>
      </c>
    </row>
    <row r="3904" spans="1:19" x14ac:dyDescent="0.25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>VLOOKUP(F3904,'Customer Info'!$A:$B,2,0)</f>
        <v>Ryan</v>
      </c>
      <c r="H3904" s="6" t="str">
        <f>VLOOKUP(F3904,'Customer Info'!$A$1:$C$501,3,0)</f>
        <v>Akin</v>
      </c>
      <c r="I3904" s="6" t="str">
        <f>VLOOKUP(F3904,Customer,5,0)</f>
        <v>Bayreuth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138</v>
      </c>
      <c r="O3904" s="2">
        <v>10</v>
      </c>
      <c r="P3904" s="8">
        <f t="shared" si="302"/>
        <v>148</v>
      </c>
      <c r="Q3904" s="8">
        <f t="shared" si="303"/>
        <v>12</v>
      </c>
      <c r="R3904" s="2" t="s">
        <v>50</v>
      </c>
      <c r="S3904" s="24">
        <f t="shared" si="304"/>
        <v>0.02</v>
      </c>
    </row>
    <row r="3905" spans="1:19" x14ac:dyDescent="0.25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>VLOOKUP(F3905,'Customer Info'!$A:$B,2,0)</f>
        <v>Rob</v>
      </c>
      <c r="H3905" s="6" t="str">
        <f>VLOOKUP(F3905,'Customer Info'!$A$1:$C$501,3,0)</f>
        <v>Haberlin</v>
      </c>
      <c r="I3905" s="6" t="str">
        <f>VLOOKUP(F3905,Customer,5,0)</f>
        <v>Harbin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35008</v>
      </c>
      <c r="O3905" s="2">
        <v>32</v>
      </c>
      <c r="P3905" s="8">
        <f t="shared" si="302"/>
        <v>35040</v>
      </c>
      <c r="Q3905" s="8">
        <f t="shared" si="303"/>
        <v>3500</v>
      </c>
      <c r="R3905" s="2" t="s">
        <v>26</v>
      </c>
      <c r="S3905" s="24">
        <f t="shared" si="304"/>
        <v>7.0000000000000007E-2</v>
      </c>
    </row>
    <row r="3906" spans="1:19" x14ac:dyDescent="0.25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>VLOOKUP(F3906,'Customer Info'!$A:$B,2,0)</f>
        <v>Steven</v>
      </c>
      <c r="H3906" s="6" t="str">
        <f>VLOOKUP(F3906,'Customer Info'!$A$1:$C$501,3,0)</f>
        <v>Roelle</v>
      </c>
      <c r="I3906" s="6" t="str">
        <f>VLOOKUP(F3906,Customer,5,0)</f>
        <v>Bonn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9154</v>
      </c>
      <c r="O3906" s="2">
        <v>71</v>
      </c>
      <c r="P3906" s="8">
        <f t="shared" si="302"/>
        <v>9225</v>
      </c>
      <c r="Q3906" s="8">
        <f t="shared" si="303"/>
        <v>594</v>
      </c>
      <c r="R3906" s="2" t="s">
        <v>50</v>
      </c>
      <c r="S3906" s="24">
        <f t="shared" si="304"/>
        <v>0.05</v>
      </c>
    </row>
    <row r="3907" spans="1:19" x14ac:dyDescent="0.25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>VLOOKUP(F3907,'Customer Info'!$A:$B,2,0)</f>
        <v>Troy</v>
      </c>
      <c r="H3907" s="6" t="str">
        <f>VLOOKUP(F3907,'Customer Info'!$A$1:$C$501,3,0)</f>
        <v>Staebel</v>
      </c>
      <c r="I3907" s="6" t="str">
        <f>VLOOKUP(F3907,Customer,5,0)</f>
        <v>Canberra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5904</v>
      </c>
      <c r="O3907" s="2">
        <v>27</v>
      </c>
      <c r="P3907" s="8">
        <f t="shared" si="302"/>
        <v>5931</v>
      </c>
      <c r="Q3907" s="8">
        <f t="shared" si="303"/>
        <v>441</v>
      </c>
      <c r="R3907" s="2" t="s">
        <v>28</v>
      </c>
      <c r="S3907" s="24">
        <f t="shared" si="304"/>
        <v>0.05</v>
      </c>
    </row>
    <row r="3908" spans="1:19" x14ac:dyDescent="0.25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>VLOOKUP(F3908,'Customer Info'!$A:$B,2,0)</f>
        <v>Xylona</v>
      </c>
      <c r="H3908" s="6" t="str">
        <f>VLOOKUP(F3908,'Customer Info'!$A$1:$C$501,3,0)</f>
        <v>Preis</v>
      </c>
      <c r="I3908" s="6" t="str">
        <f>VLOOKUP(F3908,Customer,5,0)</f>
        <v>Qidong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252399</v>
      </c>
      <c r="O3908" s="2">
        <v>35</v>
      </c>
      <c r="P3908" s="8">
        <f t="shared" si="302"/>
        <v>252434</v>
      </c>
      <c r="Q3908" s="8">
        <f t="shared" si="303"/>
        <v>14203</v>
      </c>
      <c r="R3908" s="2" t="s">
        <v>28</v>
      </c>
      <c r="S3908" s="24">
        <f t="shared" si="304"/>
        <v>0.15</v>
      </c>
    </row>
    <row r="3909" spans="1:19" x14ac:dyDescent="0.25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>VLOOKUP(F3909,'Customer Info'!$A:$B,2,0)</f>
        <v>Alice</v>
      </c>
      <c r="H3909" s="6" t="str">
        <f>VLOOKUP(F3909,'Customer Info'!$A$1:$C$501,3,0)</f>
        <v>McCarthy</v>
      </c>
      <c r="I3909" s="6" t="str">
        <f>VLOOKUP(F3909,Customer,5,0)</f>
        <v>Berlin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2566</v>
      </c>
      <c r="O3909" s="2">
        <v>71</v>
      </c>
      <c r="P3909" s="8">
        <f t="shared" si="302"/>
        <v>2637</v>
      </c>
      <c r="Q3909" s="8">
        <f t="shared" si="303"/>
        <v>192</v>
      </c>
      <c r="R3909" s="2" t="s">
        <v>28</v>
      </c>
      <c r="S3909" s="24">
        <f t="shared" si="304"/>
        <v>0.02</v>
      </c>
    </row>
    <row r="3910" spans="1:19" x14ac:dyDescent="0.25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>VLOOKUP(F3910,'Customer Info'!$A:$B,2,0)</f>
        <v>Hilary</v>
      </c>
      <c r="H3910" s="6" t="str">
        <f>VLOOKUP(F3910,'Customer Info'!$A$1:$C$501,3,0)</f>
        <v>Holden</v>
      </c>
      <c r="I3910" s="6" t="str">
        <f>VLOOKUP(F3910,Customer,5,0)</f>
        <v>Mysore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1372</v>
      </c>
      <c r="O3910" s="2">
        <v>95</v>
      </c>
      <c r="P3910" s="8">
        <f t="shared" si="302"/>
        <v>1467</v>
      </c>
      <c r="Q3910" s="8">
        <f t="shared" si="303"/>
        <v>64</v>
      </c>
      <c r="R3910" s="2" t="s">
        <v>28</v>
      </c>
      <c r="S3910" s="24">
        <f t="shared" si="304"/>
        <v>0.02</v>
      </c>
    </row>
    <row r="3911" spans="1:19" x14ac:dyDescent="0.25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>VLOOKUP(F3911,'Customer Info'!$A:$B,2,0)</f>
        <v>Shahid</v>
      </c>
      <c r="H3911" s="6" t="str">
        <f>VLOOKUP(F3911,'Customer Info'!$A$1:$C$501,3,0)</f>
        <v>Collister</v>
      </c>
      <c r="I3911" s="6" t="str">
        <f>VLOOKUP(F3911,Customer,5,0)</f>
        <v>Solapur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24078</v>
      </c>
      <c r="O3911" s="2">
        <v>90</v>
      </c>
      <c r="P3911" s="8">
        <f t="shared" si="302"/>
        <v>24168</v>
      </c>
      <c r="Q3911" s="8">
        <f t="shared" si="303"/>
        <v>1362</v>
      </c>
      <c r="R3911" s="2" t="s">
        <v>28</v>
      </c>
      <c r="S3911" s="24">
        <f t="shared" si="304"/>
        <v>0.05</v>
      </c>
    </row>
    <row r="3912" spans="1:19" x14ac:dyDescent="0.25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>VLOOKUP(F3912,'Customer Info'!$A:$B,2,0)</f>
        <v>Aaron</v>
      </c>
      <c r="H3912" s="6" t="str">
        <f>VLOOKUP(F3912,'Customer Info'!$A$1:$C$501,3,0)</f>
        <v>Smayling</v>
      </c>
      <c r="I3912" s="6" t="str">
        <f>VLOOKUP(F3912,Customer,5,0)</f>
        <v>Port Macquarie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288</v>
      </c>
      <c r="O3912" s="2">
        <v>10</v>
      </c>
      <c r="P3912" s="8">
        <f t="shared" si="302"/>
        <v>298</v>
      </c>
      <c r="Q3912" s="8">
        <f t="shared" si="303"/>
        <v>27</v>
      </c>
      <c r="R3912" s="2" t="s">
        <v>28</v>
      </c>
      <c r="S3912" s="24">
        <f t="shared" si="304"/>
        <v>0.02</v>
      </c>
    </row>
    <row r="3913" spans="1:19" x14ac:dyDescent="0.25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>VLOOKUP(F3913,'Customer Info'!$A:$B,2,0)</f>
        <v>Catherine</v>
      </c>
      <c r="H3913" s="6" t="str">
        <f>VLOOKUP(F3913,'Customer Info'!$A$1:$C$501,3,0)</f>
        <v>Glotzbach</v>
      </c>
      <c r="I3913" s="6" t="str">
        <f>VLOOKUP(F3913,Customer,5,0)</f>
        <v>Bochum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8005</v>
      </c>
      <c r="O3913" s="2">
        <v>80</v>
      </c>
      <c r="P3913" s="8">
        <f t="shared" si="302"/>
        <v>8085</v>
      </c>
      <c r="Q3913" s="8">
        <f t="shared" si="303"/>
        <v>455</v>
      </c>
      <c r="R3913" s="2" t="s">
        <v>50</v>
      </c>
      <c r="S3913" s="24">
        <f t="shared" si="304"/>
        <v>0.05</v>
      </c>
    </row>
    <row r="3914" spans="1:19" x14ac:dyDescent="0.25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>VLOOKUP(F3914,'Customer Info'!$A:$B,2,0)</f>
        <v>Aaron</v>
      </c>
      <c r="H3914" s="6" t="str">
        <f>VLOOKUP(F3914,'Customer Info'!$A$1:$C$501,3,0)</f>
        <v>Bergman</v>
      </c>
      <c r="I3914" s="6" t="str">
        <f>VLOOKUP(F3914,Customer,5,0)</f>
        <v>Halle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22792</v>
      </c>
      <c r="O3914" s="2">
        <v>88</v>
      </c>
      <c r="P3914" s="8">
        <f t="shared" si="302"/>
        <v>22880</v>
      </c>
      <c r="Q3914" s="8">
        <f t="shared" si="303"/>
        <v>1484</v>
      </c>
      <c r="R3914" s="2" t="s">
        <v>28</v>
      </c>
      <c r="S3914" s="24">
        <f t="shared" si="304"/>
        <v>0.05</v>
      </c>
    </row>
    <row r="3915" spans="1:19" x14ac:dyDescent="0.25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>VLOOKUP(F3915,'Customer Info'!$A:$B,2,0)</f>
        <v>Philisse</v>
      </c>
      <c r="H3915" s="6" t="str">
        <f>VLOOKUP(F3915,'Customer Info'!$A$1:$C$501,3,0)</f>
        <v>Overcash</v>
      </c>
      <c r="I3915" s="6" t="str">
        <f>VLOOKUP(F3915,Customer,5,0)</f>
        <v>Potsdam</v>
      </c>
      <c r="J3915" s="2">
        <v>458</v>
      </c>
      <c r="K3915" s="2">
        <v>419</v>
      </c>
      <c r="L3915" s="2">
        <v>9</v>
      </c>
      <c r="M3915" s="7">
        <f t="shared" ref="M3915:M3978" si="305">K3915*L3915</f>
        <v>3771</v>
      </c>
      <c r="N3915" s="7">
        <f t="shared" ref="N3915:N3978" si="306">J3915*L3915</f>
        <v>4122</v>
      </c>
      <c r="O3915" s="2">
        <v>24</v>
      </c>
      <c r="P3915" s="8">
        <f t="shared" ref="P3915:P3978" si="307">N3915+O3915</f>
        <v>4146</v>
      </c>
      <c r="Q3915" s="8">
        <f t="shared" ref="Q3915:Q3978" si="308">N3915-M3915</f>
        <v>351</v>
      </c>
      <c r="R3915" s="2" t="s">
        <v>50</v>
      </c>
      <c r="S3915" s="24">
        <f t="shared" ref="S3915:S3978" si="309">VLOOKUP(N3915,$T$1:$U$7,2,TRUE)</f>
        <v>0.02</v>
      </c>
    </row>
    <row r="3916" spans="1:19" x14ac:dyDescent="0.25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>VLOOKUP(F3916,'Customer Info'!$A:$B,2,0)</f>
        <v>Ann</v>
      </c>
      <c r="H3916" s="6" t="str">
        <f>VLOOKUP(F3916,'Customer Info'!$A$1:$C$501,3,0)</f>
        <v>Chong</v>
      </c>
      <c r="I3916" s="6" t="str">
        <f>VLOOKUP(F3916,Customer,5,0)</f>
        <v>Sydney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8">
        <f t="shared" si="307"/>
        <v>45547</v>
      </c>
      <c r="Q3916" s="8">
        <f t="shared" si="308"/>
        <v>3753</v>
      </c>
      <c r="R3916" s="2" t="s">
        <v>26</v>
      </c>
      <c r="S3916" s="24">
        <f t="shared" si="309"/>
        <v>7.0000000000000007E-2</v>
      </c>
    </row>
    <row r="3917" spans="1:19" x14ac:dyDescent="0.25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>VLOOKUP(F3917,'Customer Info'!$A:$B,2,0)</f>
        <v>Sally</v>
      </c>
      <c r="H3917" s="6" t="str">
        <f>VLOOKUP(F3917,'Customer Info'!$A$1:$C$501,3,0)</f>
        <v>Hughsby</v>
      </c>
      <c r="I3917" s="6" t="str">
        <f>VLOOKUP(F3917,Customer,5,0)</f>
        <v>Depok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8">
        <f t="shared" si="307"/>
        <v>11854</v>
      </c>
      <c r="Q3917" s="8">
        <f t="shared" si="308"/>
        <v>860</v>
      </c>
      <c r="R3917" s="2" t="s">
        <v>26</v>
      </c>
      <c r="S3917" s="24">
        <f t="shared" si="309"/>
        <v>0.05</v>
      </c>
    </row>
    <row r="3918" spans="1:19" x14ac:dyDescent="0.25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>VLOOKUP(F3918,'Customer Info'!$A:$B,2,0)</f>
        <v>Michael</v>
      </c>
      <c r="H3918" s="6" t="str">
        <f>VLOOKUP(F3918,'Customer Info'!$A$1:$C$501,3,0)</f>
        <v>Nguyen</v>
      </c>
      <c r="I3918" s="6" t="str">
        <f>VLOOKUP(F3918,Customer,5,0)</f>
        <v>Berlin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8">
        <f t="shared" si="307"/>
        <v>38396</v>
      </c>
      <c r="Q3918" s="8">
        <f t="shared" si="308"/>
        <v>3164</v>
      </c>
      <c r="R3918" s="2" t="s">
        <v>28</v>
      </c>
      <c r="S3918" s="24">
        <f t="shared" si="309"/>
        <v>7.0000000000000007E-2</v>
      </c>
    </row>
    <row r="3919" spans="1:19" x14ac:dyDescent="0.25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>VLOOKUP(F3919,'Customer Info'!$A:$B,2,0)</f>
        <v>Dennis</v>
      </c>
      <c r="H3919" s="6" t="str">
        <f>VLOOKUP(F3919,'Customer Info'!$A$1:$C$501,3,0)</f>
        <v>Pardue</v>
      </c>
      <c r="I3919" s="6" t="str">
        <f>VLOOKUP(F3919,Customer,5,0)</f>
        <v>Wollongong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8">
        <f t="shared" si="307"/>
        <v>2221</v>
      </c>
      <c r="Q3919" s="8">
        <f t="shared" si="308"/>
        <v>120</v>
      </c>
      <c r="R3919" s="2" t="s">
        <v>26</v>
      </c>
      <c r="S3919" s="24">
        <f t="shared" si="309"/>
        <v>0.02</v>
      </c>
    </row>
    <row r="3920" spans="1:19" x14ac:dyDescent="0.25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>VLOOKUP(F3920,'Customer Info'!$A:$B,2,0)</f>
        <v>Jill</v>
      </c>
      <c r="H3920" s="6" t="str">
        <f>VLOOKUP(F3920,'Customer Info'!$A$1:$C$501,3,0)</f>
        <v>Fjeld</v>
      </c>
      <c r="I3920" s="6" t="str">
        <f>VLOOKUP(F3920,Customer,5,0)</f>
        <v>Wollongong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56154</v>
      </c>
      <c r="O3920" s="2">
        <v>66</v>
      </c>
      <c r="P3920" s="8">
        <f t="shared" si="307"/>
        <v>56220</v>
      </c>
      <c r="Q3920" s="8">
        <f t="shared" si="308"/>
        <v>1078</v>
      </c>
      <c r="R3920" s="2" t="s">
        <v>56</v>
      </c>
      <c r="S3920" s="24">
        <f t="shared" si="309"/>
        <v>0.09</v>
      </c>
    </row>
    <row r="3921" spans="1:19" x14ac:dyDescent="0.25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>VLOOKUP(F3921,'Customer Info'!$A:$B,2,0)</f>
        <v>Charlotte</v>
      </c>
      <c r="H3921" s="6" t="str">
        <f>VLOOKUP(F3921,'Customer Info'!$A$1:$C$501,3,0)</f>
        <v>Melton</v>
      </c>
      <c r="I3921" s="6" t="str">
        <f>VLOOKUP(F3921,Customer,5,0)</f>
        <v>Canberra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14285</v>
      </c>
      <c r="O3921" s="2">
        <v>45</v>
      </c>
      <c r="P3921" s="8">
        <f t="shared" si="307"/>
        <v>14330</v>
      </c>
      <c r="Q3921" s="8">
        <f t="shared" si="308"/>
        <v>1175</v>
      </c>
      <c r="R3921" s="2" t="s">
        <v>26</v>
      </c>
      <c r="S3921" s="24">
        <f t="shared" si="309"/>
        <v>0.05</v>
      </c>
    </row>
    <row r="3922" spans="1:19" x14ac:dyDescent="0.25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>VLOOKUP(F3922,'Customer Info'!$A:$B,2,0)</f>
        <v>Muhammed</v>
      </c>
      <c r="H3922" s="6" t="str">
        <f>VLOOKUP(F3922,'Customer Info'!$A$1:$C$501,3,0)</f>
        <v>Lee</v>
      </c>
      <c r="I3922" s="6" t="str">
        <f>VLOOKUP(F3922,Customer,5,0)</f>
        <v>Nellore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238</v>
      </c>
      <c r="O3922" s="2">
        <v>30</v>
      </c>
      <c r="P3922" s="8">
        <f t="shared" si="307"/>
        <v>268</v>
      </c>
      <c r="Q3922" s="8">
        <f t="shared" si="308"/>
        <v>14</v>
      </c>
      <c r="R3922" s="2" t="s">
        <v>50</v>
      </c>
      <c r="S3922" s="24">
        <f t="shared" si="309"/>
        <v>0.02</v>
      </c>
    </row>
    <row r="3923" spans="1:19" x14ac:dyDescent="0.25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>VLOOKUP(F3923,'Customer Info'!$A:$B,2,0)</f>
        <v>Darren</v>
      </c>
      <c r="H3923" s="6" t="str">
        <f>VLOOKUP(F3923,'Customer Info'!$A$1:$C$501,3,0)</f>
        <v>Koutras</v>
      </c>
      <c r="I3923" s="6" t="str">
        <f>VLOOKUP(F3923,Customer,5,0)</f>
        <v>Pune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1703</v>
      </c>
      <c r="O3923" s="2">
        <v>30</v>
      </c>
      <c r="P3923" s="8">
        <f t="shared" si="307"/>
        <v>1733</v>
      </c>
      <c r="Q3923" s="8">
        <f t="shared" si="308"/>
        <v>91</v>
      </c>
      <c r="R3923" s="2" t="s">
        <v>26</v>
      </c>
      <c r="S3923" s="24">
        <f t="shared" si="309"/>
        <v>0.02</v>
      </c>
    </row>
    <row r="3924" spans="1:19" x14ac:dyDescent="0.25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>VLOOKUP(F3924,'Customer Info'!$A:$B,2,0)</f>
        <v>Hunter</v>
      </c>
      <c r="H3924" s="6" t="str">
        <f>VLOOKUP(F3924,'Customer Info'!$A$1:$C$501,3,0)</f>
        <v>Lopez</v>
      </c>
      <c r="I3924" s="6" t="str">
        <f>VLOOKUP(F3924,Customer,5,0)</f>
        <v>Cuttack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5058</v>
      </c>
      <c r="O3924" s="2">
        <v>46</v>
      </c>
      <c r="P3924" s="8">
        <f t="shared" si="307"/>
        <v>5104</v>
      </c>
      <c r="Q3924" s="8">
        <f t="shared" si="308"/>
        <v>285</v>
      </c>
      <c r="R3924" s="2" t="s">
        <v>28</v>
      </c>
      <c r="S3924" s="24">
        <f t="shared" si="309"/>
        <v>0.05</v>
      </c>
    </row>
    <row r="3925" spans="1:19" x14ac:dyDescent="0.25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>VLOOKUP(F3925,'Customer Info'!$A:$B,2,0)</f>
        <v>Ted</v>
      </c>
      <c r="H3925" s="6" t="str">
        <f>VLOOKUP(F3925,'Customer Info'!$A$1:$C$501,3,0)</f>
        <v>Trevino</v>
      </c>
      <c r="I3925" s="6" t="str">
        <f>VLOOKUP(F3925,Customer,5,0)</f>
        <v>Gold Coast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13222</v>
      </c>
      <c r="O3925" s="2">
        <v>64</v>
      </c>
      <c r="P3925" s="8">
        <f t="shared" si="307"/>
        <v>13286</v>
      </c>
      <c r="Q3925" s="8">
        <f t="shared" si="308"/>
        <v>1336</v>
      </c>
      <c r="R3925" s="2" t="s">
        <v>28</v>
      </c>
      <c r="S3925" s="24">
        <f t="shared" si="309"/>
        <v>0.05</v>
      </c>
    </row>
    <row r="3926" spans="1:19" x14ac:dyDescent="0.25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>VLOOKUP(F3926,'Customer Info'!$A:$B,2,0)</f>
        <v>Anemone</v>
      </c>
      <c r="H3926" s="6" t="str">
        <f>VLOOKUP(F3926,'Customer Info'!$A$1:$C$501,3,0)</f>
        <v>Ratner</v>
      </c>
      <c r="I3926" s="6" t="str">
        <f>VLOOKUP(F3926,Customer,5,0)</f>
        <v>Berlin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2502</v>
      </c>
      <c r="O3926" s="2">
        <v>53</v>
      </c>
      <c r="P3926" s="8">
        <f t="shared" si="307"/>
        <v>2555</v>
      </c>
      <c r="Q3926" s="8">
        <f t="shared" si="308"/>
        <v>150</v>
      </c>
      <c r="R3926" s="2" t="s">
        <v>28</v>
      </c>
      <c r="S3926" s="24">
        <f t="shared" si="309"/>
        <v>0.02</v>
      </c>
    </row>
    <row r="3927" spans="1:19" x14ac:dyDescent="0.25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>VLOOKUP(F3927,'Customer Info'!$A:$B,2,0)</f>
        <v>Stefanie</v>
      </c>
      <c r="H3927" s="6" t="str">
        <f>VLOOKUP(F3927,'Customer Info'!$A$1:$C$501,3,0)</f>
        <v>Holloman</v>
      </c>
      <c r="I3927" s="6" t="str">
        <f>VLOOKUP(F3927,Customer,5,0)</f>
        <v>Durgapur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1792</v>
      </c>
      <c r="O3927" s="2">
        <v>51</v>
      </c>
      <c r="P3927" s="8">
        <f t="shared" si="307"/>
        <v>1843</v>
      </c>
      <c r="Q3927" s="8">
        <f t="shared" si="308"/>
        <v>52</v>
      </c>
      <c r="R3927" s="2" t="s">
        <v>28</v>
      </c>
      <c r="S3927" s="24">
        <f t="shared" si="309"/>
        <v>0.02</v>
      </c>
    </row>
    <row r="3928" spans="1:19" x14ac:dyDescent="0.25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>VLOOKUP(F3928,'Customer Info'!$A:$B,2,0)</f>
        <v>Eugene</v>
      </c>
      <c r="H3928" s="6" t="str">
        <f>VLOOKUP(F3928,'Customer Info'!$A$1:$C$501,3,0)</f>
        <v>Hildebrand</v>
      </c>
      <c r="I3928" s="6" t="str">
        <f>VLOOKUP(F3928,Customer,5,0)</f>
        <v>Liaocheng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</v>
      </c>
      <c r="O3928" s="2">
        <v>62</v>
      </c>
      <c r="P3928" s="8">
        <f t="shared" si="307"/>
        <v>4548</v>
      </c>
      <c r="Q3928" s="8">
        <f t="shared" si="308"/>
        <v>486</v>
      </c>
      <c r="R3928" s="2" t="s">
        <v>28</v>
      </c>
      <c r="S3928" s="24">
        <f t="shared" si="309"/>
        <v>0.02</v>
      </c>
    </row>
    <row r="3929" spans="1:19" x14ac:dyDescent="0.25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>VLOOKUP(F3929,'Customer Info'!$A:$B,2,0)</f>
        <v>Hunter</v>
      </c>
      <c r="H3929" s="6" t="str">
        <f>VLOOKUP(F3929,'Customer Info'!$A$1:$C$501,3,0)</f>
        <v>Lopez</v>
      </c>
      <c r="I3929" s="6" t="str">
        <f>VLOOKUP(F3929,Customer,5,0)</f>
        <v>Wollongong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207</v>
      </c>
      <c r="O3929" s="2">
        <v>10</v>
      </c>
      <c r="P3929" s="8">
        <f t="shared" si="307"/>
        <v>217</v>
      </c>
      <c r="Q3929" s="8">
        <f t="shared" si="308"/>
        <v>15</v>
      </c>
      <c r="R3929" s="2" t="s">
        <v>50</v>
      </c>
      <c r="S3929" s="24">
        <f t="shared" si="309"/>
        <v>0.02</v>
      </c>
    </row>
    <row r="3930" spans="1:19" x14ac:dyDescent="0.25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>VLOOKUP(F3930,'Customer Info'!$A:$B,2,0)</f>
        <v>Ben</v>
      </c>
      <c r="H3930" s="6" t="str">
        <f>VLOOKUP(F3930,'Customer Info'!$A$1:$C$501,3,0)</f>
        <v>Peterman</v>
      </c>
      <c r="I3930" s="6" t="str">
        <f>VLOOKUP(F3930,Customer,5,0)</f>
        <v>Bielefeld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1176</v>
      </c>
      <c r="O3930" s="2">
        <v>46</v>
      </c>
      <c r="P3930" s="8">
        <f t="shared" si="307"/>
        <v>1222</v>
      </c>
      <c r="Q3930" s="8">
        <f t="shared" si="308"/>
        <v>108</v>
      </c>
      <c r="R3930" s="2" t="s">
        <v>28</v>
      </c>
      <c r="S3930" s="24">
        <f t="shared" si="309"/>
        <v>0.02</v>
      </c>
    </row>
    <row r="3931" spans="1:19" x14ac:dyDescent="0.25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>VLOOKUP(F3931,'Customer Info'!$A:$B,2,0)</f>
        <v>Bill</v>
      </c>
      <c r="H3931" s="6" t="str">
        <f>VLOOKUP(F3931,'Customer Info'!$A$1:$C$501,3,0)</f>
        <v>Shonely</v>
      </c>
      <c r="I3931" s="6" t="str">
        <f>VLOOKUP(F3931,Customer,5,0)</f>
        <v>Jinjiang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14394</v>
      </c>
      <c r="O3931" s="2">
        <v>89</v>
      </c>
      <c r="P3931" s="8">
        <f t="shared" si="307"/>
        <v>14483</v>
      </c>
      <c r="Q3931" s="8">
        <f t="shared" si="308"/>
        <v>1050</v>
      </c>
      <c r="R3931" s="2" t="s">
        <v>50</v>
      </c>
      <c r="S3931" s="24">
        <f t="shared" si="309"/>
        <v>0.05</v>
      </c>
    </row>
    <row r="3932" spans="1:19" x14ac:dyDescent="0.25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>VLOOKUP(F3932,'Customer Info'!$A:$B,2,0)</f>
        <v>James</v>
      </c>
      <c r="H3932" s="6" t="str">
        <f>VLOOKUP(F3932,'Customer Info'!$A$1:$C$501,3,0)</f>
        <v>Lanier</v>
      </c>
      <c r="I3932" s="6" t="str">
        <f>VLOOKUP(F3932,Customer,5,0)</f>
        <v>Dortmund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888</v>
      </c>
      <c r="O3932" s="2">
        <v>54</v>
      </c>
      <c r="P3932" s="8">
        <f t="shared" si="307"/>
        <v>942</v>
      </c>
      <c r="Q3932" s="8">
        <f t="shared" si="308"/>
        <v>72</v>
      </c>
      <c r="R3932" s="2" t="s">
        <v>50</v>
      </c>
      <c r="S3932" s="24">
        <f t="shared" si="309"/>
        <v>0.02</v>
      </c>
    </row>
    <row r="3933" spans="1:19" x14ac:dyDescent="0.25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>VLOOKUP(F3933,'Customer Info'!$A:$B,2,0)</f>
        <v>Gary</v>
      </c>
      <c r="H3933" s="6" t="str">
        <f>VLOOKUP(F3933,'Customer Info'!$A$1:$C$501,3,0)</f>
        <v>Zandusky</v>
      </c>
      <c r="I3933" s="6" t="str">
        <f>VLOOKUP(F3933,Customer,5,0)</f>
        <v>Aligarh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5052</v>
      </c>
      <c r="O3933" s="2">
        <v>21</v>
      </c>
      <c r="P3933" s="8">
        <f t="shared" si="307"/>
        <v>5073</v>
      </c>
      <c r="Q3933" s="8">
        <f t="shared" si="308"/>
        <v>236</v>
      </c>
      <c r="R3933" s="2" t="s">
        <v>50</v>
      </c>
      <c r="S3933" s="24">
        <f t="shared" si="309"/>
        <v>0.05</v>
      </c>
    </row>
    <row r="3934" spans="1:19" x14ac:dyDescent="0.25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>VLOOKUP(F3934,'Customer Info'!$A:$B,2,0)</f>
        <v>Victoria</v>
      </c>
      <c r="H3934" s="6" t="str">
        <f>VLOOKUP(F3934,'Customer Info'!$A$1:$C$501,3,0)</f>
        <v>Pisteka</v>
      </c>
      <c r="I3934" s="6" t="str">
        <f>VLOOKUP(F3934,Customer,5,0)</f>
        <v>Bokaro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644</v>
      </c>
      <c r="O3934" s="2">
        <v>10</v>
      </c>
      <c r="P3934" s="8">
        <f t="shared" si="307"/>
        <v>654</v>
      </c>
      <c r="Q3934" s="8">
        <f t="shared" si="308"/>
        <v>70</v>
      </c>
      <c r="R3934" s="2" t="s">
        <v>28</v>
      </c>
      <c r="S3934" s="24">
        <f t="shared" si="309"/>
        <v>0.02</v>
      </c>
    </row>
    <row r="3935" spans="1:19" x14ac:dyDescent="0.25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>VLOOKUP(F3935,'Customer Info'!$A:$B,2,0)</f>
        <v>Stuart</v>
      </c>
      <c r="H3935" s="6" t="str">
        <f>VLOOKUP(F3935,'Customer Info'!$A$1:$C$501,3,0)</f>
        <v>Calhoun</v>
      </c>
      <c r="I3935" s="6" t="str">
        <f>VLOOKUP(F3935,Customer,5,0)</f>
        <v>Pforzheim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3915</v>
      </c>
      <c r="O3935" s="2">
        <v>54</v>
      </c>
      <c r="P3935" s="8">
        <f t="shared" si="307"/>
        <v>3969</v>
      </c>
      <c r="Q3935" s="8">
        <f t="shared" si="308"/>
        <v>324</v>
      </c>
      <c r="R3935" s="2" t="s">
        <v>50</v>
      </c>
      <c r="S3935" s="24">
        <f t="shared" si="309"/>
        <v>0.02</v>
      </c>
    </row>
    <row r="3936" spans="1:19" x14ac:dyDescent="0.25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>VLOOKUP(F3936,'Customer Info'!$A:$B,2,0)</f>
        <v>Alex</v>
      </c>
      <c r="H3936" s="6" t="str">
        <f>VLOOKUP(F3936,'Customer Info'!$A$1:$C$501,3,0)</f>
        <v>Avila</v>
      </c>
      <c r="I3936" s="6" t="str">
        <f>VLOOKUP(F3936,Customer,5,0)</f>
        <v>Agra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2433</v>
      </c>
      <c r="O3936" s="2">
        <v>98</v>
      </c>
      <c r="P3936" s="8">
        <f t="shared" si="307"/>
        <v>2531</v>
      </c>
      <c r="Q3936" s="8">
        <f t="shared" si="308"/>
        <v>93</v>
      </c>
      <c r="R3936" s="2" t="s">
        <v>28</v>
      </c>
      <c r="S3936" s="24">
        <f t="shared" si="309"/>
        <v>0.02</v>
      </c>
    </row>
    <row r="3937" spans="1:19" x14ac:dyDescent="0.25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>VLOOKUP(F3937,'Customer Info'!$A:$B,2,0)</f>
        <v>Ted</v>
      </c>
      <c r="H3937" s="6" t="str">
        <f>VLOOKUP(F3937,'Customer Info'!$A$1:$C$501,3,0)</f>
        <v>Trevino</v>
      </c>
      <c r="I3937" s="6" t="str">
        <f>VLOOKUP(F3937,Customer,5,0)</f>
        <v>Bendigo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887</v>
      </c>
      <c r="O3937" s="2">
        <v>92</v>
      </c>
      <c r="P3937" s="8">
        <f t="shared" si="307"/>
        <v>979</v>
      </c>
      <c r="Q3937" s="8">
        <f t="shared" si="308"/>
        <v>73</v>
      </c>
      <c r="R3937" s="2" t="s">
        <v>28</v>
      </c>
      <c r="S3937" s="24">
        <f t="shared" si="309"/>
        <v>0.02</v>
      </c>
    </row>
    <row r="3938" spans="1:19" x14ac:dyDescent="0.25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>VLOOKUP(F3938,'Customer Info'!$A:$B,2,0)</f>
        <v>Don</v>
      </c>
      <c r="H3938" s="6" t="str">
        <f>VLOOKUP(F3938,'Customer Info'!$A$1:$C$501,3,0)</f>
        <v>Weiss</v>
      </c>
      <c r="I3938" s="6" t="str">
        <f>VLOOKUP(F3938,Customer,5,0)</f>
        <v>Sydney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5556</v>
      </c>
      <c r="O3938" s="2">
        <v>52</v>
      </c>
      <c r="P3938" s="8">
        <f t="shared" si="307"/>
        <v>5608</v>
      </c>
      <c r="Q3938" s="8">
        <f t="shared" si="308"/>
        <v>410</v>
      </c>
      <c r="R3938" s="2" t="s">
        <v>50</v>
      </c>
      <c r="S3938" s="24">
        <f t="shared" si="309"/>
        <v>0.05</v>
      </c>
    </row>
    <row r="3939" spans="1:19" x14ac:dyDescent="0.25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>VLOOKUP(F3939,'Customer Info'!$A:$B,2,0)</f>
        <v>Michael</v>
      </c>
      <c r="H3939" s="6" t="str">
        <f>VLOOKUP(F3939,'Customer Info'!$A$1:$C$501,3,0)</f>
        <v>Moore</v>
      </c>
      <c r="I3939" s="6" t="str">
        <f>VLOOKUP(F3939,Customer,5,0)</f>
        <v>Vadodara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1169</v>
      </c>
      <c r="O3939" s="2">
        <v>87</v>
      </c>
      <c r="P3939" s="8">
        <f t="shared" si="307"/>
        <v>1256</v>
      </c>
      <c r="Q3939" s="8">
        <f t="shared" si="308"/>
        <v>66</v>
      </c>
      <c r="R3939" s="2" t="s">
        <v>28</v>
      </c>
      <c r="S3939" s="24">
        <f t="shared" si="309"/>
        <v>0.02</v>
      </c>
    </row>
    <row r="3940" spans="1:19" x14ac:dyDescent="0.25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>VLOOKUP(F3940,'Customer Info'!$A:$B,2,0)</f>
        <v>Patricia</v>
      </c>
      <c r="H3940" s="6" t="str">
        <f>VLOOKUP(F3940,'Customer Info'!$A$1:$C$501,3,0)</f>
        <v>Hirasaki</v>
      </c>
      <c r="I3940" s="6" t="str">
        <f>VLOOKUP(F3940,Customer,5,0)</f>
        <v>Pimpri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5394</v>
      </c>
      <c r="O3940" s="2">
        <v>23</v>
      </c>
      <c r="P3940" s="8">
        <f t="shared" si="307"/>
        <v>5417</v>
      </c>
      <c r="Q3940" s="8">
        <f t="shared" si="308"/>
        <v>444</v>
      </c>
      <c r="R3940" s="2" t="s">
        <v>50</v>
      </c>
      <c r="S3940" s="24">
        <f t="shared" si="309"/>
        <v>0.05</v>
      </c>
    </row>
    <row r="3941" spans="1:19" x14ac:dyDescent="0.25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>VLOOKUP(F3941,'Customer Info'!$A:$B,2,0)</f>
        <v>Ryan</v>
      </c>
      <c r="H3941" s="6" t="str">
        <f>VLOOKUP(F3941,'Customer Info'!$A$1:$C$501,3,0)</f>
        <v>Akin</v>
      </c>
      <c r="I3941" s="6" t="str">
        <f>VLOOKUP(F3941,Customer,5,0)</f>
        <v>Bayreuth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20867</v>
      </c>
      <c r="O3941" s="2">
        <v>62</v>
      </c>
      <c r="P3941" s="8">
        <f t="shared" si="307"/>
        <v>20929</v>
      </c>
      <c r="Q3941" s="8">
        <f t="shared" si="308"/>
        <v>777</v>
      </c>
      <c r="R3941" s="2" t="s">
        <v>28</v>
      </c>
      <c r="S3941" s="24">
        <f t="shared" si="309"/>
        <v>0.05</v>
      </c>
    </row>
    <row r="3942" spans="1:19" x14ac:dyDescent="0.25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>VLOOKUP(F3942,'Customer Info'!$A:$B,2,0)</f>
        <v>Yana</v>
      </c>
      <c r="H3942" s="6" t="str">
        <f>VLOOKUP(F3942,'Customer Info'!$A$1:$C$501,3,0)</f>
        <v>Sorensen</v>
      </c>
      <c r="I3942" s="6" t="str">
        <f>VLOOKUP(F3942,Customer,5,0)</f>
        <v>Hangzhou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39610</v>
      </c>
      <c r="O3942" s="2">
        <v>26</v>
      </c>
      <c r="P3942" s="8">
        <f t="shared" si="307"/>
        <v>39636</v>
      </c>
      <c r="Q3942" s="8">
        <f t="shared" si="308"/>
        <v>2970</v>
      </c>
      <c r="R3942" s="2" t="s">
        <v>50</v>
      </c>
      <c r="S3942" s="24">
        <f t="shared" si="309"/>
        <v>7.0000000000000007E-2</v>
      </c>
    </row>
    <row r="3943" spans="1:19" x14ac:dyDescent="0.25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>VLOOKUP(F3943,'Customer Info'!$A:$B,2,0)</f>
        <v>Thais</v>
      </c>
      <c r="H3943" s="6" t="str">
        <f>VLOOKUP(F3943,'Customer Info'!$A$1:$C$501,3,0)</f>
        <v>Sissman</v>
      </c>
      <c r="I3943" s="6" t="str">
        <f>VLOOKUP(F3943,Customer,5,0)</f>
        <v>Essen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808</v>
      </c>
      <c r="O3943" s="2">
        <v>30</v>
      </c>
      <c r="P3943" s="8">
        <f t="shared" si="307"/>
        <v>838</v>
      </c>
      <c r="Q3943" s="8">
        <f t="shared" si="308"/>
        <v>60</v>
      </c>
      <c r="R3943" s="2" t="s">
        <v>50</v>
      </c>
      <c r="S3943" s="24">
        <f t="shared" si="309"/>
        <v>0.02</v>
      </c>
    </row>
    <row r="3944" spans="1:19" x14ac:dyDescent="0.25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>VLOOKUP(F3944,'Customer Info'!$A:$B,2,0)</f>
        <v>Victor</v>
      </c>
      <c r="H3944" s="6" t="str">
        <f>VLOOKUP(F3944,'Customer Info'!$A$1:$C$501,3,0)</f>
        <v>Preis</v>
      </c>
      <c r="I3944" s="6" t="str">
        <f>VLOOKUP(F3944,Customer,5,0)</f>
        <v>Melbourne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5580</v>
      </c>
      <c r="O3944" s="2">
        <v>47</v>
      </c>
      <c r="P3944" s="8">
        <f t="shared" si="307"/>
        <v>5627</v>
      </c>
      <c r="Q3944" s="8">
        <f t="shared" si="308"/>
        <v>466</v>
      </c>
      <c r="R3944" s="2" t="s">
        <v>50</v>
      </c>
      <c r="S3944" s="24">
        <f t="shared" si="309"/>
        <v>0.05</v>
      </c>
    </row>
    <row r="3945" spans="1:19" x14ac:dyDescent="0.25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>VLOOKUP(F3945,'Customer Info'!$A:$B,2,0)</f>
        <v>Victor</v>
      </c>
      <c r="H3945" s="6" t="str">
        <f>VLOOKUP(F3945,'Customer Info'!$A$1:$C$501,3,0)</f>
        <v>Preis</v>
      </c>
      <c r="I3945" s="6" t="str">
        <f>VLOOKUP(F3945,Customer,5,0)</f>
        <v>Melbourne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546</v>
      </c>
      <c r="O3945" s="2">
        <v>10</v>
      </c>
      <c r="P3945" s="8">
        <f t="shared" si="307"/>
        <v>556</v>
      </c>
      <c r="Q3945" s="8">
        <f t="shared" si="308"/>
        <v>28</v>
      </c>
      <c r="R3945" s="2" t="s">
        <v>28</v>
      </c>
      <c r="S3945" s="24">
        <f t="shared" si="309"/>
        <v>0.02</v>
      </c>
    </row>
    <row r="3946" spans="1:19" x14ac:dyDescent="0.25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>VLOOKUP(F3946,'Customer Info'!$A:$B,2,0)</f>
        <v>Steven</v>
      </c>
      <c r="H3946" s="6" t="str">
        <f>VLOOKUP(F3946,'Customer Info'!$A$1:$C$501,3,0)</f>
        <v>Roelle</v>
      </c>
      <c r="I3946" s="6" t="str">
        <f>VLOOKUP(F3946,Customer,5,0)</f>
        <v>Bonn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1212</v>
      </c>
      <c r="O3946" s="2">
        <v>60</v>
      </c>
      <c r="P3946" s="8">
        <f t="shared" si="307"/>
        <v>1272</v>
      </c>
      <c r="Q3946" s="8">
        <f t="shared" si="308"/>
        <v>99</v>
      </c>
      <c r="R3946" s="2" t="s">
        <v>50</v>
      </c>
      <c r="S3946" s="24">
        <f t="shared" si="309"/>
        <v>0.02</v>
      </c>
    </row>
    <row r="3947" spans="1:19" x14ac:dyDescent="0.25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>VLOOKUP(F3947,'Customer Info'!$A:$B,2,0)</f>
        <v>MaryBeth</v>
      </c>
      <c r="H3947" s="6" t="str">
        <f>VLOOKUP(F3947,'Customer Info'!$A$1:$C$501,3,0)</f>
        <v>Skach</v>
      </c>
      <c r="I3947" s="6" t="str">
        <f>VLOOKUP(F3947,Customer,5,0)</f>
        <v>Licheng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8154</v>
      </c>
      <c r="O3947" s="2">
        <v>50</v>
      </c>
      <c r="P3947" s="8">
        <f t="shared" si="307"/>
        <v>8204</v>
      </c>
      <c r="Q3947" s="8">
        <f t="shared" si="308"/>
        <v>828</v>
      </c>
      <c r="R3947" s="2" t="s">
        <v>50</v>
      </c>
      <c r="S3947" s="24">
        <f t="shared" si="309"/>
        <v>0.05</v>
      </c>
    </row>
    <row r="3948" spans="1:19" x14ac:dyDescent="0.25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>VLOOKUP(F3948,'Customer Info'!$A:$B,2,0)</f>
        <v>Erin</v>
      </c>
      <c r="H3948" s="6" t="str">
        <f>VLOOKUP(F3948,'Customer Info'!$A$1:$C$501,3,0)</f>
        <v>Smith</v>
      </c>
      <c r="I3948" s="6" t="str">
        <f>VLOOKUP(F3948,Customer,5,0)</f>
        <v>Yuci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7014</v>
      </c>
      <c r="O3948" s="2">
        <v>51</v>
      </c>
      <c r="P3948" s="8">
        <f t="shared" si="307"/>
        <v>7065</v>
      </c>
      <c r="Q3948" s="8">
        <f t="shared" si="308"/>
        <v>396</v>
      </c>
      <c r="R3948" s="2" t="s">
        <v>50</v>
      </c>
      <c r="S3948" s="24">
        <f t="shared" si="309"/>
        <v>0.05</v>
      </c>
    </row>
    <row r="3949" spans="1:19" x14ac:dyDescent="0.25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>VLOOKUP(F3949,'Customer Info'!$A:$B,2,0)</f>
        <v>Lindsay</v>
      </c>
      <c r="H3949" s="6" t="str">
        <f>VLOOKUP(F3949,'Customer Info'!$A$1:$C$501,3,0)</f>
        <v>Shagiari</v>
      </c>
      <c r="I3949" s="6" t="str">
        <f>VLOOKUP(F3949,Customer,5,0)</f>
        <v>Canberra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525</v>
      </c>
      <c r="O3949" s="2">
        <v>30</v>
      </c>
      <c r="P3949" s="8">
        <f t="shared" si="307"/>
        <v>555</v>
      </c>
      <c r="Q3949" s="8">
        <f t="shared" si="308"/>
        <v>39</v>
      </c>
      <c r="R3949" s="2" t="s">
        <v>28</v>
      </c>
      <c r="S3949" s="24">
        <f t="shared" si="309"/>
        <v>0.02</v>
      </c>
    </row>
    <row r="3950" spans="1:19" x14ac:dyDescent="0.25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>VLOOKUP(F3950,'Customer Info'!$A:$B,2,0)</f>
        <v>Hilary</v>
      </c>
      <c r="H3950" s="6" t="str">
        <f>VLOOKUP(F3950,'Customer Info'!$A$1:$C$501,3,0)</f>
        <v>Holden</v>
      </c>
      <c r="I3950" s="6" t="str">
        <f>VLOOKUP(F3950,Customer,5,0)</f>
        <v>Mysore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64698</v>
      </c>
      <c r="O3950" s="2">
        <v>84</v>
      </c>
      <c r="P3950" s="8">
        <f t="shared" si="307"/>
        <v>64782</v>
      </c>
      <c r="Q3950" s="8">
        <f t="shared" si="308"/>
        <v>7023</v>
      </c>
      <c r="R3950" s="2" t="s">
        <v>28</v>
      </c>
      <c r="S3950" s="24">
        <f t="shared" si="309"/>
        <v>0.09</v>
      </c>
    </row>
    <row r="3951" spans="1:19" x14ac:dyDescent="0.25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>VLOOKUP(F3951,'Customer Info'!$A:$B,2,0)</f>
        <v>Nathan</v>
      </c>
      <c r="H3951" s="6" t="str">
        <f>VLOOKUP(F3951,'Customer Info'!$A$1:$C$501,3,0)</f>
        <v>Gelder</v>
      </c>
      <c r="I3951" s="6" t="str">
        <f>VLOOKUP(F3951,Customer,5,0)</f>
        <v>Depok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19833</v>
      </c>
      <c r="O3951" s="2">
        <v>63</v>
      </c>
      <c r="P3951" s="8">
        <f t="shared" si="307"/>
        <v>19896</v>
      </c>
      <c r="Q3951" s="8">
        <f t="shared" si="308"/>
        <v>2004</v>
      </c>
      <c r="R3951" s="2" t="s">
        <v>28</v>
      </c>
      <c r="S3951" s="24">
        <f t="shared" si="309"/>
        <v>0.05</v>
      </c>
    </row>
    <row r="3952" spans="1:19" x14ac:dyDescent="0.25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>VLOOKUP(F3952,'Customer Info'!$A:$B,2,0)</f>
        <v>Victor</v>
      </c>
      <c r="H3952" s="6" t="str">
        <f>VLOOKUP(F3952,'Customer Info'!$A$1:$C$501,3,0)</f>
        <v>Preis</v>
      </c>
      <c r="I3952" s="6" t="str">
        <f>VLOOKUP(F3952,Customer,5,0)</f>
        <v>Melbourne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1512</v>
      </c>
      <c r="O3952" s="2">
        <v>54</v>
      </c>
      <c r="P3952" s="8">
        <f t="shared" si="307"/>
        <v>1566</v>
      </c>
      <c r="Q3952" s="8">
        <f t="shared" si="308"/>
        <v>15</v>
      </c>
      <c r="R3952" s="2" t="s">
        <v>50</v>
      </c>
      <c r="S3952" s="24">
        <f t="shared" si="309"/>
        <v>0.02</v>
      </c>
    </row>
    <row r="3953" spans="1:19" x14ac:dyDescent="0.25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>VLOOKUP(F3953,'Customer Info'!$A:$B,2,0)</f>
        <v>Stefanie</v>
      </c>
      <c r="H3953" s="6" t="str">
        <f>VLOOKUP(F3953,'Customer Info'!$A$1:$C$501,3,0)</f>
        <v>Holloman</v>
      </c>
      <c r="I3953" s="6" t="str">
        <f>VLOOKUP(F3953,Customer,5,0)</f>
        <v>Geraldton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1358</v>
      </c>
      <c r="O3953" s="2">
        <v>60</v>
      </c>
      <c r="P3953" s="8">
        <f t="shared" si="307"/>
        <v>1418</v>
      </c>
      <c r="Q3953" s="8">
        <f t="shared" si="308"/>
        <v>101</v>
      </c>
      <c r="R3953" s="2" t="s">
        <v>50</v>
      </c>
      <c r="S3953" s="24">
        <f t="shared" si="309"/>
        <v>0.02</v>
      </c>
    </row>
    <row r="3954" spans="1:19" x14ac:dyDescent="0.25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>VLOOKUP(F3954,'Customer Info'!$A:$B,2,0)</f>
        <v>Mike</v>
      </c>
      <c r="H3954" s="6" t="str">
        <f>VLOOKUP(F3954,'Customer Info'!$A$1:$C$501,3,0)</f>
        <v>Gockenbach</v>
      </c>
      <c r="I3954" s="6" t="str">
        <f>VLOOKUP(F3954,Customer,5,0)</f>
        <v>Caloundra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9428</v>
      </c>
      <c r="O3954" s="2">
        <v>40</v>
      </c>
      <c r="P3954" s="8">
        <f t="shared" si="307"/>
        <v>9468</v>
      </c>
      <c r="Q3954" s="8">
        <f t="shared" si="308"/>
        <v>782</v>
      </c>
      <c r="R3954" s="2" t="s">
        <v>28</v>
      </c>
      <c r="S3954" s="24">
        <f t="shared" si="309"/>
        <v>0.05</v>
      </c>
    </row>
    <row r="3955" spans="1:19" x14ac:dyDescent="0.25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>VLOOKUP(F3955,'Customer Info'!$A:$B,2,0)</f>
        <v>Toby</v>
      </c>
      <c r="H3955" s="6" t="str">
        <f>VLOOKUP(F3955,'Customer Info'!$A$1:$C$501,3,0)</f>
        <v>Gnade</v>
      </c>
      <c r="I3955" s="6" t="str">
        <f>VLOOKUP(F3955,Customer,5,0)</f>
        <v>Wagga Wagga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3668</v>
      </c>
      <c r="O3955" s="2">
        <v>65</v>
      </c>
      <c r="P3955" s="8">
        <f t="shared" si="307"/>
        <v>3733</v>
      </c>
      <c r="Q3955" s="8">
        <f t="shared" si="308"/>
        <v>236</v>
      </c>
      <c r="R3955" s="2" t="s">
        <v>28</v>
      </c>
      <c r="S3955" s="24">
        <f t="shared" si="309"/>
        <v>0.02</v>
      </c>
    </row>
    <row r="3956" spans="1:19" x14ac:dyDescent="0.25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>VLOOKUP(F3956,'Customer Info'!$A:$B,2,0)</f>
        <v>Quincy</v>
      </c>
      <c r="H3956" s="6" t="str">
        <f>VLOOKUP(F3956,'Customer Info'!$A$1:$C$501,3,0)</f>
        <v>Jones</v>
      </c>
      <c r="I3956" s="6" t="str">
        <f>VLOOKUP(F3956,Customer,5,0)</f>
        <v>Gold Coast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1060</v>
      </c>
      <c r="O3956" s="2">
        <v>65</v>
      </c>
      <c r="P3956" s="8">
        <f t="shared" si="307"/>
        <v>1125</v>
      </c>
      <c r="Q3956" s="8">
        <f t="shared" si="308"/>
        <v>96</v>
      </c>
      <c r="R3956" s="2" t="s">
        <v>26</v>
      </c>
      <c r="S3956" s="24">
        <f t="shared" si="309"/>
        <v>0.02</v>
      </c>
    </row>
    <row r="3957" spans="1:19" x14ac:dyDescent="0.25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>VLOOKUP(F3957,'Customer Info'!$A:$B,2,0)</f>
        <v>Deirdre</v>
      </c>
      <c r="H3957" s="6" t="str">
        <f>VLOOKUP(F3957,'Customer Info'!$A$1:$C$501,3,0)</f>
        <v>Greer</v>
      </c>
      <c r="I3957" s="6" t="str">
        <f>VLOOKUP(F3957,Customer,5,0)</f>
        <v>Perth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5424</v>
      </c>
      <c r="O3957" s="2">
        <v>99</v>
      </c>
      <c r="P3957" s="8">
        <f t="shared" si="307"/>
        <v>5523</v>
      </c>
      <c r="Q3957" s="8">
        <f t="shared" si="308"/>
        <v>204</v>
      </c>
      <c r="R3957" s="2" t="s">
        <v>28</v>
      </c>
      <c r="S3957" s="24">
        <f t="shared" si="309"/>
        <v>0.05</v>
      </c>
    </row>
    <row r="3958" spans="1:19" x14ac:dyDescent="0.25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>VLOOKUP(F3958,'Customer Info'!$A:$B,2,0)</f>
        <v>MaryBeth</v>
      </c>
      <c r="H3958" s="6" t="str">
        <f>VLOOKUP(F3958,'Customer Info'!$A$1:$C$501,3,0)</f>
        <v>Skach</v>
      </c>
      <c r="I3958" s="6" t="str">
        <f>VLOOKUP(F3958,Customer,5,0)</f>
        <v>Licheng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3508</v>
      </c>
      <c r="O3958" s="2">
        <v>66</v>
      </c>
      <c r="P3958" s="8">
        <f t="shared" si="307"/>
        <v>3574</v>
      </c>
      <c r="Q3958" s="8">
        <f t="shared" si="308"/>
        <v>356</v>
      </c>
      <c r="R3958" s="2" t="s">
        <v>50</v>
      </c>
      <c r="S3958" s="24">
        <f t="shared" si="309"/>
        <v>0.02</v>
      </c>
    </row>
    <row r="3959" spans="1:19" x14ac:dyDescent="0.25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>VLOOKUP(F3959,'Customer Info'!$A:$B,2,0)</f>
        <v>Dan</v>
      </c>
      <c r="H3959" s="6" t="str">
        <f>VLOOKUP(F3959,'Customer Info'!$A$1:$C$501,3,0)</f>
        <v>Campbell</v>
      </c>
      <c r="I3959" s="6" t="str">
        <f>VLOOKUP(F3959,Customer,5,0)</f>
        <v>Perth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4546</v>
      </c>
      <c r="O3959" s="2">
        <v>86</v>
      </c>
      <c r="P3959" s="8">
        <f t="shared" si="307"/>
        <v>4632</v>
      </c>
      <c r="Q3959" s="8">
        <f t="shared" si="308"/>
        <v>88</v>
      </c>
      <c r="R3959" s="2" t="s">
        <v>50</v>
      </c>
      <c r="S3959" s="24">
        <f t="shared" si="309"/>
        <v>0.02</v>
      </c>
    </row>
    <row r="3960" spans="1:19" x14ac:dyDescent="0.25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>VLOOKUP(F3960,'Customer Info'!$A:$B,2,0)</f>
        <v>Ralph</v>
      </c>
      <c r="H3960" s="6" t="str">
        <f>VLOOKUP(F3960,'Customer Info'!$A$1:$C$501,3,0)</f>
        <v>Kennedy</v>
      </c>
      <c r="I3960" s="6" t="str">
        <f>VLOOKUP(F3960,Customer,5,0)</f>
        <v>Perth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6368</v>
      </c>
      <c r="O3960" s="2">
        <v>27</v>
      </c>
      <c r="P3960" s="8">
        <f t="shared" si="307"/>
        <v>6395</v>
      </c>
      <c r="Q3960" s="8">
        <f t="shared" si="308"/>
        <v>474</v>
      </c>
      <c r="R3960" s="2" t="s">
        <v>28</v>
      </c>
      <c r="S3960" s="24">
        <f t="shared" si="309"/>
        <v>0.05</v>
      </c>
    </row>
    <row r="3961" spans="1:19" x14ac:dyDescent="0.25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>VLOOKUP(F3961,'Customer Info'!$A:$B,2,0)</f>
        <v>Julie</v>
      </c>
      <c r="H3961" s="6" t="str">
        <f>VLOOKUP(F3961,'Customer Info'!$A$1:$C$501,3,0)</f>
        <v>Prescott</v>
      </c>
      <c r="I3961" s="6" t="str">
        <f>VLOOKUP(F3961,Customer,5,0)</f>
        <v>Norderstedt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5916</v>
      </c>
      <c r="O3961" s="2">
        <v>98</v>
      </c>
      <c r="P3961" s="8">
        <f t="shared" si="307"/>
        <v>6014</v>
      </c>
      <c r="Q3961" s="8">
        <f t="shared" si="308"/>
        <v>430</v>
      </c>
      <c r="R3961" s="2" t="s">
        <v>50</v>
      </c>
      <c r="S3961" s="24">
        <f t="shared" si="309"/>
        <v>0.05</v>
      </c>
    </row>
    <row r="3962" spans="1:19" x14ac:dyDescent="0.25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>VLOOKUP(F3962,'Customer Info'!$A:$B,2,0)</f>
        <v>Sara</v>
      </c>
      <c r="H3962" s="6" t="str">
        <f>VLOOKUP(F3962,'Customer Info'!$A$1:$C$501,3,0)</f>
        <v>Luxemburg</v>
      </c>
      <c r="I3962" s="6" t="str">
        <f>VLOOKUP(F3962,Customer,5,0)</f>
        <v>Luoyang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2790</v>
      </c>
      <c r="O3962" s="2">
        <v>80</v>
      </c>
      <c r="P3962" s="8">
        <f t="shared" si="307"/>
        <v>2870</v>
      </c>
      <c r="Q3962" s="8">
        <f t="shared" si="308"/>
        <v>156</v>
      </c>
      <c r="R3962" s="2" t="s">
        <v>50</v>
      </c>
      <c r="S3962" s="24">
        <f t="shared" si="309"/>
        <v>0.02</v>
      </c>
    </row>
    <row r="3963" spans="1:19" x14ac:dyDescent="0.25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>VLOOKUP(F3963,'Customer Info'!$A:$B,2,0)</f>
        <v>Pauline</v>
      </c>
      <c r="H3963" s="6" t="str">
        <f>VLOOKUP(F3963,'Customer Info'!$A$1:$C$501,3,0)</f>
        <v>Chand</v>
      </c>
      <c r="I3963" s="6" t="str">
        <f>VLOOKUP(F3963,Customer,5,0)</f>
        <v>Perth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6664</v>
      </c>
      <c r="O3963" s="2">
        <v>58</v>
      </c>
      <c r="P3963" s="8">
        <f t="shared" si="307"/>
        <v>6722</v>
      </c>
      <c r="Q3963" s="8">
        <f t="shared" si="308"/>
        <v>191</v>
      </c>
      <c r="R3963" s="2" t="s">
        <v>56</v>
      </c>
      <c r="S3963" s="24">
        <f t="shared" si="309"/>
        <v>0.05</v>
      </c>
    </row>
    <row r="3964" spans="1:19" x14ac:dyDescent="0.25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>VLOOKUP(F3964,'Customer Info'!$A:$B,2,0)</f>
        <v>Kelly</v>
      </c>
      <c r="H3964" s="6" t="str">
        <f>VLOOKUP(F3964,'Customer Info'!$A$1:$C$501,3,0)</f>
        <v>Williams</v>
      </c>
      <c r="I3964" s="6" t="str">
        <f>VLOOKUP(F3964,Customer,5,0)</f>
        <v>Sydney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334</v>
      </c>
      <c r="O3964" s="2">
        <v>30</v>
      </c>
      <c r="P3964" s="8">
        <f t="shared" si="307"/>
        <v>364</v>
      </c>
      <c r="Q3964" s="8">
        <f t="shared" si="308"/>
        <v>24</v>
      </c>
      <c r="R3964" s="2" t="s">
        <v>28</v>
      </c>
      <c r="S3964" s="24">
        <f t="shared" si="309"/>
        <v>0.02</v>
      </c>
    </row>
    <row r="3965" spans="1:19" x14ac:dyDescent="0.25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>VLOOKUP(F3965,'Customer Info'!$A:$B,2,0)</f>
        <v>Jenna</v>
      </c>
      <c r="H3965" s="6" t="str">
        <f>VLOOKUP(F3965,'Customer Info'!$A$1:$C$501,3,0)</f>
        <v>Caffey</v>
      </c>
      <c r="I3965" s="6" t="str">
        <f>VLOOKUP(F3965,Customer,5,0)</f>
        <v>Kanpur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7664</v>
      </c>
      <c r="O3965" s="2">
        <v>36</v>
      </c>
      <c r="P3965" s="8">
        <f t="shared" si="307"/>
        <v>7700</v>
      </c>
      <c r="Q3965" s="8">
        <f t="shared" si="308"/>
        <v>288</v>
      </c>
      <c r="R3965" s="2" t="s">
        <v>28</v>
      </c>
      <c r="S3965" s="24">
        <f t="shared" si="309"/>
        <v>0.05</v>
      </c>
    </row>
    <row r="3966" spans="1:19" x14ac:dyDescent="0.25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>VLOOKUP(F3966,'Customer Info'!$A:$B,2,0)</f>
        <v>Jason</v>
      </c>
      <c r="H3966" s="6" t="str">
        <f>VLOOKUP(F3966,'Customer Info'!$A$1:$C$501,3,0)</f>
        <v>Gross</v>
      </c>
      <c r="I3966" s="6" t="str">
        <f>VLOOKUP(F3966,Customer,5,0)</f>
        <v>Sydney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552</v>
      </c>
      <c r="O3966" s="2">
        <v>30</v>
      </c>
      <c r="P3966" s="8">
        <f t="shared" si="307"/>
        <v>582</v>
      </c>
      <c r="Q3966" s="8">
        <f t="shared" si="308"/>
        <v>24</v>
      </c>
      <c r="R3966" s="2" t="s">
        <v>28</v>
      </c>
      <c r="S3966" s="24">
        <f t="shared" si="309"/>
        <v>0.02</v>
      </c>
    </row>
    <row r="3967" spans="1:19" x14ac:dyDescent="0.25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>VLOOKUP(F3967,'Customer Info'!$A:$B,2,0)</f>
        <v>Ann</v>
      </c>
      <c r="H3967" s="6" t="str">
        <f>VLOOKUP(F3967,'Customer Info'!$A$1:$C$501,3,0)</f>
        <v>Chong</v>
      </c>
      <c r="I3967" s="6" t="str">
        <f>VLOOKUP(F3967,Customer,5,0)</f>
        <v>Sydney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8168</v>
      </c>
      <c r="O3967" s="2">
        <v>33</v>
      </c>
      <c r="P3967" s="8">
        <f t="shared" si="307"/>
        <v>8201</v>
      </c>
      <c r="Q3967" s="8">
        <f t="shared" si="308"/>
        <v>308</v>
      </c>
      <c r="R3967" s="2" t="s">
        <v>28</v>
      </c>
      <c r="S3967" s="24">
        <f t="shared" si="309"/>
        <v>0.05</v>
      </c>
    </row>
    <row r="3968" spans="1:19" x14ac:dyDescent="0.25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>VLOOKUP(F3968,'Customer Info'!$A:$B,2,0)</f>
        <v>Allen</v>
      </c>
      <c r="H3968" s="6" t="str">
        <f>VLOOKUP(F3968,'Customer Info'!$A$1:$C$501,3,0)</f>
        <v>Rosenblatt</v>
      </c>
      <c r="I3968" s="6" t="str">
        <f>VLOOKUP(F3968,Customer,5,0)</f>
        <v>Chaozhou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2187</v>
      </c>
      <c r="O3968" s="2">
        <v>42</v>
      </c>
      <c r="P3968" s="8">
        <f t="shared" si="307"/>
        <v>2229</v>
      </c>
      <c r="Q3968" s="8">
        <f t="shared" si="308"/>
        <v>120</v>
      </c>
      <c r="R3968" s="2" t="s">
        <v>28</v>
      </c>
      <c r="S3968" s="24">
        <f t="shared" si="309"/>
        <v>0.02</v>
      </c>
    </row>
    <row r="3969" spans="1:19" x14ac:dyDescent="0.25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>VLOOKUP(F3969,'Customer Info'!$A:$B,2,0)</f>
        <v>Jack</v>
      </c>
      <c r="H3969" s="6" t="str">
        <f>VLOOKUP(F3969,'Customer Info'!$A$1:$C$501,3,0)</f>
        <v>O'Briant</v>
      </c>
      <c r="I3969" s="6" t="str">
        <f>VLOOKUP(F3969,Customer,5,0)</f>
        <v>Jammu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2073</v>
      </c>
      <c r="O3969" s="2">
        <v>40</v>
      </c>
      <c r="P3969" s="8">
        <f t="shared" si="307"/>
        <v>2113</v>
      </c>
      <c r="Q3969" s="8">
        <f t="shared" si="308"/>
        <v>135</v>
      </c>
      <c r="R3969" s="2" t="s">
        <v>50</v>
      </c>
      <c r="S3969" s="24">
        <f t="shared" si="309"/>
        <v>0.02</v>
      </c>
    </row>
    <row r="3970" spans="1:19" x14ac:dyDescent="0.25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>VLOOKUP(F3970,'Customer Info'!$A:$B,2,0)</f>
        <v>Troy</v>
      </c>
      <c r="H3970" s="6" t="str">
        <f>VLOOKUP(F3970,'Customer Info'!$A$1:$C$501,3,0)</f>
        <v>Staebel</v>
      </c>
      <c r="I3970" s="6" t="str">
        <f>VLOOKUP(F3970,Customer,5,0)</f>
        <v>Depok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2553</v>
      </c>
      <c r="O3970" s="2">
        <v>30</v>
      </c>
      <c r="P3970" s="8">
        <f t="shared" si="307"/>
        <v>2583</v>
      </c>
      <c r="Q3970" s="8">
        <f t="shared" si="308"/>
        <v>234</v>
      </c>
      <c r="R3970" s="2" t="s">
        <v>28</v>
      </c>
      <c r="S3970" s="24">
        <f t="shared" si="309"/>
        <v>0.02</v>
      </c>
    </row>
    <row r="3971" spans="1:19" x14ac:dyDescent="0.25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>VLOOKUP(F3971,'Customer Info'!$A:$B,2,0)</f>
        <v>Fred</v>
      </c>
      <c r="H3971" s="6" t="str">
        <f>VLOOKUP(F3971,'Customer Info'!$A$1:$C$501,3,0)</f>
        <v>Wasserman</v>
      </c>
      <c r="I3971" s="6" t="str">
        <f>VLOOKUP(F3971,Customer,5,0)</f>
        <v>Willich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453</v>
      </c>
      <c r="O3971" s="2">
        <v>30</v>
      </c>
      <c r="P3971" s="8">
        <f t="shared" si="307"/>
        <v>483</v>
      </c>
      <c r="Q3971" s="8">
        <f t="shared" si="308"/>
        <v>36</v>
      </c>
      <c r="R3971" s="2" t="s">
        <v>28</v>
      </c>
      <c r="S3971" s="24">
        <f t="shared" si="309"/>
        <v>0.02</v>
      </c>
    </row>
    <row r="3972" spans="1:19" x14ac:dyDescent="0.25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>VLOOKUP(F3972,'Customer Info'!$A:$B,2,0)</f>
        <v>Cyra</v>
      </c>
      <c r="H3972" s="6" t="str">
        <f>VLOOKUP(F3972,'Customer Info'!$A$1:$C$501,3,0)</f>
        <v>Reiten</v>
      </c>
      <c r="I3972" s="6" t="str">
        <f>VLOOKUP(F3972,Customer,5,0)</f>
        <v>Srinagar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1956</v>
      </c>
      <c r="O3972" s="2">
        <v>53</v>
      </c>
      <c r="P3972" s="8">
        <f t="shared" si="307"/>
        <v>2009</v>
      </c>
      <c r="Q3972" s="8">
        <f t="shared" si="308"/>
        <v>112</v>
      </c>
      <c r="R3972" s="2" t="s">
        <v>28</v>
      </c>
      <c r="S3972" s="24">
        <f t="shared" si="309"/>
        <v>0.02</v>
      </c>
    </row>
    <row r="3973" spans="1:19" x14ac:dyDescent="0.25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>VLOOKUP(F3973,'Customer Info'!$A:$B,2,0)</f>
        <v>Debra</v>
      </c>
      <c r="H3973" s="6" t="str">
        <f>VLOOKUP(F3973,'Customer Info'!$A$1:$C$501,3,0)</f>
        <v>Catini</v>
      </c>
      <c r="I3973" s="6" t="str">
        <f>VLOOKUP(F3973,Customer,5,0)</f>
        <v>Brisbane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525</v>
      </c>
      <c r="O3973" s="2">
        <v>30</v>
      </c>
      <c r="P3973" s="8">
        <f t="shared" si="307"/>
        <v>555</v>
      </c>
      <c r="Q3973" s="8">
        <f t="shared" si="308"/>
        <v>39</v>
      </c>
      <c r="R3973" s="2" t="s">
        <v>26</v>
      </c>
      <c r="S3973" s="24">
        <f t="shared" si="309"/>
        <v>0.02</v>
      </c>
    </row>
    <row r="3974" spans="1:19" x14ac:dyDescent="0.25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>VLOOKUP(F3974,'Customer Info'!$A:$B,2,0)</f>
        <v>Ritsa</v>
      </c>
      <c r="H3974" s="6" t="str">
        <f>VLOOKUP(F3974,'Customer Info'!$A$1:$C$501,3,0)</f>
        <v>Hightower</v>
      </c>
      <c r="I3974" s="6" t="str">
        <f>VLOOKUP(F3974,Customer,5,0)</f>
        <v>Hamburg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2958</v>
      </c>
      <c r="O3974" s="2">
        <v>83</v>
      </c>
      <c r="P3974" s="8">
        <f t="shared" si="307"/>
        <v>3041</v>
      </c>
      <c r="Q3974" s="8">
        <f t="shared" si="308"/>
        <v>215</v>
      </c>
      <c r="R3974" s="2" t="s">
        <v>50</v>
      </c>
      <c r="S3974" s="24">
        <f t="shared" si="309"/>
        <v>0.02</v>
      </c>
    </row>
    <row r="3975" spans="1:19" x14ac:dyDescent="0.25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>VLOOKUP(F3975,'Customer Info'!$A:$B,2,0)</f>
        <v>Barry</v>
      </c>
      <c r="H3975" s="6" t="str">
        <f>VLOOKUP(F3975,'Customer Info'!$A$1:$C$501,3,0)</f>
        <v>Blumstein</v>
      </c>
      <c r="I3975" s="6" t="str">
        <f>VLOOKUP(F3975,Customer,5,0)</f>
        <v>Gold Coast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7760</v>
      </c>
      <c r="O3975" s="2">
        <v>54</v>
      </c>
      <c r="P3975" s="8">
        <f t="shared" si="307"/>
        <v>7814</v>
      </c>
      <c r="Q3975" s="8">
        <f t="shared" si="308"/>
        <v>430</v>
      </c>
      <c r="R3975" s="2" t="s">
        <v>28</v>
      </c>
      <c r="S3975" s="24">
        <f t="shared" si="309"/>
        <v>0.05</v>
      </c>
    </row>
    <row r="3976" spans="1:19" x14ac:dyDescent="0.25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>VLOOKUP(F3976,'Customer Info'!$A:$B,2,0)</f>
        <v>Neil</v>
      </c>
      <c r="H3976" s="6" t="str">
        <f>VLOOKUP(F3976,'Customer Info'!$A$1:$C$501,3,0)</f>
        <v>Knudson</v>
      </c>
      <c r="I3976" s="6" t="str">
        <f>VLOOKUP(F3976,Customer,5,0)</f>
        <v>Malang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1062</v>
      </c>
      <c r="O3976" s="2">
        <v>55</v>
      </c>
      <c r="P3976" s="8">
        <f t="shared" si="307"/>
        <v>1117</v>
      </c>
      <c r="Q3976" s="8">
        <f t="shared" si="308"/>
        <v>88</v>
      </c>
      <c r="R3976" s="2" t="s">
        <v>26</v>
      </c>
      <c r="S3976" s="24">
        <f t="shared" si="309"/>
        <v>0.02</v>
      </c>
    </row>
    <row r="3977" spans="1:19" x14ac:dyDescent="0.25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>VLOOKUP(F3977,'Customer Info'!$A:$B,2,0)</f>
        <v>Tamara</v>
      </c>
      <c r="H3977" s="6" t="str">
        <f>VLOOKUP(F3977,'Customer Info'!$A$1:$C$501,3,0)</f>
        <v>Chand</v>
      </c>
      <c r="I3977" s="6" t="str">
        <f>VLOOKUP(F3977,Customer,5,0)</f>
        <v>Yogyakarta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32016</v>
      </c>
      <c r="O3977" s="2">
        <v>45</v>
      </c>
      <c r="P3977" s="8">
        <f t="shared" si="307"/>
        <v>32061</v>
      </c>
      <c r="Q3977" s="8">
        <f t="shared" si="308"/>
        <v>2064</v>
      </c>
      <c r="R3977" s="2" t="s">
        <v>28</v>
      </c>
      <c r="S3977" s="24">
        <f t="shared" si="309"/>
        <v>7.0000000000000007E-2</v>
      </c>
    </row>
    <row r="3978" spans="1:19" x14ac:dyDescent="0.25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>VLOOKUP(F3978,'Customer Info'!$A:$B,2,0)</f>
        <v>Peter</v>
      </c>
      <c r="H3978" s="6" t="str">
        <f>VLOOKUP(F3978,'Customer Info'!$A$1:$C$501,3,0)</f>
        <v>BŸhler</v>
      </c>
      <c r="I3978" s="6" t="str">
        <f>VLOOKUP(F3978,Customer,5,0)</f>
        <v>Dresden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24348</v>
      </c>
      <c r="O3978" s="2">
        <v>97</v>
      </c>
      <c r="P3978" s="8">
        <f t="shared" si="307"/>
        <v>24445</v>
      </c>
      <c r="Q3978" s="8">
        <f t="shared" si="308"/>
        <v>1116</v>
      </c>
      <c r="R3978" s="2" t="s">
        <v>56</v>
      </c>
      <c r="S3978" s="24">
        <f t="shared" si="309"/>
        <v>0.05</v>
      </c>
    </row>
    <row r="3979" spans="1:19" x14ac:dyDescent="0.25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>VLOOKUP(F3979,'Customer Info'!$A:$B,2,0)</f>
        <v>Jenna</v>
      </c>
      <c r="H3979" s="6" t="str">
        <f>VLOOKUP(F3979,'Customer Info'!$A$1:$C$501,3,0)</f>
        <v>Caffey</v>
      </c>
      <c r="I3979" s="6" t="str">
        <f>VLOOKUP(F3979,Customer,5,0)</f>
        <v>Kanpur</v>
      </c>
      <c r="J3979" s="2">
        <v>2921</v>
      </c>
      <c r="K3979" s="2">
        <v>2809</v>
      </c>
      <c r="L3979" s="2">
        <v>3</v>
      </c>
      <c r="M3979" s="7">
        <f t="shared" ref="M3979:M4042" si="310">K3979*L3979</f>
        <v>8427</v>
      </c>
      <c r="N3979" s="7">
        <f t="shared" ref="N3979:N4042" si="311">J3979*L3979</f>
        <v>8763</v>
      </c>
      <c r="O3979" s="2">
        <v>99</v>
      </c>
      <c r="P3979" s="8">
        <f t="shared" ref="P3979:P4042" si="312">N3979+O3979</f>
        <v>8862</v>
      </c>
      <c r="Q3979" s="8">
        <f t="shared" ref="Q3979:Q4042" si="313">N3979-M3979</f>
        <v>336</v>
      </c>
      <c r="R3979" s="2" t="s">
        <v>28</v>
      </c>
      <c r="S3979" s="24">
        <f t="shared" ref="S3979:S4042" si="314">VLOOKUP(N3979,$T$1:$U$7,2,TRUE)</f>
        <v>0.05</v>
      </c>
    </row>
    <row r="3980" spans="1:19" x14ac:dyDescent="0.25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>VLOOKUP(F3980,'Customer Info'!$A:$B,2,0)</f>
        <v>Victoria</v>
      </c>
      <c r="H3980" s="6" t="str">
        <f>VLOOKUP(F3980,'Customer Info'!$A$1:$C$501,3,0)</f>
        <v>Brennan</v>
      </c>
      <c r="I3980" s="6" t="str">
        <f>VLOOKUP(F3980,Customer,5,0)</f>
        <v>Adelaide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8">
        <f t="shared" si="312"/>
        <v>2585</v>
      </c>
      <c r="Q3980" s="8">
        <f t="shared" si="313"/>
        <v>140</v>
      </c>
      <c r="R3980" s="2" t="s">
        <v>50</v>
      </c>
      <c r="S3980" s="24">
        <f t="shared" si="314"/>
        <v>0.02</v>
      </c>
    </row>
    <row r="3981" spans="1:19" x14ac:dyDescent="0.25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>VLOOKUP(F3981,'Customer Info'!$A:$B,2,0)</f>
        <v>Jessica</v>
      </c>
      <c r="H3981" s="6" t="str">
        <f>VLOOKUP(F3981,'Customer Info'!$A$1:$C$501,3,0)</f>
        <v>Myrick</v>
      </c>
      <c r="I3981" s="6" t="str">
        <f>VLOOKUP(F3981,Customer,5,0)</f>
        <v>Krefeld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8">
        <f t="shared" si="312"/>
        <v>448</v>
      </c>
      <c r="Q3981" s="8">
        <f t="shared" si="313"/>
        <v>40</v>
      </c>
      <c r="R3981" s="2" t="s">
        <v>26</v>
      </c>
      <c r="S3981" s="24">
        <f t="shared" si="314"/>
        <v>0.02</v>
      </c>
    </row>
    <row r="3982" spans="1:19" x14ac:dyDescent="0.25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>VLOOKUP(F3982,'Customer Info'!$A:$B,2,0)</f>
        <v>Charlotte</v>
      </c>
      <c r="H3982" s="6" t="str">
        <f>VLOOKUP(F3982,'Customer Info'!$A$1:$C$501,3,0)</f>
        <v>Melton</v>
      </c>
      <c r="I3982" s="6" t="str">
        <f>VLOOKUP(F3982,Customer,5,0)</f>
        <v>Canberra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8">
        <f t="shared" si="312"/>
        <v>405</v>
      </c>
      <c r="Q3982" s="8">
        <f t="shared" si="313"/>
        <v>36</v>
      </c>
      <c r="R3982" s="2" t="s">
        <v>28</v>
      </c>
      <c r="S3982" s="24">
        <f t="shared" si="314"/>
        <v>0.02</v>
      </c>
    </row>
    <row r="3983" spans="1:19" x14ac:dyDescent="0.25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>VLOOKUP(F3983,'Customer Info'!$A:$B,2,0)</f>
        <v>Toby</v>
      </c>
      <c r="H3983" s="6" t="str">
        <f>VLOOKUP(F3983,'Customer Info'!$A$1:$C$501,3,0)</f>
        <v>Braunhardt</v>
      </c>
      <c r="I3983" s="6" t="str">
        <f>VLOOKUP(F3983,Customer,5,0)</f>
        <v>Jiangyan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8">
        <f t="shared" si="312"/>
        <v>358</v>
      </c>
      <c r="Q3983" s="8">
        <f t="shared" si="313"/>
        <v>24</v>
      </c>
      <c r="R3983" s="2" t="s">
        <v>26</v>
      </c>
      <c r="S3983" s="24">
        <f t="shared" si="314"/>
        <v>0.02</v>
      </c>
    </row>
    <row r="3984" spans="1:19" x14ac:dyDescent="0.25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>VLOOKUP(F3984,'Customer Info'!$A:$B,2,0)</f>
        <v>Rachel</v>
      </c>
      <c r="H3984" s="6" t="str">
        <f>VLOOKUP(F3984,'Customer Info'!$A$1:$C$501,3,0)</f>
        <v>Payne</v>
      </c>
      <c r="I3984" s="6" t="str">
        <f>VLOOKUP(F3984,Customer,5,0)</f>
        <v>Caloundra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930</v>
      </c>
      <c r="O3984" s="2">
        <v>99</v>
      </c>
      <c r="P3984" s="8">
        <f t="shared" si="312"/>
        <v>1029</v>
      </c>
      <c r="Q3984" s="8">
        <f t="shared" si="313"/>
        <v>52</v>
      </c>
      <c r="R3984" s="2" t="s">
        <v>50</v>
      </c>
      <c r="S3984" s="24">
        <f t="shared" si="314"/>
        <v>0.02</v>
      </c>
    </row>
    <row r="3985" spans="1:19" x14ac:dyDescent="0.25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>VLOOKUP(F3985,'Customer Info'!$A:$B,2,0)</f>
        <v>Kunst</v>
      </c>
      <c r="H3985" s="6" t="str">
        <f>VLOOKUP(F3985,'Customer Info'!$A$1:$C$501,3,0)</f>
        <v>Miller</v>
      </c>
      <c r="I3985" s="6" t="str">
        <f>VLOOKUP(F3985,Customer,5,0)</f>
        <v>Jakarta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555</v>
      </c>
      <c r="O3985" s="2">
        <v>30</v>
      </c>
      <c r="P3985" s="8">
        <f t="shared" si="312"/>
        <v>585</v>
      </c>
      <c r="Q3985" s="8">
        <f t="shared" si="313"/>
        <v>42</v>
      </c>
      <c r="R3985" s="2" t="s">
        <v>50</v>
      </c>
      <c r="S3985" s="24">
        <f t="shared" si="314"/>
        <v>0.02</v>
      </c>
    </row>
    <row r="3986" spans="1:19" x14ac:dyDescent="0.25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>VLOOKUP(F3986,'Customer Info'!$A:$B,2,0)</f>
        <v>Philisse</v>
      </c>
      <c r="H3986" s="6" t="str">
        <f>VLOOKUP(F3986,'Customer Info'!$A$1:$C$501,3,0)</f>
        <v>Overcash</v>
      </c>
      <c r="I3986" s="6" t="str">
        <f>VLOOKUP(F3986,Customer,5,0)</f>
        <v>Potsdam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3948</v>
      </c>
      <c r="O3986" s="2">
        <v>57</v>
      </c>
      <c r="P3986" s="8">
        <f t="shared" si="312"/>
        <v>4005</v>
      </c>
      <c r="Q3986" s="8">
        <f t="shared" si="313"/>
        <v>258</v>
      </c>
      <c r="R3986" s="2" t="s">
        <v>28</v>
      </c>
      <c r="S3986" s="24">
        <f t="shared" si="314"/>
        <v>0.02</v>
      </c>
    </row>
    <row r="3987" spans="1:19" x14ac:dyDescent="0.25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>VLOOKUP(F3987,'Customer Info'!$A:$B,2,0)</f>
        <v>Beth</v>
      </c>
      <c r="H3987" s="6" t="str">
        <f>VLOOKUP(F3987,'Customer Info'!$A$1:$C$501,3,0)</f>
        <v>Thompson</v>
      </c>
      <c r="I3987" s="6" t="str">
        <f>VLOOKUP(F3987,Customer,5,0)</f>
        <v>Lohne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388</v>
      </c>
      <c r="O3987" s="2">
        <v>30</v>
      </c>
      <c r="P3987" s="8">
        <f t="shared" si="312"/>
        <v>418</v>
      </c>
      <c r="Q3987" s="8">
        <f t="shared" si="313"/>
        <v>36</v>
      </c>
      <c r="R3987" s="2" t="s">
        <v>28</v>
      </c>
      <c r="S3987" s="24">
        <f t="shared" si="314"/>
        <v>0.02</v>
      </c>
    </row>
    <row r="3988" spans="1:19" x14ac:dyDescent="0.25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>VLOOKUP(F3988,'Customer Info'!$A:$B,2,0)</f>
        <v>Bill</v>
      </c>
      <c r="H3988" s="6" t="str">
        <f>VLOOKUP(F3988,'Customer Info'!$A$1:$C$501,3,0)</f>
        <v>Donatelli</v>
      </c>
      <c r="I3988" s="6" t="str">
        <f>VLOOKUP(F3988,Customer,5,0)</f>
        <v>Kamarhati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16374</v>
      </c>
      <c r="O3988" s="2">
        <v>94</v>
      </c>
      <c r="P3988" s="8">
        <f t="shared" si="312"/>
        <v>16468</v>
      </c>
      <c r="Q3988" s="8">
        <f t="shared" si="313"/>
        <v>776</v>
      </c>
      <c r="R3988" s="2" t="s">
        <v>56</v>
      </c>
      <c r="S3988" s="24">
        <f t="shared" si="314"/>
        <v>0.05</v>
      </c>
    </row>
    <row r="3989" spans="1:19" x14ac:dyDescent="0.25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>VLOOKUP(F3989,'Customer Info'!$A:$B,2,0)</f>
        <v>Meg</v>
      </c>
      <c r="H3989" s="6" t="str">
        <f>VLOOKUP(F3989,'Customer Info'!$A$1:$C$501,3,0)</f>
        <v>Tillman</v>
      </c>
      <c r="I3989" s="6" t="str">
        <f>VLOOKUP(F3989,Customer,5,0)</f>
        <v>Melbourne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40110</v>
      </c>
      <c r="O3989" s="2">
        <v>61</v>
      </c>
      <c r="P3989" s="8">
        <f t="shared" si="312"/>
        <v>40171</v>
      </c>
      <c r="Q3989" s="8">
        <f t="shared" si="313"/>
        <v>770</v>
      </c>
      <c r="R3989" s="2" t="s">
        <v>28</v>
      </c>
      <c r="S3989" s="24">
        <f t="shared" si="314"/>
        <v>7.0000000000000007E-2</v>
      </c>
    </row>
    <row r="3990" spans="1:19" x14ac:dyDescent="0.25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>VLOOKUP(F3990,'Customer Info'!$A:$B,2,0)</f>
        <v>Tom</v>
      </c>
      <c r="H3990" s="6" t="str">
        <f>VLOOKUP(F3990,'Customer Info'!$A$1:$C$501,3,0)</f>
        <v>Boeckenhauer</v>
      </c>
      <c r="I3990" s="6" t="str">
        <f>VLOOKUP(F3990,Customer,5,0)</f>
        <v>Neunkirchen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135</v>
      </c>
      <c r="O3990" s="2">
        <v>30</v>
      </c>
      <c r="P3990" s="8">
        <f t="shared" si="312"/>
        <v>165</v>
      </c>
      <c r="Q3990" s="8">
        <f t="shared" si="313"/>
        <v>6</v>
      </c>
      <c r="R3990" s="2" t="s">
        <v>28</v>
      </c>
      <c r="S3990" s="24">
        <f t="shared" si="314"/>
        <v>0.02</v>
      </c>
    </row>
    <row r="3991" spans="1:19" x14ac:dyDescent="0.25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>VLOOKUP(F3991,'Customer Info'!$A:$B,2,0)</f>
        <v>Michael</v>
      </c>
      <c r="H3991" s="6" t="str">
        <f>VLOOKUP(F3991,'Customer Info'!$A$1:$C$501,3,0)</f>
        <v>Moore</v>
      </c>
      <c r="I3991" s="6" t="str">
        <f>VLOOKUP(F3991,Customer,5,0)</f>
        <v>Melbourne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886</v>
      </c>
      <c r="O3991" s="2">
        <v>98</v>
      </c>
      <c r="P3991" s="8">
        <f t="shared" si="312"/>
        <v>984</v>
      </c>
      <c r="Q3991" s="8">
        <f t="shared" si="313"/>
        <v>90</v>
      </c>
      <c r="R3991" s="2" t="s">
        <v>50</v>
      </c>
      <c r="S3991" s="24">
        <f t="shared" si="314"/>
        <v>0.02</v>
      </c>
    </row>
    <row r="3992" spans="1:19" x14ac:dyDescent="0.25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>VLOOKUP(F3992,'Customer Info'!$A:$B,2,0)</f>
        <v>Mick</v>
      </c>
      <c r="H3992" s="6" t="str">
        <f>VLOOKUP(F3992,'Customer Info'!$A$1:$C$501,3,0)</f>
        <v>Brown</v>
      </c>
      <c r="I3992" s="6" t="str">
        <f>VLOOKUP(F3992,Customer,5,0)</f>
        <v>Frankfurt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8424</v>
      </c>
      <c r="O3992" s="2">
        <v>89</v>
      </c>
      <c r="P3992" s="8">
        <f t="shared" si="312"/>
        <v>8513</v>
      </c>
      <c r="Q3992" s="8">
        <f t="shared" si="313"/>
        <v>402</v>
      </c>
      <c r="R3992" s="2" t="s">
        <v>50</v>
      </c>
      <c r="S3992" s="24">
        <f t="shared" si="314"/>
        <v>0.05</v>
      </c>
    </row>
    <row r="3993" spans="1:19" x14ac:dyDescent="0.25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>VLOOKUP(F3993,'Customer Info'!$A:$B,2,0)</f>
        <v>Dean</v>
      </c>
      <c r="H3993" s="6" t="str">
        <f>VLOOKUP(F3993,'Customer Info'!$A$1:$C$501,3,0)</f>
        <v>Katz</v>
      </c>
      <c r="I3993" s="6" t="str">
        <f>VLOOKUP(F3993,Customer,5,0)</f>
        <v>Changzhou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184</v>
      </c>
      <c r="O3993" s="2">
        <v>10</v>
      </c>
      <c r="P3993" s="8">
        <f t="shared" si="312"/>
        <v>194</v>
      </c>
      <c r="Q3993" s="8">
        <f t="shared" si="313"/>
        <v>20</v>
      </c>
      <c r="R3993" s="2" t="s">
        <v>26</v>
      </c>
      <c r="S3993" s="24">
        <f t="shared" si="314"/>
        <v>0.02</v>
      </c>
    </row>
    <row r="3994" spans="1:19" x14ac:dyDescent="0.25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>VLOOKUP(F3994,'Customer Info'!$A:$B,2,0)</f>
        <v>Carlos</v>
      </c>
      <c r="H3994" s="6" t="str">
        <f>VLOOKUP(F3994,'Customer Info'!$A$1:$C$501,3,0)</f>
        <v>Soltero</v>
      </c>
      <c r="I3994" s="6" t="str">
        <f>VLOOKUP(F3994,Customer,5,0)</f>
        <v>Wodonga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3849</v>
      </c>
      <c r="O3994" s="2">
        <v>21</v>
      </c>
      <c r="P3994" s="8">
        <f t="shared" si="312"/>
        <v>3870</v>
      </c>
      <c r="Q3994" s="8">
        <f t="shared" si="313"/>
        <v>288</v>
      </c>
      <c r="R3994" s="2" t="s">
        <v>50</v>
      </c>
      <c r="S3994" s="24">
        <f t="shared" si="314"/>
        <v>0.02</v>
      </c>
    </row>
    <row r="3995" spans="1:19" x14ac:dyDescent="0.25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>VLOOKUP(F3995,'Customer Info'!$A:$B,2,0)</f>
        <v>Gary</v>
      </c>
      <c r="H3995" s="6" t="str">
        <f>VLOOKUP(F3995,'Customer Info'!$A$1:$C$501,3,0)</f>
        <v>Zandusky</v>
      </c>
      <c r="I3995" s="6" t="str">
        <f>VLOOKUP(F3995,Customer,5,0)</f>
        <v>Gold Coast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642</v>
      </c>
      <c r="O3995" s="2">
        <v>52</v>
      </c>
      <c r="P3995" s="8">
        <f t="shared" si="312"/>
        <v>694</v>
      </c>
      <c r="Q3995" s="8">
        <f t="shared" si="313"/>
        <v>42</v>
      </c>
      <c r="R3995" s="2" t="s">
        <v>28</v>
      </c>
      <c r="S3995" s="24">
        <f t="shared" si="314"/>
        <v>0.02</v>
      </c>
    </row>
    <row r="3996" spans="1:19" x14ac:dyDescent="0.25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>VLOOKUP(F3996,'Customer Info'!$A:$B,2,0)</f>
        <v>Ionia</v>
      </c>
      <c r="H3996" s="6" t="str">
        <f>VLOOKUP(F3996,'Customer Info'!$A$1:$C$501,3,0)</f>
        <v>McGrath</v>
      </c>
      <c r="I3996" s="6" t="str">
        <f>VLOOKUP(F3996,Customer,5,0)</f>
        <v>Dormagen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33124</v>
      </c>
      <c r="O3996" s="2">
        <v>36</v>
      </c>
      <c r="P3996" s="8">
        <f t="shared" si="312"/>
        <v>33160</v>
      </c>
      <c r="Q3996" s="8">
        <f t="shared" si="313"/>
        <v>2432</v>
      </c>
      <c r="R3996" s="2" t="s">
        <v>28</v>
      </c>
      <c r="S3996" s="24">
        <f t="shared" si="314"/>
        <v>7.0000000000000007E-2</v>
      </c>
    </row>
    <row r="3997" spans="1:19" x14ac:dyDescent="0.25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>VLOOKUP(F3997,'Customer Info'!$A:$B,2,0)</f>
        <v>Yana</v>
      </c>
      <c r="H3997" s="6" t="str">
        <f>VLOOKUP(F3997,'Customer Info'!$A$1:$C$501,3,0)</f>
        <v>Sorensen</v>
      </c>
      <c r="I3997" s="6" t="str">
        <f>VLOOKUP(F3997,Customer,5,0)</f>
        <v>Bottrop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4400</v>
      </c>
      <c r="O3997" s="2">
        <v>25</v>
      </c>
      <c r="P3997" s="8">
        <f t="shared" si="312"/>
        <v>4425</v>
      </c>
      <c r="Q3997" s="8">
        <f t="shared" si="313"/>
        <v>360</v>
      </c>
      <c r="R3997" s="2" t="s">
        <v>28</v>
      </c>
      <c r="S3997" s="24">
        <f t="shared" si="314"/>
        <v>0.02</v>
      </c>
    </row>
    <row r="3998" spans="1:19" x14ac:dyDescent="0.25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>VLOOKUP(F3998,'Customer Info'!$A:$B,2,0)</f>
        <v>Laurel</v>
      </c>
      <c r="H3998" s="6" t="str">
        <f>VLOOKUP(F3998,'Customer Info'!$A$1:$C$501,3,0)</f>
        <v>Beltran</v>
      </c>
      <c r="I3998" s="6" t="str">
        <f>VLOOKUP(F3998,Customer,5,0)</f>
        <v>Melbourne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4086</v>
      </c>
      <c r="O3998" s="2">
        <v>46</v>
      </c>
      <c r="P3998" s="8">
        <f t="shared" si="312"/>
        <v>4132</v>
      </c>
      <c r="Q3998" s="8">
        <f t="shared" si="313"/>
        <v>234</v>
      </c>
      <c r="R3998" s="2" t="s">
        <v>50</v>
      </c>
      <c r="S3998" s="24">
        <f t="shared" si="314"/>
        <v>0.02</v>
      </c>
    </row>
    <row r="3999" spans="1:19" x14ac:dyDescent="0.25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>VLOOKUP(F3999,'Customer Info'!$A:$B,2,0)</f>
        <v>Kelly</v>
      </c>
      <c r="H3999" s="6" t="str">
        <f>VLOOKUP(F3999,'Customer Info'!$A$1:$C$501,3,0)</f>
        <v>Collister</v>
      </c>
      <c r="I3999" s="6" t="str">
        <f>VLOOKUP(F3999,Customer,5,0)</f>
        <v>Tangshan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17330</v>
      </c>
      <c r="O3999" s="2">
        <v>97</v>
      </c>
      <c r="P3999" s="8">
        <f t="shared" si="312"/>
        <v>17427</v>
      </c>
      <c r="Q3999" s="8">
        <f t="shared" si="313"/>
        <v>1884</v>
      </c>
      <c r="R3999" s="2" t="s">
        <v>28</v>
      </c>
      <c r="S3999" s="24">
        <f t="shared" si="314"/>
        <v>0.05</v>
      </c>
    </row>
    <row r="4000" spans="1:19" x14ac:dyDescent="0.25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>VLOOKUP(F4000,'Customer Info'!$A:$B,2,0)</f>
        <v>Anthony</v>
      </c>
      <c r="H4000" s="6" t="str">
        <f>VLOOKUP(F4000,'Customer Info'!$A$1:$C$501,3,0)</f>
        <v>O'Donnell</v>
      </c>
      <c r="I4000" s="6" t="str">
        <f>VLOOKUP(F4000,Customer,5,0)</f>
        <v>Berlin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1169</v>
      </c>
      <c r="O4000" s="2">
        <v>30</v>
      </c>
      <c r="P4000" s="8">
        <f t="shared" si="312"/>
        <v>1199</v>
      </c>
      <c r="Q4000" s="8">
        <f t="shared" si="313"/>
        <v>84</v>
      </c>
      <c r="R4000" s="2" t="s">
        <v>50</v>
      </c>
      <c r="S4000" s="24">
        <f t="shared" si="314"/>
        <v>0.02</v>
      </c>
    </row>
    <row r="4001" spans="1:19" x14ac:dyDescent="0.25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>VLOOKUP(F4001,'Customer Info'!$A:$B,2,0)</f>
        <v>Aaron</v>
      </c>
      <c r="H4001" s="6" t="str">
        <f>VLOOKUP(F4001,'Customer Info'!$A$1:$C$501,3,0)</f>
        <v>Smayling</v>
      </c>
      <c r="I4001" s="6" t="str">
        <f>VLOOKUP(F4001,Customer,5,0)</f>
        <v>Port Macquarie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17238</v>
      </c>
      <c r="O4001" s="2">
        <v>60</v>
      </c>
      <c r="P4001" s="8">
        <f t="shared" si="312"/>
        <v>17298</v>
      </c>
      <c r="Q4001" s="8">
        <f t="shared" si="313"/>
        <v>1720</v>
      </c>
      <c r="R4001" s="2" t="s">
        <v>26</v>
      </c>
      <c r="S4001" s="24">
        <f t="shared" si="314"/>
        <v>0.05</v>
      </c>
    </row>
    <row r="4002" spans="1:19" x14ac:dyDescent="0.25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>VLOOKUP(F4002,'Customer Info'!$A:$B,2,0)</f>
        <v>Emily</v>
      </c>
      <c r="H4002" s="6" t="str">
        <f>VLOOKUP(F4002,'Customer Info'!$A$1:$C$501,3,0)</f>
        <v>Burns</v>
      </c>
      <c r="I4002" s="6" t="str">
        <f>VLOOKUP(F4002,Customer,5,0)</f>
        <v>Nasik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1593</v>
      </c>
      <c r="O4002" s="2">
        <v>81</v>
      </c>
      <c r="P4002" s="8">
        <f t="shared" si="312"/>
        <v>1674</v>
      </c>
      <c r="Q4002" s="8">
        <f t="shared" si="313"/>
        <v>132</v>
      </c>
      <c r="R4002" s="2" t="s">
        <v>28</v>
      </c>
      <c r="S4002" s="24">
        <f t="shared" si="314"/>
        <v>0.02</v>
      </c>
    </row>
    <row r="4003" spans="1:19" x14ac:dyDescent="0.25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>VLOOKUP(F4003,'Customer Info'!$A:$B,2,0)</f>
        <v>Rachel</v>
      </c>
      <c r="H4003" s="6" t="str">
        <f>VLOOKUP(F4003,'Customer Info'!$A$1:$C$501,3,0)</f>
        <v>Payne</v>
      </c>
      <c r="I4003" s="6" t="str">
        <f>VLOOKUP(F4003,Customer,5,0)</f>
        <v>Caloundra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13728</v>
      </c>
      <c r="O4003" s="2">
        <v>82</v>
      </c>
      <c r="P4003" s="8">
        <f t="shared" si="312"/>
        <v>13810</v>
      </c>
      <c r="Q4003" s="8">
        <f t="shared" si="313"/>
        <v>394</v>
      </c>
      <c r="R4003" s="2" t="s">
        <v>50</v>
      </c>
      <c r="S4003" s="24">
        <f t="shared" si="314"/>
        <v>0.05</v>
      </c>
    </row>
    <row r="4004" spans="1:19" x14ac:dyDescent="0.25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>VLOOKUP(F4004,'Customer Info'!$A:$B,2,0)</f>
        <v>Cari</v>
      </c>
      <c r="H4004" s="6" t="str">
        <f>VLOOKUP(F4004,'Customer Info'!$A$1:$C$501,3,0)</f>
        <v>Schnelling</v>
      </c>
      <c r="I4004" s="6" t="str">
        <f>VLOOKUP(F4004,Customer,5,0)</f>
        <v>Agra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4302</v>
      </c>
      <c r="O4004" s="2">
        <v>66</v>
      </c>
      <c r="P4004" s="8">
        <f t="shared" si="312"/>
        <v>4368</v>
      </c>
      <c r="Q4004" s="8">
        <f t="shared" si="313"/>
        <v>284</v>
      </c>
      <c r="R4004" s="2" t="s">
        <v>28</v>
      </c>
      <c r="S4004" s="24">
        <f t="shared" si="314"/>
        <v>0.02</v>
      </c>
    </row>
    <row r="4005" spans="1:19" x14ac:dyDescent="0.25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>VLOOKUP(F4005,'Customer Info'!$A:$B,2,0)</f>
        <v>Helen</v>
      </c>
      <c r="H4005" s="6" t="str">
        <f>VLOOKUP(F4005,'Customer Info'!$A$1:$C$501,3,0)</f>
        <v>Abelman</v>
      </c>
      <c r="I4005" s="6" t="str">
        <f>VLOOKUP(F4005,Customer,5,0)</f>
        <v>Munich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4830</v>
      </c>
      <c r="O4005" s="2">
        <v>35</v>
      </c>
      <c r="P4005" s="8">
        <f t="shared" si="312"/>
        <v>4865</v>
      </c>
      <c r="Q4005" s="8">
        <f t="shared" si="313"/>
        <v>354</v>
      </c>
      <c r="R4005" s="2" t="s">
        <v>28</v>
      </c>
      <c r="S4005" s="24">
        <f t="shared" si="314"/>
        <v>0.02</v>
      </c>
    </row>
    <row r="4006" spans="1:19" x14ac:dyDescent="0.25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>VLOOKUP(F4006,'Customer Info'!$A:$B,2,0)</f>
        <v>Bradley</v>
      </c>
      <c r="H4006" s="6" t="str">
        <f>VLOOKUP(F4006,'Customer Info'!$A$1:$C$501,3,0)</f>
        <v>Nguyen</v>
      </c>
      <c r="I4006" s="6" t="str">
        <f>VLOOKUP(F4006,Customer,5,0)</f>
        <v>Shenzhen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6132</v>
      </c>
      <c r="O4006" s="2">
        <v>45</v>
      </c>
      <c r="P4006" s="8">
        <f t="shared" si="312"/>
        <v>6177</v>
      </c>
      <c r="Q4006" s="8">
        <f t="shared" si="313"/>
        <v>508</v>
      </c>
      <c r="R4006" s="2" t="s">
        <v>26</v>
      </c>
      <c r="S4006" s="24">
        <f t="shared" si="314"/>
        <v>0.05</v>
      </c>
    </row>
    <row r="4007" spans="1:19" x14ac:dyDescent="0.25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>VLOOKUP(F4007,'Customer Info'!$A:$B,2,0)</f>
        <v>Denny</v>
      </c>
      <c r="H4007" s="6" t="str">
        <f>VLOOKUP(F4007,'Customer Info'!$A$1:$C$501,3,0)</f>
        <v>Ordway</v>
      </c>
      <c r="I4007" s="6" t="str">
        <f>VLOOKUP(F4007,Customer,5,0)</f>
        <v>Berlin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320</v>
      </c>
      <c r="O4007" s="2">
        <v>10</v>
      </c>
      <c r="P4007" s="8">
        <f t="shared" si="312"/>
        <v>330</v>
      </c>
      <c r="Q4007" s="8">
        <f t="shared" si="313"/>
        <v>20</v>
      </c>
      <c r="R4007" s="2" t="s">
        <v>28</v>
      </c>
      <c r="S4007" s="24">
        <f t="shared" si="314"/>
        <v>0.02</v>
      </c>
    </row>
    <row r="4008" spans="1:19" x14ac:dyDescent="0.25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>VLOOKUP(F4008,'Customer Info'!$A:$B,2,0)</f>
        <v>Shui</v>
      </c>
      <c r="H4008" s="6" t="str">
        <f>VLOOKUP(F4008,'Customer Info'!$A$1:$C$501,3,0)</f>
        <v>Tom</v>
      </c>
      <c r="I4008" s="6" t="str">
        <f>VLOOKUP(F4008,Customer,5,0)</f>
        <v>Melbourne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1605</v>
      </c>
      <c r="O4008" s="2">
        <v>23</v>
      </c>
      <c r="P4008" s="8">
        <f t="shared" si="312"/>
        <v>1628</v>
      </c>
      <c r="Q4008" s="8">
        <f t="shared" si="313"/>
        <v>75</v>
      </c>
      <c r="R4008" s="2" t="s">
        <v>28</v>
      </c>
      <c r="S4008" s="24">
        <f t="shared" si="314"/>
        <v>0.02</v>
      </c>
    </row>
    <row r="4009" spans="1:19" x14ac:dyDescent="0.25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>VLOOKUP(F4009,'Customer Info'!$A:$B,2,0)</f>
        <v>Victoria</v>
      </c>
      <c r="H4009" s="6" t="str">
        <f>VLOOKUP(F4009,'Customer Info'!$A$1:$C$501,3,0)</f>
        <v>Brennan</v>
      </c>
      <c r="I4009" s="6" t="str">
        <f>VLOOKUP(F4009,Customer,5,0)</f>
        <v>Mangalore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33922</v>
      </c>
      <c r="O4009" s="2">
        <v>86</v>
      </c>
      <c r="P4009" s="8">
        <f t="shared" si="312"/>
        <v>34008</v>
      </c>
      <c r="Q4009" s="8">
        <f t="shared" si="313"/>
        <v>2478</v>
      </c>
      <c r="R4009" s="2" t="s">
        <v>56</v>
      </c>
      <c r="S4009" s="24">
        <f t="shared" si="314"/>
        <v>7.0000000000000007E-2</v>
      </c>
    </row>
    <row r="4010" spans="1:19" x14ac:dyDescent="0.25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>VLOOKUP(F4010,'Customer Info'!$A:$B,2,0)</f>
        <v>Rob</v>
      </c>
      <c r="H4010" s="6" t="str">
        <f>VLOOKUP(F4010,'Customer Info'!$A$1:$C$501,3,0)</f>
        <v>Williams</v>
      </c>
      <c r="I4010" s="6" t="str">
        <f>VLOOKUP(F4010,Customer,5,0)</f>
        <v>Wodonga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3668</v>
      </c>
      <c r="O4010" s="2">
        <v>98</v>
      </c>
      <c r="P4010" s="8">
        <f t="shared" si="312"/>
        <v>3766</v>
      </c>
      <c r="Q4010" s="8">
        <f t="shared" si="313"/>
        <v>236</v>
      </c>
      <c r="R4010" s="2" t="s">
        <v>50</v>
      </c>
      <c r="S4010" s="24">
        <f t="shared" si="314"/>
        <v>0.02</v>
      </c>
    </row>
    <row r="4011" spans="1:19" x14ac:dyDescent="0.25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>VLOOKUP(F4011,'Customer Info'!$A:$B,2,0)</f>
        <v>Bill</v>
      </c>
      <c r="H4011" s="6" t="str">
        <f>VLOOKUP(F4011,'Customer Info'!$A$1:$C$501,3,0)</f>
        <v>Eplett</v>
      </c>
      <c r="I4011" s="6" t="str">
        <f>VLOOKUP(F4011,Customer,5,0)</f>
        <v>Newcastle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122</v>
      </c>
      <c r="O4011" s="2">
        <v>10</v>
      </c>
      <c r="P4011" s="8">
        <f t="shared" si="312"/>
        <v>132</v>
      </c>
      <c r="Q4011" s="8">
        <f t="shared" si="313"/>
        <v>10</v>
      </c>
      <c r="R4011" s="2" t="s">
        <v>28</v>
      </c>
      <c r="S4011" s="24">
        <f t="shared" si="314"/>
        <v>0.02</v>
      </c>
    </row>
    <row r="4012" spans="1:19" x14ac:dyDescent="0.25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>VLOOKUP(F4012,'Customer Info'!$A:$B,2,0)</f>
        <v>Joy</v>
      </c>
      <c r="H4012" s="6" t="str">
        <f>VLOOKUP(F4012,'Customer Info'!$A$1:$C$501,3,0)</f>
        <v>Bell</v>
      </c>
      <c r="I4012" s="6" t="str">
        <f>VLOOKUP(F4012,Customer,5,0)</f>
        <v>Vijayawada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18816</v>
      </c>
      <c r="O4012" s="2">
        <v>99</v>
      </c>
      <c r="P4012" s="8">
        <f t="shared" si="312"/>
        <v>18915</v>
      </c>
      <c r="Q4012" s="8">
        <f t="shared" si="313"/>
        <v>1372</v>
      </c>
      <c r="R4012" s="2" t="s">
        <v>50</v>
      </c>
      <c r="S4012" s="24">
        <f t="shared" si="314"/>
        <v>0.05</v>
      </c>
    </row>
    <row r="4013" spans="1:19" x14ac:dyDescent="0.25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>VLOOKUP(F4013,'Customer Info'!$A:$B,2,0)</f>
        <v>Jeremy</v>
      </c>
      <c r="H4013" s="6" t="str">
        <f>VLOOKUP(F4013,'Customer Info'!$A$1:$C$501,3,0)</f>
        <v>Ellison</v>
      </c>
      <c r="I4013" s="6" t="str">
        <f>VLOOKUP(F4013,Customer,5,0)</f>
        <v>Jammu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3136</v>
      </c>
      <c r="O4013" s="2">
        <v>68</v>
      </c>
      <c r="P4013" s="8">
        <f t="shared" si="312"/>
        <v>3204</v>
      </c>
      <c r="Q4013" s="8">
        <f t="shared" si="313"/>
        <v>146</v>
      </c>
      <c r="R4013" s="2" t="s">
        <v>28</v>
      </c>
      <c r="S4013" s="24">
        <f t="shared" si="314"/>
        <v>0.02</v>
      </c>
    </row>
    <row r="4014" spans="1:19" x14ac:dyDescent="0.25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>VLOOKUP(F4014,'Customer Info'!$A:$B,2,0)</f>
        <v>Vivek</v>
      </c>
      <c r="H4014" s="6" t="str">
        <f>VLOOKUP(F4014,'Customer Info'!$A$1:$C$501,3,0)</f>
        <v>Grady</v>
      </c>
      <c r="I4014" s="6" t="str">
        <f>VLOOKUP(F4014,Customer,5,0)</f>
        <v>Shantou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3822</v>
      </c>
      <c r="O4014" s="2">
        <v>88</v>
      </c>
      <c r="P4014" s="8">
        <f t="shared" si="312"/>
        <v>3910</v>
      </c>
      <c r="Q4014" s="8">
        <f t="shared" si="313"/>
        <v>252</v>
      </c>
      <c r="R4014" s="2" t="s">
        <v>28</v>
      </c>
      <c r="S4014" s="24">
        <f t="shared" si="314"/>
        <v>0.02</v>
      </c>
    </row>
    <row r="4015" spans="1:19" x14ac:dyDescent="0.25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>VLOOKUP(F4015,'Customer Info'!$A:$B,2,0)</f>
        <v>Barry</v>
      </c>
      <c r="H4015" s="6" t="str">
        <f>VLOOKUP(F4015,'Customer Info'!$A$1:$C$501,3,0)</f>
        <v>Franzšsisch</v>
      </c>
      <c r="I4015" s="6" t="str">
        <f>VLOOKUP(F4015,Customer,5,0)</f>
        <v>Bendigo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29722</v>
      </c>
      <c r="O4015" s="2">
        <v>84</v>
      </c>
      <c r="P4015" s="8">
        <f t="shared" si="312"/>
        <v>29806</v>
      </c>
      <c r="Q4015" s="8">
        <f t="shared" si="313"/>
        <v>2723</v>
      </c>
      <c r="R4015" s="2" t="s">
        <v>28</v>
      </c>
      <c r="S4015" s="24">
        <f t="shared" si="314"/>
        <v>7.0000000000000007E-2</v>
      </c>
    </row>
    <row r="4016" spans="1:19" x14ac:dyDescent="0.25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>VLOOKUP(F4016,'Customer Info'!$A:$B,2,0)</f>
        <v>Damala</v>
      </c>
      <c r="H4016" s="6" t="str">
        <f>VLOOKUP(F4016,'Customer Info'!$A$1:$C$501,3,0)</f>
        <v>Kotsonis</v>
      </c>
      <c r="I4016" s="6" t="str">
        <f>VLOOKUP(F4016,Customer,5,0)</f>
        <v>Berlin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486</v>
      </c>
      <c r="O4016" s="2">
        <v>30</v>
      </c>
      <c r="P4016" s="8">
        <f t="shared" si="312"/>
        <v>516</v>
      </c>
      <c r="Q4016" s="8">
        <f t="shared" si="313"/>
        <v>42</v>
      </c>
      <c r="R4016" s="2" t="s">
        <v>56</v>
      </c>
      <c r="S4016" s="24">
        <f t="shared" si="314"/>
        <v>0.02</v>
      </c>
    </row>
    <row r="4017" spans="1:19" x14ac:dyDescent="0.25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>VLOOKUP(F4017,'Customer Info'!$A:$B,2,0)</f>
        <v>Anemone</v>
      </c>
      <c r="H4017" s="6" t="str">
        <f>VLOOKUP(F4017,'Customer Info'!$A$1:$C$501,3,0)</f>
        <v>Ratner</v>
      </c>
      <c r="I4017" s="6" t="str">
        <f>VLOOKUP(F4017,Customer,5,0)</f>
        <v>Pune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70714</v>
      </c>
      <c r="O4017" s="2">
        <v>42</v>
      </c>
      <c r="P4017" s="8">
        <f t="shared" si="312"/>
        <v>70756</v>
      </c>
      <c r="Q4017" s="8">
        <f t="shared" si="313"/>
        <v>5838</v>
      </c>
      <c r="R4017" s="2" t="s">
        <v>50</v>
      </c>
      <c r="S4017" s="24">
        <f t="shared" si="314"/>
        <v>0.09</v>
      </c>
    </row>
    <row r="4018" spans="1:19" x14ac:dyDescent="0.25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>VLOOKUP(F4018,'Customer Info'!$A:$B,2,0)</f>
        <v>Ritsa</v>
      </c>
      <c r="H4018" s="6" t="str">
        <f>VLOOKUP(F4018,'Customer Info'!$A$1:$C$501,3,0)</f>
        <v>Hightower</v>
      </c>
      <c r="I4018" s="6" t="str">
        <f>VLOOKUP(F4018,Customer,5,0)</f>
        <v>Datong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171</v>
      </c>
      <c r="O4018" s="2">
        <v>30</v>
      </c>
      <c r="P4018" s="8">
        <f t="shared" si="312"/>
        <v>201</v>
      </c>
      <c r="Q4018" s="8">
        <f t="shared" si="313"/>
        <v>18</v>
      </c>
      <c r="R4018" s="2" t="s">
        <v>28</v>
      </c>
      <c r="S4018" s="24">
        <f t="shared" si="314"/>
        <v>0.02</v>
      </c>
    </row>
    <row r="4019" spans="1:19" x14ac:dyDescent="0.25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>VLOOKUP(F4019,'Customer Info'!$A:$B,2,0)</f>
        <v>Victoria</v>
      </c>
      <c r="H4019" s="6" t="str">
        <f>VLOOKUP(F4019,'Customer Info'!$A$1:$C$501,3,0)</f>
        <v>Brennan</v>
      </c>
      <c r="I4019" s="6" t="str">
        <f>VLOOKUP(F4019,Customer,5,0)</f>
        <v>Adelaide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236</v>
      </c>
      <c r="O4019" s="2">
        <v>10</v>
      </c>
      <c r="P4019" s="8">
        <f t="shared" si="312"/>
        <v>246</v>
      </c>
      <c r="Q4019" s="8">
        <f t="shared" si="313"/>
        <v>16</v>
      </c>
      <c r="R4019" s="2" t="s">
        <v>56</v>
      </c>
      <c r="S4019" s="24">
        <f t="shared" si="314"/>
        <v>0.02</v>
      </c>
    </row>
    <row r="4020" spans="1:19" x14ac:dyDescent="0.25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>VLOOKUP(F4020,'Customer Info'!$A:$B,2,0)</f>
        <v>Emily</v>
      </c>
      <c r="H4020" s="6" t="str">
        <f>VLOOKUP(F4020,'Customer Info'!$A$1:$C$501,3,0)</f>
        <v>Burns</v>
      </c>
      <c r="I4020" s="6" t="str">
        <f>VLOOKUP(F4020,Customer,5,0)</f>
        <v>Chennai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81</v>
      </c>
      <c r="O4020" s="2">
        <v>10</v>
      </c>
      <c r="P4020" s="8">
        <f t="shared" si="312"/>
        <v>91</v>
      </c>
      <c r="Q4020" s="8">
        <f t="shared" si="313"/>
        <v>4</v>
      </c>
      <c r="R4020" s="2" t="s">
        <v>28</v>
      </c>
      <c r="S4020" s="24">
        <f t="shared" si="314"/>
        <v>0.02</v>
      </c>
    </row>
    <row r="4021" spans="1:19" x14ac:dyDescent="0.25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>VLOOKUP(F4021,'Customer Info'!$A:$B,2,0)</f>
        <v>Cathy</v>
      </c>
      <c r="H4021" s="6" t="str">
        <f>VLOOKUP(F4021,'Customer Info'!$A$1:$C$501,3,0)</f>
        <v>Hwang</v>
      </c>
      <c r="I4021" s="6" t="str">
        <f>VLOOKUP(F4021,Customer,5,0)</f>
        <v>Trier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33320</v>
      </c>
      <c r="O4021" s="2">
        <v>66</v>
      </c>
      <c r="P4021" s="8">
        <f t="shared" si="312"/>
        <v>33386</v>
      </c>
      <c r="Q4021" s="8">
        <f t="shared" si="313"/>
        <v>955</v>
      </c>
      <c r="R4021" s="2" t="s">
        <v>50</v>
      </c>
      <c r="S4021" s="24">
        <f t="shared" si="314"/>
        <v>7.0000000000000007E-2</v>
      </c>
    </row>
    <row r="4022" spans="1:19" x14ac:dyDescent="0.25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>VLOOKUP(F4022,'Customer Info'!$A:$B,2,0)</f>
        <v>Frank</v>
      </c>
      <c r="H4022" s="6" t="str">
        <f>VLOOKUP(F4022,'Customer Info'!$A$1:$C$501,3,0)</f>
        <v>Hawley</v>
      </c>
      <c r="I4022" s="6" t="str">
        <f>VLOOKUP(F4022,Customer,5,0)</f>
        <v>Gold Coast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8853</v>
      </c>
      <c r="O4022" s="2">
        <v>74</v>
      </c>
      <c r="P4022" s="8">
        <f t="shared" si="312"/>
        <v>8927</v>
      </c>
      <c r="Q4022" s="8">
        <f t="shared" si="313"/>
        <v>495</v>
      </c>
      <c r="R4022" s="2" t="s">
        <v>56</v>
      </c>
      <c r="S4022" s="24">
        <f t="shared" si="314"/>
        <v>0.05</v>
      </c>
    </row>
    <row r="4023" spans="1:19" x14ac:dyDescent="0.25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>VLOOKUP(F4023,'Customer Info'!$A:$B,2,0)</f>
        <v>Ryan</v>
      </c>
      <c r="H4023" s="6" t="str">
        <f>VLOOKUP(F4023,'Customer Info'!$A$1:$C$501,3,0)</f>
        <v>Crowe</v>
      </c>
      <c r="I4023" s="6" t="str">
        <f>VLOOKUP(F4023,Customer,5,0)</f>
        <v>Kanpur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2882</v>
      </c>
      <c r="O4023" s="2">
        <v>85</v>
      </c>
      <c r="P4023" s="8">
        <f t="shared" si="312"/>
        <v>2967</v>
      </c>
      <c r="Q4023" s="8">
        <f t="shared" si="313"/>
        <v>162</v>
      </c>
      <c r="R4023" s="2" t="s">
        <v>50</v>
      </c>
      <c r="S4023" s="24">
        <f t="shared" si="314"/>
        <v>0.02</v>
      </c>
    </row>
    <row r="4024" spans="1:19" x14ac:dyDescent="0.25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>VLOOKUP(F4024,'Customer Info'!$A:$B,2,0)</f>
        <v>Yana</v>
      </c>
      <c r="H4024" s="6" t="str">
        <f>VLOOKUP(F4024,'Customer Info'!$A$1:$C$501,3,0)</f>
        <v>Sorensen</v>
      </c>
      <c r="I4024" s="6" t="str">
        <f>VLOOKUP(F4024,Customer,5,0)</f>
        <v>Hangzhou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2688</v>
      </c>
      <c r="O4024" s="2">
        <v>34</v>
      </c>
      <c r="P4024" s="8">
        <f t="shared" si="312"/>
        <v>2722</v>
      </c>
      <c r="Q4024" s="8">
        <f t="shared" si="313"/>
        <v>78</v>
      </c>
      <c r="R4024" s="2" t="s">
        <v>28</v>
      </c>
      <c r="S4024" s="24">
        <f t="shared" si="314"/>
        <v>0.02</v>
      </c>
    </row>
    <row r="4025" spans="1:19" x14ac:dyDescent="0.25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>VLOOKUP(F4025,'Customer Info'!$A:$B,2,0)</f>
        <v>Jesus</v>
      </c>
      <c r="H4025" s="6" t="str">
        <f>VLOOKUP(F4025,'Customer Info'!$A$1:$C$501,3,0)</f>
        <v>Ocampo</v>
      </c>
      <c r="I4025" s="6" t="str">
        <f>VLOOKUP(F4025,Customer,5,0)</f>
        <v>Herten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8850</v>
      </c>
      <c r="O4025" s="2">
        <v>43</v>
      </c>
      <c r="P4025" s="8">
        <f t="shared" si="312"/>
        <v>8893</v>
      </c>
      <c r="Q4025" s="8">
        <f t="shared" si="313"/>
        <v>890</v>
      </c>
      <c r="R4025" s="2" t="s">
        <v>50</v>
      </c>
      <c r="S4025" s="24">
        <f t="shared" si="314"/>
        <v>0.05</v>
      </c>
    </row>
    <row r="4026" spans="1:19" x14ac:dyDescent="0.25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>VLOOKUP(F4026,'Customer Info'!$A:$B,2,0)</f>
        <v>Logan</v>
      </c>
      <c r="H4026" s="6" t="str">
        <f>VLOOKUP(F4026,'Customer Info'!$A$1:$C$501,3,0)</f>
        <v>Currie</v>
      </c>
      <c r="I4026" s="6" t="str">
        <f>VLOOKUP(F4026,Customer,5,0)</f>
        <v>Gold Coast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8943</v>
      </c>
      <c r="O4026" s="2">
        <v>75</v>
      </c>
      <c r="P4026" s="8">
        <f t="shared" si="312"/>
        <v>9018</v>
      </c>
      <c r="Q4026" s="8">
        <f t="shared" si="313"/>
        <v>333</v>
      </c>
      <c r="R4026" s="2" t="s">
        <v>28</v>
      </c>
      <c r="S4026" s="24">
        <f t="shared" si="314"/>
        <v>0.05</v>
      </c>
    </row>
    <row r="4027" spans="1:19" x14ac:dyDescent="0.25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>VLOOKUP(F4027,'Customer Info'!$A:$B,2,0)</f>
        <v>Harold</v>
      </c>
      <c r="H4027" s="6" t="str">
        <f>VLOOKUP(F4027,'Customer Info'!$A$1:$C$501,3,0)</f>
        <v>Engle</v>
      </c>
      <c r="I4027" s="6" t="str">
        <f>VLOOKUP(F4027,Customer,5,0)</f>
        <v>Chennai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7845</v>
      </c>
      <c r="O4027" s="2">
        <v>82</v>
      </c>
      <c r="P4027" s="8">
        <f t="shared" si="312"/>
        <v>7927</v>
      </c>
      <c r="Q4027" s="8">
        <f t="shared" si="313"/>
        <v>515</v>
      </c>
      <c r="R4027" s="2" t="s">
        <v>28</v>
      </c>
      <c r="S4027" s="24">
        <f t="shared" si="314"/>
        <v>0.05</v>
      </c>
    </row>
    <row r="4028" spans="1:19" x14ac:dyDescent="0.25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>VLOOKUP(F4028,'Customer Info'!$A:$B,2,0)</f>
        <v>Sarah</v>
      </c>
      <c r="H4028" s="6" t="str">
        <f>VLOOKUP(F4028,'Customer Info'!$A$1:$C$501,3,0)</f>
        <v>Foster</v>
      </c>
      <c r="I4028" s="6" t="str">
        <f>VLOOKUP(F4028,Customer,5,0)</f>
        <v>Xianning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73986</v>
      </c>
      <c r="O4028" s="2">
        <v>62</v>
      </c>
      <c r="P4028" s="8">
        <f t="shared" si="312"/>
        <v>74048</v>
      </c>
      <c r="Q4028" s="8">
        <f t="shared" si="313"/>
        <v>4803</v>
      </c>
      <c r="R4028" s="2" t="s">
        <v>28</v>
      </c>
      <c r="S4028" s="24">
        <f t="shared" si="314"/>
        <v>0.09</v>
      </c>
    </row>
    <row r="4029" spans="1:19" x14ac:dyDescent="0.25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>VLOOKUP(F4029,'Customer Info'!$A:$B,2,0)</f>
        <v>Sheri</v>
      </c>
      <c r="H4029" s="6" t="str">
        <f>VLOOKUP(F4029,'Customer Info'!$A$1:$C$501,3,0)</f>
        <v>Gordon</v>
      </c>
      <c r="I4029" s="6" t="str">
        <f>VLOOKUP(F4029,Customer,5,0)</f>
        <v>Bogor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370</v>
      </c>
      <c r="O4029" s="2">
        <v>30</v>
      </c>
      <c r="P4029" s="8">
        <f t="shared" si="312"/>
        <v>400</v>
      </c>
      <c r="Q4029" s="8">
        <f t="shared" si="313"/>
        <v>28</v>
      </c>
      <c r="R4029" s="2" t="s">
        <v>50</v>
      </c>
      <c r="S4029" s="24">
        <f t="shared" si="314"/>
        <v>0.02</v>
      </c>
    </row>
    <row r="4030" spans="1:19" x14ac:dyDescent="0.25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>VLOOKUP(F4030,'Customer Info'!$A:$B,2,0)</f>
        <v>Guy</v>
      </c>
      <c r="H4030" s="6" t="str">
        <f>VLOOKUP(F4030,'Customer Info'!$A$1:$C$501,3,0)</f>
        <v>Phonely</v>
      </c>
      <c r="I4030" s="6" t="str">
        <f>VLOOKUP(F4030,Customer,5,0)</f>
        <v>Jodhpur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25060</v>
      </c>
      <c r="O4030" s="2">
        <v>62</v>
      </c>
      <c r="P4030" s="8">
        <f t="shared" si="312"/>
        <v>25122</v>
      </c>
      <c r="Q4030" s="8">
        <f t="shared" si="313"/>
        <v>1176</v>
      </c>
      <c r="R4030" s="2" t="s">
        <v>50</v>
      </c>
      <c r="S4030" s="24">
        <f t="shared" si="314"/>
        <v>7.0000000000000007E-2</v>
      </c>
    </row>
    <row r="4031" spans="1:19" x14ac:dyDescent="0.25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>VLOOKUP(F4031,'Customer Info'!$A:$B,2,0)</f>
        <v>Stewart</v>
      </c>
      <c r="H4031" s="6" t="str">
        <f>VLOOKUP(F4031,'Customer Info'!$A$1:$C$501,3,0)</f>
        <v>Visinsky</v>
      </c>
      <c r="I4031" s="6" t="str">
        <f>VLOOKUP(F4031,Customer,5,0)</f>
        <v>Shenyang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28564</v>
      </c>
      <c r="O4031" s="2">
        <v>51</v>
      </c>
      <c r="P4031" s="8">
        <f t="shared" si="312"/>
        <v>28615</v>
      </c>
      <c r="Q4031" s="8">
        <f t="shared" si="313"/>
        <v>2400</v>
      </c>
      <c r="R4031" s="2" t="s">
        <v>28</v>
      </c>
      <c r="S4031" s="24">
        <f t="shared" si="314"/>
        <v>7.0000000000000007E-2</v>
      </c>
    </row>
    <row r="4032" spans="1:19" x14ac:dyDescent="0.25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>VLOOKUP(F4032,'Customer Info'!$A:$B,2,0)</f>
        <v>Alan</v>
      </c>
      <c r="H4032" s="6" t="str">
        <f>VLOOKUP(F4032,'Customer Info'!$A$1:$C$501,3,0)</f>
        <v>Shonely</v>
      </c>
      <c r="I4032" s="6" t="str">
        <f>VLOOKUP(F4032,Customer,5,0)</f>
        <v>Canberra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8068</v>
      </c>
      <c r="O4032" s="2">
        <v>67</v>
      </c>
      <c r="P4032" s="8">
        <f t="shared" si="312"/>
        <v>8135</v>
      </c>
      <c r="Q4032" s="8">
        <f t="shared" si="313"/>
        <v>732</v>
      </c>
      <c r="R4032" s="2" t="s">
        <v>50</v>
      </c>
      <c r="S4032" s="24">
        <f t="shared" si="314"/>
        <v>0.05</v>
      </c>
    </row>
    <row r="4033" spans="1:19" x14ac:dyDescent="0.25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>VLOOKUP(F4033,'Customer Info'!$A:$B,2,0)</f>
        <v>Erica</v>
      </c>
      <c r="H4033" s="6" t="str">
        <f>VLOOKUP(F4033,'Customer Info'!$A$1:$C$501,3,0)</f>
        <v>Hackney</v>
      </c>
      <c r="I4033" s="6" t="str">
        <f>VLOOKUP(F4033,Customer,5,0)</f>
        <v>Adelaide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2894</v>
      </c>
      <c r="O4033" s="2">
        <v>42</v>
      </c>
      <c r="P4033" s="8">
        <f t="shared" si="312"/>
        <v>2936</v>
      </c>
      <c r="Q4033" s="8">
        <f t="shared" si="313"/>
        <v>242</v>
      </c>
      <c r="R4033" s="2" t="s">
        <v>28</v>
      </c>
      <c r="S4033" s="24">
        <f t="shared" si="314"/>
        <v>0.02</v>
      </c>
    </row>
    <row r="4034" spans="1:19" x14ac:dyDescent="0.25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>VLOOKUP(F4034,'Customer Info'!$A:$B,2,0)</f>
        <v>Robert</v>
      </c>
      <c r="H4034" s="6" t="str">
        <f>VLOOKUP(F4034,'Customer Info'!$A$1:$C$501,3,0)</f>
        <v>Dilbeck</v>
      </c>
      <c r="I4034" s="6" t="str">
        <f>VLOOKUP(F4034,Customer,5,0)</f>
        <v>Sydney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3764</v>
      </c>
      <c r="O4034" s="2">
        <v>33</v>
      </c>
      <c r="P4034" s="8">
        <f t="shared" si="312"/>
        <v>3797</v>
      </c>
      <c r="Q4034" s="8">
        <f t="shared" si="313"/>
        <v>144</v>
      </c>
      <c r="R4034" s="2" t="s">
        <v>28</v>
      </c>
      <c r="S4034" s="24">
        <f t="shared" si="314"/>
        <v>0.02</v>
      </c>
    </row>
    <row r="4035" spans="1:19" x14ac:dyDescent="0.25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>VLOOKUP(F4035,'Customer Info'!$A:$B,2,0)</f>
        <v>Aaron</v>
      </c>
      <c r="H4035" s="6" t="str">
        <f>VLOOKUP(F4035,'Customer Info'!$A$1:$C$501,3,0)</f>
        <v>Hawkins</v>
      </c>
      <c r="I4035" s="6" t="str">
        <f>VLOOKUP(F4035,Customer,5,0)</f>
        <v>Minden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2906</v>
      </c>
      <c r="O4035" s="2">
        <v>88</v>
      </c>
      <c r="P4035" s="8">
        <f t="shared" si="312"/>
        <v>2994</v>
      </c>
      <c r="Q4035" s="8">
        <f t="shared" si="313"/>
        <v>84</v>
      </c>
      <c r="R4035" s="2" t="s">
        <v>28</v>
      </c>
      <c r="S4035" s="24">
        <f t="shared" si="314"/>
        <v>0.02</v>
      </c>
    </row>
    <row r="4036" spans="1:19" x14ac:dyDescent="0.25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>VLOOKUP(F4036,'Customer Info'!$A:$B,2,0)</f>
        <v>Julie</v>
      </c>
      <c r="H4036" s="6" t="str">
        <f>VLOOKUP(F4036,'Customer Info'!$A$1:$C$501,3,0)</f>
        <v>Prescott</v>
      </c>
      <c r="I4036" s="6" t="str">
        <f>VLOOKUP(F4036,Customer,5,0)</f>
        <v>Norderstedt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4302</v>
      </c>
      <c r="O4036" s="2">
        <v>44</v>
      </c>
      <c r="P4036" s="8">
        <f t="shared" si="312"/>
        <v>4346</v>
      </c>
      <c r="Q4036" s="8">
        <f t="shared" si="313"/>
        <v>284</v>
      </c>
      <c r="R4036" s="2" t="s">
        <v>50</v>
      </c>
      <c r="S4036" s="24">
        <f t="shared" si="314"/>
        <v>0.02</v>
      </c>
    </row>
    <row r="4037" spans="1:19" x14ac:dyDescent="0.25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>VLOOKUP(F4037,'Customer Info'!$A:$B,2,0)</f>
        <v>Nicole</v>
      </c>
      <c r="H4037" s="6" t="str">
        <f>VLOOKUP(F4037,'Customer Info'!$A$1:$C$501,3,0)</f>
        <v>Fjeld</v>
      </c>
      <c r="I4037" s="6" t="str">
        <f>VLOOKUP(F4037,Customer,5,0)</f>
        <v>Berlin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948</v>
      </c>
      <c r="O4037" s="2">
        <v>76</v>
      </c>
      <c r="P4037" s="8">
        <f t="shared" si="312"/>
        <v>1024</v>
      </c>
      <c r="Q4037" s="8">
        <f t="shared" si="313"/>
        <v>62</v>
      </c>
      <c r="R4037" s="2" t="s">
        <v>28</v>
      </c>
      <c r="S4037" s="24">
        <f t="shared" si="314"/>
        <v>0.02</v>
      </c>
    </row>
    <row r="4038" spans="1:19" x14ac:dyDescent="0.25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>VLOOKUP(F4038,'Customer Info'!$A:$B,2,0)</f>
        <v>Bill</v>
      </c>
      <c r="H4038" s="6" t="str">
        <f>VLOOKUP(F4038,'Customer Info'!$A$1:$C$501,3,0)</f>
        <v>Stewart</v>
      </c>
      <c r="I4038" s="6" t="str">
        <f>VLOOKUP(F4038,Customer,5,0)</f>
        <v>Wenling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12120</v>
      </c>
      <c r="O4038" s="2">
        <v>45</v>
      </c>
      <c r="P4038" s="8">
        <f t="shared" si="312"/>
        <v>12165</v>
      </c>
      <c r="Q4038" s="8">
        <f t="shared" si="313"/>
        <v>116</v>
      </c>
      <c r="R4038" s="2" t="s">
        <v>26</v>
      </c>
      <c r="S4038" s="24">
        <f t="shared" si="314"/>
        <v>0.05</v>
      </c>
    </row>
    <row r="4039" spans="1:19" x14ac:dyDescent="0.25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>VLOOKUP(F4039,'Customer Info'!$A:$B,2,0)</f>
        <v>Ben</v>
      </c>
      <c r="H4039" s="6" t="str">
        <f>VLOOKUP(F4039,'Customer Info'!$A$1:$C$501,3,0)</f>
        <v>Peterman</v>
      </c>
      <c r="I4039" s="6" t="str">
        <f>VLOOKUP(F4039,Customer,5,0)</f>
        <v>Bielefeld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3395</v>
      </c>
      <c r="O4039" s="2">
        <v>36</v>
      </c>
      <c r="P4039" s="8">
        <f t="shared" si="312"/>
        <v>3431</v>
      </c>
      <c r="Q4039" s="8">
        <f t="shared" si="313"/>
        <v>125</v>
      </c>
      <c r="R4039" s="2" t="s">
        <v>28</v>
      </c>
      <c r="S4039" s="24">
        <f t="shared" si="314"/>
        <v>0.02</v>
      </c>
    </row>
    <row r="4040" spans="1:19" x14ac:dyDescent="0.25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>VLOOKUP(F4040,'Customer Info'!$A:$B,2,0)</f>
        <v>Justin</v>
      </c>
      <c r="H4040" s="6" t="str">
        <f>VLOOKUP(F4040,'Customer Info'!$A$1:$C$501,3,0)</f>
        <v>Hirsh</v>
      </c>
      <c r="I4040" s="6" t="str">
        <f>VLOOKUP(F4040,Customer,5,0)</f>
        <v>Surakarta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2958</v>
      </c>
      <c r="O4040" s="2">
        <v>75</v>
      </c>
      <c r="P4040" s="8">
        <f t="shared" si="312"/>
        <v>3033</v>
      </c>
      <c r="Q4040" s="8">
        <f t="shared" si="313"/>
        <v>215</v>
      </c>
      <c r="R4040" s="2" t="s">
        <v>28</v>
      </c>
      <c r="S4040" s="24">
        <f t="shared" si="314"/>
        <v>0.02</v>
      </c>
    </row>
    <row r="4041" spans="1:19" x14ac:dyDescent="0.25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>VLOOKUP(F4041,'Customer Info'!$A:$B,2,0)</f>
        <v>Robert</v>
      </c>
      <c r="H4041" s="6" t="str">
        <f>VLOOKUP(F4041,'Customer Info'!$A$1:$C$501,3,0)</f>
        <v>Dilbeck</v>
      </c>
      <c r="I4041" s="6" t="str">
        <f>VLOOKUP(F4041,Customer,5,0)</f>
        <v>Bihar Sharif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16350</v>
      </c>
      <c r="O4041" s="2">
        <v>98</v>
      </c>
      <c r="P4041" s="8">
        <f t="shared" si="312"/>
        <v>16448</v>
      </c>
      <c r="Q4041" s="8">
        <f t="shared" si="313"/>
        <v>620</v>
      </c>
      <c r="R4041" s="2" t="s">
        <v>50</v>
      </c>
      <c r="S4041" s="24">
        <f t="shared" si="314"/>
        <v>0.05</v>
      </c>
    </row>
    <row r="4042" spans="1:19" x14ac:dyDescent="0.25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>VLOOKUP(F4042,'Customer Info'!$A:$B,2,0)</f>
        <v>Lisa</v>
      </c>
      <c r="H4042" s="6" t="str">
        <f>VLOOKUP(F4042,'Customer Info'!$A$1:$C$501,3,0)</f>
        <v>DeCherney</v>
      </c>
      <c r="I4042" s="6" t="str">
        <f>VLOOKUP(F4042,Customer,5,0)</f>
        <v>Sydney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14042</v>
      </c>
      <c r="O4042" s="2">
        <v>88</v>
      </c>
      <c r="P4042" s="8">
        <f t="shared" si="312"/>
        <v>14130</v>
      </c>
      <c r="Q4042" s="8">
        <f t="shared" si="313"/>
        <v>670</v>
      </c>
      <c r="R4042" s="2" t="s">
        <v>50</v>
      </c>
      <c r="S4042" s="24">
        <f t="shared" si="314"/>
        <v>0.05</v>
      </c>
    </row>
    <row r="4043" spans="1:19" x14ac:dyDescent="0.25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>VLOOKUP(F4043,'Customer Info'!$A:$B,2,0)</f>
        <v>Max</v>
      </c>
      <c r="H4043" s="6" t="str">
        <f>VLOOKUP(F4043,'Customer Info'!$A$1:$C$501,3,0)</f>
        <v>Ludwig</v>
      </c>
      <c r="I4043" s="6" t="str">
        <f>VLOOKUP(F4043,Customer,5,0)</f>
        <v>Cirebon</v>
      </c>
      <c r="J4043" s="2">
        <v>751</v>
      </c>
      <c r="K4043" s="2">
        <v>696</v>
      </c>
      <c r="L4043" s="2">
        <v>3</v>
      </c>
      <c r="M4043" s="7">
        <f t="shared" ref="M4043:M4106" si="315">K4043*L4043</f>
        <v>2088</v>
      </c>
      <c r="N4043" s="7">
        <f t="shared" ref="N4043:N4106" si="316">J4043*L4043</f>
        <v>2253</v>
      </c>
      <c r="O4043" s="2">
        <v>55</v>
      </c>
      <c r="P4043" s="8">
        <f t="shared" ref="P4043:P4106" si="317">N4043+O4043</f>
        <v>2308</v>
      </c>
      <c r="Q4043" s="8">
        <f t="shared" ref="Q4043:Q4106" si="318">N4043-M4043</f>
        <v>165</v>
      </c>
      <c r="R4043" s="2" t="s">
        <v>50</v>
      </c>
      <c r="S4043" s="24">
        <f t="shared" ref="S4043:S4106" si="319">VLOOKUP(N4043,$T$1:$U$7,2,TRUE)</f>
        <v>0.02</v>
      </c>
    </row>
    <row r="4044" spans="1:19" x14ac:dyDescent="0.25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>VLOOKUP(F4044,'Customer Info'!$A:$B,2,0)</f>
        <v>Rachel</v>
      </c>
      <c r="H4044" s="6" t="str">
        <f>VLOOKUP(F4044,'Customer Info'!$A$1:$C$501,3,0)</f>
        <v>Payne</v>
      </c>
      <c r="I4044" s="6" t="str">
        <f>VLOOKUP(F4044,Customer,5,0)</f>
        <v>Mianyang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8">
        <f t="shared" si="317"/>
        <v>53853</v>
      </c>
      <c r="Q4044" s="8">
        <f t="shared" si="318"/>
        <v>4896</v>
      </c>
      <c r="R4044" s="2" t="s">
        <v>50</v>
      </c>
      <c r="S4044" s="24">
        <f t="shared" si="319"/>
        <v>0.09</v>
      </c>
    </row>
    <row r="4045" spans="1:19" x14ac:dyDescent="0.25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>VLOOKUP(F4045,'Customer Info'!$A:$B,2,0)</f>
        <v>Tony</v>
      </c>
      <c r="H4045" s="6" t="str">
        <f>VLOOKUP(F4045,'Customer Info'!$A$1:$C$501,3,0)</f>
        <v>Sayre</v>
      </c>
      <c r="I4045" s="6" t="str">
        <f>VLOOKUP(F4045,Customer,5,0)</f>
        <v>Wafangdian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8">
        <f t="shared" si="317"/>
        <v>22620</v>
      </c>
      <c r="Q4045" s="8">
        <f t="shared" si="318"/>
        <v>2261</v>
      </c>
      <c r="R4045" s="2" t="s">
        <v>50</v>
      </c>
      <c r="S4045" s="24">
        <f t="shared" si="319"/>
        <v>0.05</v>
      </c>
    </row>
    <row r="4046" spans="1:19" x14ac:dyDescent="0.25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>VLOOKUP(F4046,'Customer Info'!$A:$B,2,0)</f>
        <v>Olvera</v>
      </c>
      <c r="H4046" s="6" t="str">
        <f>VLOOKUP(F4046,'Customer Info'!$A$1:$C$501,3,0)</f>
        <v>Toch</v>
      </c>
      <c r="I4046" s="6" t="str">
        <f>VLOOKUP(F4046,Customer,5,0)</f>
        <v>Neubrandenburg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8">
        <f t="shared" si="317"/>
        <v>2756</v>
      </c>
      <c r="Q4046" s="8">
        <f t="shared" si="318"/>
        <v>128</v>
      </c>
      <c r="R4046" s="2" t="s">
        <v>28</v>
      </c>
      <c r="S4046" s="24">
        <f t="shared" si="319"/>
        <v>0.02</v>
      </c>
    </row>
    <row r="4047" spans="1:19" x14ac:dyDescent="0.25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>VLOOKUP(F4047,'Customer Info'!$A:$B,2,0)</f>
        <v>Julia</v>
      </c>
      <c r="H4047" s="6" t="str">
        <f>VLOOKUP(F4047,'Customer Info'!$A$1:$C$501,3,0)</f>
        <v>Dunbar</v>
      </c>
      <c r="I4047" s="6" t="str">
        <f>VLOOKUP(F4047,Customer,5,0)</f>
        <v>Cologne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8">
        <f t="shared" si="317"/>
        <v>32043</v>
      </c>
      <c r="Q4047" s="8">
        <f t="shared" si="318"/>
        <v>-5</v>
      </c>
      <c r="R4047" s="2" t="s">
        <v>28</v>
      </c>
      <c r="S4047" s="24">
        <f t="shared" si="319"/>
        <v>7.0000000000000007E-2</v>
      </c>
    </row>
    <row r="4048" spans="1:19" x14ac:dyDescent="0.25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>VLOOKUP(F4048,'Customer Info'!$A:$B,2,0)</f>
        <v>Roger</v>
      </c>
      <c r="H4048" s="6" t="str">
        <f>VLOOKUP(F4048,'Customer Info'!$A$1:$C$501,3,0)</f>
        <v>Barcio</v>
      </c>
      <c r="I4048" s="6" t="str">
        <f>VLOOKUP(F4048,Customer,5,0)</f>
        <v>Bremen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3996</v>
      </c>
      <c r="O4048" s="2">
        <v>27</v>
      </c>
      <c r="P4048" s="8">
        <f t="shared" si="317"/>
        <v>4023</v>
      </c>
      <c r="Q4048" s="8">
        <f t="shared" si="318"/>
        <v>369</v>
      </c>
      <c r="R4048" s="2" t="s">
        <v>26</v>
      </c>
      <c r="S4048" s="24">
        <f t="shared" si="319"/>
        <v>0.02</v>
      </c>
    </row>
    <row r="4049" spans="1:19" x14ac:dyDescent="0.25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>VLOOKUP(F4049,'Customer Info'!$A:$B,2,0)</f>
        <v>Harry</v>
      </c>
      <c r="H4049" s="6" t="str">
        <f>VLOOKUP(F4049,'Customer Info'!$A$1:$C$501,3,0)</f>
        <v>Marie</v>
      </c>
      <c r="I4049" s="6" t="str">
        <f>VLOOKUP(F4049,Customer,5,0)</f>
        <v>Dortmund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1528</v>
      </c>
      <c r="O4049" s="2">
        <v>30</v>
      </c>
      <c r="P4049" s="8">
        <f t="shared" si="317"/>
        <v>1558</v>
      </c>
      <c r="Q4049" s="8">
        <f t="shared" si="318"/>
        <v>180</v>
      </c>
      <c r="R4049" s="2" t="s">
        <v>56</v>
      </c>
      <c r="S4049" s="24">
        <f t="shared" si="319"/>
        <v>0.02</v>
      </c>
    </row>
    <row r="4050" spans="1:19" x14ac:dyDescent="0.25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>VLOOKUP(F4050,'Customer Info'!$A:$B,2,0)</f>
        <v>Charles</v>
      </c>
      <c r="H4050" s="6" t="str">
        <f>VLOOKUP(F4050,'Customer Info'!$A$1:$C$501,3,0)</f>
        <v>Sheldon</v>
      </c>
      <c r="I4050" s="6" t="str">
        <f>VLOOKUP(F4050,Customer,5,0)</f>
        <v>Jakarta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5052</v>
      </c>
      <c r="O4050" s="2">
        <v>38</v>
      </c>
      <c r="P4050" s="8">
        <f t="shared" si="317"/>
        <v>5090</v>
      </c>
      <c r="Q4050" s="8">
        <f t="shared" si="318"/>
        <v>236</v>
      </c>
      <c r="R4050" s="2" t="s">
        <v>50</v>
      </c>
      <c r="S4050" s="24">
        <f t="shared" si="319"/>
        <v>0.05</v>
      </c>
    </row>
    <row r="4051" spans="1:19" x14ac:dyDescent="0.25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>VLOOKUP(F4051,'Customer Info'!$A:$B,2,0)</f>
        <v>Michael</v>
      </c>
      <c r="H4051" s="6" t="str">
        <f>VLOOKUP(F4051,'Customer Info'!$A$1:$C$501,3,0)</f>
        <v>Moore</v>
      </c>
      <c r="I4051" s="6" t="str">
        <f>VLOOKUP(F4051,Customer,5,0)</f>
        <v>Medan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11672</v>
      </c>
      <c r="O4051" s="2">
        <v>21</v>
      </c>
      <c r="P4051" s="8">
        <f t="shared" si="317"/>
        <v>11693</v>
      </c>
      <c r="Q4051" s="8">
        <f t="shared" si="318"/>
        <v>758</v>
      </c>
      <c r="R4051" s="2" t="s">
        <v>28</v>
      </c>
      <c r="S4051" s="24">
        <f t="shared" si="319"/>
        <v>0.05</v>
      </c>
    </row>
    <row r="4052" spans="1:19" x14ac:dyDescent="0.25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>VLOOKUP(F4052,'Customer Info'!$A:$B,2,0)</f>
        <v>Adam</v>
      </c>
      <c r="H4052" s="6" t="str">
        <f>VLOOKUP(F4052,'Customer Info'!$A$1:$C$501,3,0)</f>
        <v>Bellavance</v>
      </c>
      <c r="I4052" s="6" t="str">
        <f>VLOOKUP(F4052,Customer,5,0)</f>
        <v>Kaiyuan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279</v>
      </c>
      <c r="O4052" s="2">
        <v>10</v>
      </c>
      <c r="P4052" s="8">
        <f t="shared" si="317"/>
        <v>289</v>
      </c>
      <c r="Q4052" s="8">
        <f t="shared" si="318"/>
        <v>21</v>
      </c>
      <c r="R4052" s="2" t="s">
        <v>50</v>
      </c>
      <c r="S4052" s="24">
        <f t="shared" si="319"/>
        <v>0.02</v>
      </c>
    </row>
    <row r="4053" spans="1:19" x14ac:dyDescent="0.25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>VLOOKUP(F4053,'Customer Info'!$A:$B,2,0)</f>
        <v>Craig</v>
      </c>
      <c r="H4053" s="6" t="str">
        <f>VLOOKUP(F4053,'Customer Info'!$A$1:$C$501,3,0)</f>
        <v>Leslie</v>
      </c>
      <c r="I4053" s="6" t="str">
        <f>VLOOKUP(F4053,Customer,5,0)</f>
        <v>Wetzlar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29260</v>
      </c>
      <c r="O4053" s="2">
        <v>68</v>
      </c>
      <c r="P4053" s="8">
        <f t="shared" si="317"/>
        <v>29328</v>
      </c>
      <c r="Q4053" s="8">
        <f t="shared" si="318"/>
        <v>1392</v>
      </c>
      <c r="R4053" s="2" t="s">
        <v>50</v>
      </c>
      <c r="S4053" s="24">
        <f t="shared" si="319"/>
        <v>7.0000000000000007E-2</v>
      </c>
    </row>
    <row r="4054" spans="1:19" x14ac:dyDescent="0.25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>VLOOKUP(F4054,'Customer Info'!$A:$B,2,0)</f>
        <v>Jas</v>
      </c>
      <c r="H4054" s="6" t="str">
        <f>VLOOKUP(F4054,'Customer Info'!$A$1:$C$501,3,0)</f>
        <v>O'Carroll</v>
      </c>
      <c r="I4054" s="6" t="str">
        <f>VLOOKUP(F4054,Customer,5,0)</f>
        <v>Essen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20010</v>
      </c>
      <c r="O4054" s="2">
        <v>66</v>
      </c>
      <c r="P4054" s="8">
        <f t="shared" si="317"/>
        <v>20076</v>
      </c>
      <c r="Q4054" s="8">
        <f t="shared" si="318"/>
        <v>1290</v>
      </c>
      <c r="R4054" s="2" t="s">
        <v>28</v>
      </c>
      <c r="S4054" s="24">
        <f t="shared" si="319"/>
        <v>0.05</v>
      </c>
    </row>
    <row r="4055" spans="1:19" x14ac:dyDescent="0.25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>VLOOKUP(F4055,'Customer Info'!$A:$B,2,0)</f>
        <v>Jennifer</v>
      </c>
      <c r="H4055" s="6" t="str">
        <f>VLOOKUP(F4055,'Customer Info'!$A$1:$C$501,3,0)</f>
        <v>Jackson</v>
      </c>
      <c r="I4055" s="6" t="str">
        <f>VLOOKUP(F4055,Customer,5,0)</f>
        <v>Queanbeyan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262</v>
      </c>
      <c r="O4055" s="2">
        <v>30</v>
      </c>
      <c r="P4055" s="8">
        <f t="shared" si="317"/>
        <v>292</v>
      </c>
      <c r="Q4055" s="8">
        <f t="shared" si="318"/>
        <v>14</v>
      </c>
      <c r="R4055" s="2" t="s">
        <v>28</v>
      </c>
      <c r="S4055" s="24">
        <f t="shared" si="319"/>
        <v>0.02</v>
      </c>
    </row>
    <row r="4056" spans="1:19" x14ac:dyDescent="0.25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>VLOOKUP(F4056,'Customer Info'!$A:$B,2,0)</f>
        <v>Debra</v>
      </c>
      <c r="H4056" s="6" t="str">
        <f>VLOOKUP(F4056,'Customer Info'!$A$1:$C$501,3,0)</f>
        <v>Catini</v>
      </c>
      <c r="I4056" s="6" t="str">
        <f>VLOOKUP(F4056,Customer,5,0)</f>
        <v>Brisbane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25160</v>
      </c>
      <c r="O4056" s="2">
        <v>99</v>
      </c>
      <c r="P4056" s="8">
        <f t="shared" si="317"/>
        <v>25259</v>
      </c>
      <c r="Q4056" s="8">
        <f t="shared" si="318"/>
        <v>960</v>
      </c>
      <c r="R4056" s="2" t="s">
        <v>50</v>
      </c>
      <c r="S4056" s="24">
        <f t="shared" si="319"/>
        <v>7.0000000000000007E-2</v>
      </c>
    </row>
    <row r="4057" spans="1:19" x14ac:dyDescent="0.25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>VLOOKUP(F4057,'Customer Info'!$A:$B,2,0)</f>
        <v>Mitch</v>
      </c>
      <c r="H4057" s="6" t="str">
        <f>VLOOKUP(F4057,'Customer Info'!$A$1:$C$501,3,0)</f>
        <v>Willingham</v>
      </c>
      <c r="I4057" s="6" t="str">
        <f>VLOOKUP(F4057,Customer,5,0)</f>
        <v>Surakarta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4888</v>
      </c>
      <c r="O4057" s="2">
        <v>33</v>
      </c>
      <c r="P4057" s="8">
        <f t="shared" si="317"/>
        <v>4921</v>
      </c>
      <c r="Q4057" s="8">
        <f t="shared" si="318"/>
        <v>140</v>
      </c>
      <c r="R4057" s="2" t="s">
        <v>28</v>
      </c>
      <c r="S4057" s="24">
        <f t="shared" si="319"/>
        <v>0.02</v>
      </c>
    </row>
    <row r="4058" spans="1:19" x14ac:dyDescent="0.25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>VLOOKUP(F4058,'Customer Info'!$A:$B,2,0)</f>
        <v>Benjamin</v>
      </c>
      <c r="H4058" s="6" t="str">
        <f>VLOOKUP(F4058,'Customer Info'!$A$1:$C$501,3,0)</f>
        <v>Patterson</v>
      </c>
      <c r="I4058" s="6" t="str">
        <f>VLOOKUP(F4058,Customer,5,0)</f>
        <v>Tamworth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875</v>
      </c>
      <c r="O4058" s="2">
        <v>30</v>
      </c>
      <c r="P4058" s="8">
        <f t="shared" si="317"/>
        <v>905</v>
      </c>
      <c r="Q4058" s="8">
        <f t="shared" si="318"/>
        <v>65</v>
      </c>
      <c r="R4058" s="2" t="s">
        <v>50</v>
      </c>
      <c r="S4058" s="24">
        <f t="shared" si="319"/>
        <v>0.02</v>
      </c>
    </row>
    <row r="4059" spans="1:19" x14ac:dyDescent="0.25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>VLOOKUP(F4059,'Customer Info'!$A:$B,2,0)</f>
        <v>Laurel</v>
      </c>
      <c r="H4059" s="6" t="str">
        <f>VLOOKUP(F4059,'Customer Info'!$A$1:$C$501,3,0)</f>
        <v>Elliston</v>
      </c>
      <c r="I4059" s="6" t="str">
        <f>VLOOKUP(F4059,Customer,5,0)</f>
        <v>Tasikmalaya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8682</v>
      </c>
      <c r="O4059" s="2">
        <v>76</v>
      </c>
      <c r="P4059" s="8">
        <f t="shared" si="317"/>
        <v>8758</v>
      </c>
      <c r="Q4059" s="8">
        <f t="shared" si="318"/>
        <v>726</v>
      </c>
      <c r="R4059" s="2" t="s">
        <v>28</v>
      </c>
      <c r="S4059" s="24">
        <f t="shared" si="319"/>
        <v>0.05</v>
      </c>
    </row>
    <row r="4060" spans="1:19" x14ac:dyDescent="0.25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>VLOOKUP(F4060,'Customer Info'!$A:$B,2,0)</f>
        <v>Jesus</v>
      </c>
      <c r="H4060" s="6" t="str">
        <f>VLOOKUP(F4060,'Customer Info'!$A$1:$C$501,3,0)</f>
        <v>Ocampo</v>
      </c>
      <c r="I4060" s="6" t="str">
        <f>VLOOKUP(F4060,Customer,5,0)</f>
        <v>Herten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9985</v>
      </c>
      <c r="O4060" s="2">
        <v>74</v>
      </c>
      <c r="P4060" s="8">
        <f t="shared" si="317"/>
        <v>10059</v>
      </c>
      <c r="Q4060" s="8">
        <f t="shared" si="318"/>
        <v>905</v>
      </c>
      <c r="R4060" s="2" t="s">
        <v>28</v>
      </c>
      <c r="S4060" s="24">
        <f t="shared" si="319"/>
        <v>0.05</v>
      </c>
    </row>
    <row r="4061" spans="1:19" x14ac:dyDescent="0.25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>VLOOKUP(F4061,'Customer Info'!$A:$B,2,0)</f>
        <v>Gary</v>
      </c>
      <c r="H4061" s="6" t="str">
        <f>VLOOKUP(F4061,'Customer Info'!$A$1:$C$501,3,0)</f>
        <v>Zandusky</v>
      </c>
      <c r="I4061" s="6" t="str">
        <f>VLOOKUP(F4061,Customer,5,0)</f>
        <v>Aligarh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720</v>
      </c>
      <c r="O4061" s="2">
        <v>30</v>
      </c>
      <c r="P4061" s="8">
        <f t="shared" si="317"/>
        <v>750</v>
      </c>
      <c r="Q4061" s="8">
        <f t="shared" si="318"/>
        <v>55</v>
      </c>
      <c r="R4061" s="2" t="s">
        <v>28</v>
      </c>
      <c r="S4061" s="24">
        <f t="shared" si="319"/>
        <v>0.02</v>
      </c>
    </row>
    <row r="4062" spans="1:19" x14ac:dyDescent="0.25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>VLOOKUP(F4062,'Customer Info'!$A:$B,2,0)</f>
        <v>Victoria</v>
      </c>
      <c r="H4062" s="6" t="str">
        <f>VLOOKUP(F4062,'Customer Info'!$A$1:$C$501,3,0)</f>
        <v>Brennan</v>
      </c>
      <c r="I4062" s="6" t="str">
        <f>VLOOKUP(F4062,Customer,5,0)</f>
        <v>Canberra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4158</v>
      </c>
      <c r="O4062" s="2">
        <v>37</v>
      </c>
      <c r="P4062" s="8">
        <f t="shared" si="317"/>
        <v>4195</v>
      </c>
      <c r="Q4062" s="8">
        <f t="shared" si="318"/>
        <v>156</v>
      </c>
      <c r="R4062" s="2" t="s">
        <v>28</v>
      </c>
      <c r="S4062" s="24">
        <f t="shared" si="319"/>
        <v>0.02</v>
      </c>
    </row>
    <row r="4063" spans="1:19" x14ac:dyDescent="0.25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>VLOOKUP(F4063,'Customer Info'!$A:$B,2,0)</f>
        <v>Brad</v>
      </c>
      <c r="H4063" s="6" t="str">
        <f>VLOOKUP(F4063,'Customer Info'!$A$1:$C$501,3,0)</f>
        <v>Thomas</v>
      </c>
      <c r="I4063" s="6" t="str">
        <f>VLOOKUP(F4063,Customer,5,0)</f>
        <v>Udaipur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2083</v>
      </c>
      <c r="O4063" s="2">
        <v>66</v>
      </c>
      <c r="P4063" s="8">
        <f t="shared" si="317"/>
        <v>2149</v>
      </c>
      <c r="Q4063" s="8">
        <f t="shared" si="318"/>
        <v>79</v>
      </c>
      <c r="R4063" s="2" t="s">
        <v>50</v>
      </c>
      <c r="S4063" s="24">
        <f t="shared" si="319"/>
        <v>0.02</v>
      </c>
    </row>
    <row r="4064" spans="1:19" x14ac:dyDescent="0.25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>VLOOKUP(F4064,'Customer Info'!$A:$B,2,0)</f>
        <v>Susan</v>
      </c>
      <c r="H4064" s="6" t="str">
        <f>VLOOKUP(F4064,'Customer Info'!$A$1:$C$501,3,0)</f>
        <v>Pistek</v>
      </c>
      <c r="I4064" s="6" t="str">
        <f>VLOOKUP(F4064,Customer,5,0)</f>
        <v>Padang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7896</v>
      </c>
      <c r="O4064" s="2">
        <v>52</v>
      </c>
      <c r="P4064" s="8">
        <f t="shared" si="317"/>
        <v>7948</v>
      </c>
      <c r="Q4064" s="8">
        <f t="shared" si="318"/>
        <v>516</v>
      </c>
      <c r="R4064" s="2" t="s">
        <v>50</v>
      </c>
      <c r="S4064" s="24">
        <f t="shared" si="319"/>
        <v>0.05</v>
      </c>
    </row>
    <row r="4065" spans="1:19" x14ac:dyDescent="0.25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>VLOOKUP(F4065,'Customer Info'!$A:$B,2,0)</f>
        <v>Jack</v>
      </c>
      <c r="H4065" s="6" t="str">
        <f>VLOOKUP(F4065,'Customer Info'!$A$1:$C$501,3,0)</f>
        <v>Garza</v>
      </c>
      <c r="I4065" s="6" t="str">
        <f>VLOOKUP(F4065,Customer,5,0)</f>
        <v>Oldenburg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856</v>
      </c>
      <c r="O4065" s="2">
        <v>51</v>
      </c>
      <c r="P4065" s="8">
        <f t="shared" si="317"/>
        <v>907</v>
      </c>
      <c r="Q4065" s="8">
        <f t="shared" si="318"/>
        <v>56</v>
      </c>
      <c r="R4065" s="2" t="s">
        <v>28</v>
      </c>
      <c r="S4065" s="24">
        <f t="shared" si="319"/>
        <v>0.02</v>
      </c>
    </row>
    <row r="4066" spans="1:19" x14ac:dyDescent="0.25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>VLOOKUP(F4066,'Customer Info'!$A:$B,2,0)</f>
        <v>Steven</v>
      </c>
      <c r="H4066" s="6" t="str">
        <f>VLOOKUP(F4066,'Customer Info'!$A$1:$C$501,3,0)</f>
        <v>Cartwright</v>
      </c>
      <c r="I4066" s="6" t="str">
        <f>VLOOKUP(F4066,Customer,5,0)</f>
        <v>Newcastle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252</v>
      </c>
      <c r="O4066" s="2">
        <v>10</v>
      </c>
      <c r="P4066" s="8">
        <f t="shared" si="317"/>
        <v>262</v>
      </c>
      <c r="Q4066" s="8">
        <f t="shared" si="318"/>
        <v>16</v>
      </c>
      <c r="R4066" s="2" t="s">
        <v>50</v>
      </c>
      <c r="S4066" s="24">
        <f t="shared" si="319"/>
        <v>0.02</v>
      </c>
    </row>
    <row r="4067" spans="1:19" x14ac:dyDescent="0.25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>VLOOKUP(F4067,'Customer Info'!$A:$B,2,0)</f>
        <v>Joy</v>
      </c>
      <c r="H4067" s="6" t="str">
        <f>VLOOKUP(F4067,'Customer Info'!$A$1:$C$501,3,0)</f>
        <v>Bell</v>
      </c>
      <c r="I4067" s="6" t="str">
        <f>VLOOKUP(F4067,Customer,5,0)</f>
        <v>Tongchuan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858</v>
      </c>
      <c r="O4067" s="2">
        <v>30</v>
      </c>
      <c r="P4067" s="8">
        <f t="shared" si="317"/>
        <v>888</v>
      </c>
      <c r="Q4067" s="8">
        <f t="shared" si="318"/>
        <v>36</v>
      </c>
      <c r="R4067" s="2" t="s">
        <v>28</v>
      </c>
      <c r="S4067" s="24">
        <f t="shared" si="319"/>
        <v>0.02</v>
      </c>
    </row>
    <row r="4068" spans="1:19" x14ac:dyDescent="0.25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>VLOOKUP(F4068,'Customer Info'!$A:$B,2,0)</f>
        <v>Cari</v>
      </c>
      <c r="H4068" s="6" t="str">
        <f>VLOOKUP(F4068,'Customer Info'!$A$1:$C$501,3,0)</f>
        <v>Schnelling</v>
      </c>
      <c r="I4068" s="6" t="str">
        <f>VLOOKUP(F4068,Customer,5,0)</f>
        <v>Agra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180</v>
      </c>
      <c r="O4068" s="2">
        <v>10</v>
      </c>
      <c r="P4068" s="8">
        <f t="shared" si="317"/>
        <v>190</v>
      </c>
      <c r="Q4068" s="8">
        <f t="shared" si="318"/>
        <v>12</v>
      </c>
      <c r="R4068" s="2" t="s">
        <v>50</v>
      </c>
      <c r="S4068" s="24">
        <f t="shared" si="319"/>
        <v>0.02</v>
      </c>
    </row>
    <row r="4069" spans="1:19" x14ac:dyDescent="0.25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>VLOOKUP(F4069,'Customer Info'!$A:$B,2,0)</f>
        <v>Craig</v>
      </c>
      <c r="H4069" s="6" t="str">
        <f>VLOOKUP(F4069,'Customer Info'!$A$1:$C$501,3,0)</f>
        <v>Carroll</v>
      </c>
      <c r="I4069" s="6" t="str">
        <f>VLOOKUP(F4069,Customer,5,0)</f>
        <v>Suzhou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5577</v>
      </c>
      <c r="O4069" s="2">
        <v>96</v>
      </c>
      <c r="P4069" s="8">
        <f t="shared" si="317"/>
        <v>5673</v>
      </c>
      <c r="Q4069" s="8">
        <f t="shared" si="318"/>
        <v>312</v>
      </c>
      <c r="R4069" s="2" t="s">
        <v>56</v>
      </c>
      <c r="S4069" s="24">
        <f t="shared" si="319"/>
        <v>0.05</v>
      </c>
    </row>
    <row r="4070" spans="1:19" x14ac:dyDescent="0.25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>VLOOKUP(F4070,'Customer Info'!$A:$B,2,0)</f>
        <v>Toby</v>
      </c>
      <c r="H4070" s="6" t="str">
        <f>VLOOKUP(F4070,'Customer Info'!$A$1:$C$501,3,0)</f>
        <v>Carlisle</v>
      </c>
      <c r="I4070" s="6" t="str">
        <f>VLOOKUP(F4070,Customer,5,0)</f>
        <v>Depok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3434</v>
      </c>
      <c r="O4070" s="2">
        <v>98</v>
      </c>
      <c r="P4070" s="8">
        <f t="shared" si="317"/>
        <v>3532</v>
      </c>
      <c r="Q4070" s="8">
        <f t="shared" si="318"/>
        <v>130</v>
      </c>
      <c r="R4070" s="2" t="s">
        <v>28</v>
      </c>
      <c r="S4070" s="24">
        <f t="shared" si="319"/>
        <v>0.02</v>
      </c>
    </row>
    <row r="4071" spans="1:19" x14ac:dyDescent="0.25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>VLOOKUP(F4071,'Customer Info'!$A:$B,2,0)</f>
        <v>Dennis</v>
      </c>
      <c r="H4071" s="6" t="str">
        <f>VLOOKUP(F4071,'Customer Info'!$A$1:$C$501,3,0)</f>
        <v>Pardue</v>
      </c>
      <c r="I4071" s="6" t="str">
        <f>VLOOKUP(F4071,Customer,5,0)</f>
        <v>Townsville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136</v>
      </c>
      <c r="O4071" s="2">
        <v>10</v>
      </c>
      <c r="P4071" s="8">
        <f t="shared" si="317"/>
        <v>146</v>
      </c>
      <c r="Q4071" s="8">
        <f t="shared" si="318"/>
        <v>10</v>
      </c>
      <c r="R4071" s="2" t="s">
        <v>26</v>
      </c>
      <c r="S4071" s="24">
        <f t="shared" si="319"/>
        <v>0.02</v>
      </c>
    </row>
    <row r="4072" spans="1:19" x14ac:dyDescent="0.25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>VLOOKUP(F4072,'Customer Info'!$A:$B,2,0)</f>
        <v>Mick</v>
      </c>
      <c r="H4072" s="6" t="str">
        <f>VLOOKUP(F4072,'Customer Info'!$A$1:$C$501,3,0)</f>
        <v>Crebagga</v>
      </c>
      <c r="I4072" s="6" t="str">
        <f>VLOOKUP(F4072,Customer,5,0)</f>
        <v>Banjarmasin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41868</v>
      </c>
      <c r="O4072" s="2">
        <v>65</v>
      </c>
      <c r="P4072" s="8">
        <f t="shared" si="317"/>
        <v>41933</v>
      </c>
      <c r="Q4072" s="8">
        <f t="shared" si="318"/>
        <v>4546</v>
      </c>
      <c r="R4072" s="2" t="s">
        <v>28</v>
      </c>
      <c r="S4072" s="24">
        <f t="shared" si="319"/>
        <v>7.0000000000000007E-2</v>
      </c>
    </row>
    <row r="4073" spans="1:19" x14ac:dyDescent="0.25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>VLOOKUP(F4073,'Customer Info'!$A:$B,2,0)</f>
        <v>Michelle</v>
      </c>
      <c r="H4073" s="6" t="str">
        <f>VLOOKUP(F4073,'Customer Info'!$A$1:$C$501,3,0)</f>
        <v>Arnett</v>
      </c>
      <c r="I4073" s="6" t="str">
        <f>VLOOKUP(F4073,Customer,5,0)</f>
        <v>Palembang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752</v>
      </c>
      <c r="O4073" s="2">
        <v>30</v>
      </c>
      <c r="P4073" s="8">
        <f t="shared" si="317"/>
        <v>782</v>
      </c>
      <c r="Q4073" s="8">
        <f t="shared" si="318"/>
        <v>60</v>
      </c>
      <c r="R4073" s="2" t="s">
        <v>28</v>
      </c>
      <c r="S4073" s="24">
        <f t="shared" si="319"/>
        <v>0.02</v>
      </c>
    </row>
    <row r="4074" spans="1:19" x14ac:dyDescent="0.25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>VLOOKUP(F4074,'Customer Info'!$A:$B,2,0)</f>
        <v>Dave</v>
      </c>
      <c r="H4074" s="6" t="str">
        <f>VLOOKUP(F4074,'Customer Info'!$A$1:$C$501,3,0)</f>
        <v>Poirier</v>
      </c>
      <c r="I4074" s="6" t="str">
        <f>VLOOKUP(F4074,Customer,5,0)</f>
        <v>Changchun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12704</v>
      </c>
      <c r="O4074" s="2">
        <v>39</v>
      </c>
      <c r="P4074" s="8">
        <f t="shared" si="317"/>
        <v>12743</v>
      </c>
      <c r="Q4074" s="8">
        <f t="shared" si="318"/>
        <v>240</v>
      </c>
      <c r="R4074" s="2" t="s">
        <v>28</v>
      </c>
      <c r="S4074" s="24">
        <f t="shared" si="319"/>
        <v>0.05</v>
      </c>
    </row>
    <row r="4075" spans="1:19" x14ac:dyDescent="0.25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>VLOOKUP(F4075,'Customer Info'!$A:$B,2,0)</f>
        <v>Erin</v>
      </c>
      <c r="H4075" s="6" t="str">
        <f>VLOOKUP(F4075,'Customer Info'!$A$1:$C$501,3,0)</f>
        <v>Smith</v>
      </c>
      <c r="I4075" s="6" t="str">
        <f>VLOOKUP(F4075,Customer,5,0)</f>
        <v>Bremen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270</v>
      </c>
      <c r="O4075" s="2">
        <v>30</v>
      </c>
      <c r="P4075" s="8">
        <f t="shared" si="317"/>
        <v>300</v>
      </c>
      <c r="Q4075" s="8">
        <f t="shared" si="318"/>
        <v>18</v>
      </c>
      <c r="R4075" s="2" t="s">
        <v>28</v>
      </c>
      <c r="S4075" s="24">
        <f t="shared" si="319"/>
        <v>0.02</v>
      </c>
    </row>
    <row r="4076" spans="1:19" x14ac:dyDescent="0.25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>VLOOKUP(F4076,'Customer Info'!$A:$B,2,0)</f>
        <v>Nicole</v>
      </c>
      <c r="H4076" s="6" t="str">
        <f>VLOOKUP(F4076,'Customer Info'!$A$1:$C$501,3,0)</f>
        <v>Fjeld</v>
      </c>
      <c r="I4076" s="6" t="str">
        <f>VLOOKUP(F4076,Customer,5,0)</f>
        <v>Berlin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2515</v>
      </c>
      <c r="O4076" s="2">
        <v>78</v>
      </c>
      <c r="P4076" s="8">
        <f t="shared" si="317"/>
        <v>2593</v>
      </c>
      <c r="Q4076" s="8">
        <f t="shared" si="318"/>
        <v>118</v>
      </c>
      <c r="R4076" s="2" t="s">
        <v>50</v>
      </c>
      <c r="S4076" s="24">
        <f t="shared" si="319"/>
        <v>0.02</v>
      </c>
    </row>
    <row r="4077" spans="1:19" x14ac:dyDescent="0.25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>VLOOKUP(F4077,'Customer Info'!$A:$B,2,0)</f>
        <v>Brooke</v>
      </c>
      <c r="H4077" s="6" t="str">
        <f>VLOOKUP(F4077,'Customer Info'!$A$1:$C$501,3,0)</f>
        <v>Gillingham</v>
      </c>
      <c r="I4077" s="6" t="str">
        <f>VLOOKUP(F4077,Customer,5,0)</f>
        <v>Sunbury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3054</v>
      </c>
      <c r="O4077" s="2">
        <v>61</v>
      </c>
      <c r="P4077" s="8">
        <f t="shared" si="317"/>
        <v>3115</v>
      </c>
      <c r="Q4077" s="8">
        <f t="shared" si="318"/>
        <v>333</v>
      </c>
      <c r="R4077" s="2" t="s">
        <v>50</v>
      </c>
      <c r="S4077" s="24">
        <f t="shared" si="319"/>
        <v>0.02</v>
      </c>
    </row>
    <row r="4078" spans="1:19" x14ac:dyDescent="0.25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>VLOOKUP(F4078,'Customer Info'!$A:$B,2,0)</f>
        <v>Alex</v>
      </c>
      <c r="H4078" s="6" t="str">
        <f>VLOOKUP(F4078,'Customer Info'!$A$1:$C$501,3,0)</f>
        <v>Grayson</v>
      </c>
      <c r="I4078" s="6" t="str">
        <f>VLOOKUP(F4078,Customer,5,0)</f>
        <v>Anyang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5635</v>
      </c>
      <c r="O4078" s="2">
        <v>73</v>
      </c>
      <c r="P4078" s="8">
        <f t="shared" si="317"/>
        <v>5708</v>
      </c>
      <c r="Q4078" s="8">
        <f t="shared" si="318"/>
        <v>413</v>
      </c>
      <c r="R4078" s="2" t="s">
        <v>28</v>
      </c>
      <c r="S4078" s="24">
        <f t="shared" si="319"/>
        <v>0.05</v>
      </c>
    </row>
    <row r="4079" spans="1:19" x14ac:dyDescent="0.25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>VLOOKUP(F4079,'Customer Info'!$A:$B,2,0)</f>
        <v>Max</v>
      </c>
      <c r="H4079" s="6" t="str">
        <f>VLOOKUP(F4079,'Customer Info'!$A$1:$C$501,3,0)</f>
        <v>Ludwig</v>
      </c>
      <c r="I4079" s="6" t="str">
        <f>VLOOKUP(F4079,Customer,5,0)</f>
        <v>Cirebon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40110</v>
      </c>
      <c r="O4079" s="2">
        <v>61</v>
      </c>
      <c r="P4079" s="8">
        <f t="shared" si="317"/>
        <v>40171</v>
      </c>
      <c r="Q4079" s="8">
        <f t="shared" si="318"/>
        <v>770</v>
      </c>
      <c r="R4079" s="2" t="s">
        <v>28</v>
      </c>
      <c r="S4079" s="24">
        <f t="shared" si="319"/>
        <v>7.0000000000000007E-2</v>
      </c>
    </row>
    <row r="4080" spans="1:19" x14ac:dyDescent="0.25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>VLOOKUP(F4080,'Customer Info'!$A:$B,2,0)</f>
        <v>Lindsay</v>
      </c>
      <c r="H4080" s="6" t="str">
        <f>VLOOKUP(F4080,'Customer Info'!$A$1:$C$501,3,0)</f>
        <v>Castell</v>
      </c>
      <c r="I4080" s="6" t="str">
        <f>VLOOKUP(F4080,Customer,5,0)</f>
        <v>Depok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2684</v>
      </c>
      <c r="O4080" s="2">
        <v>79</v>
      </c>
      <c r="P4080" s="8">
        <f t="shared" si="317"/>
        <v>2763</v>
      </c>
      <c r="Q4080" s="8">
        <f t="shared" si="318"/>
        <v>176</v>
      </c>
      <c r="R4080" s="2" t="s">
        <v>56</v>
      </c>
      <c r="S4080" s="24">
        <f t="shared" si="319"/>
        <v>0.02</v>
      </c>
    </row>
    <row r="4081" spans="1:19" x14ac:dyDescent="0.25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>VLOOKUP(F4081,'Customer Info'!$A:$B,2,0)</f>
        <v>Brian</v>
      </c>
      <c r="H4081" s="6" t="str">
        <f>VLOOKUP(F4081,'Customer Info'!$A$1:$C$501,3,0)</f>
        <v>Dahlen</v>
      </c>
      <c r="I4081" s="6" t="str">
        <f>VLOOKUP(F4081,Customer,5,0)</f>
        <v>Shantou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305</v>
      </c>
      <c r="O4081" s="2">
        <v>10</v>
      </c>
      <c r="P4081" s="8">
        <f t="shared" si="317"/>
        <v>315</v>
      </c>
      <c r="Q4081" s="8">
        <f t="shared" si="318"/>
        <v>20</v>
      </c>
      <c r="R4081" s="2" t="s">
        <v>50</v>
      </c>
      <c r="S4081" s="24">
        <f t="shared" si="319"/>
        <v>0.02</v>
      </c>
    </row>
    <row r="4082" spans="1:19" x14ac:dyDescent="0.25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>VLOOKUP(F4082,'Customer Info'!$A:$B,2,0)</f>
        <v>John</v>
      </c>
      <c r="H4082" s="6" t="str">
        <f>VLOOKUP(F4082,'Customer Info'!$A$1:$C$501,3,0)</f>
        <v>Lucas</v>
      </c>
      <c r="I4082" s="6" t="str">
        <f>VLOOKUP(F4082,Customer,5,0)</f>
        <v>Beijing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7880</v>
      </c>
      <c r="O4082" s="2">
        <v>84</v>
      </c>
      <c r="P4082" s="8">
        <f t="shared" si="317"/>
        <v>7964</v>
      </c>
      <c r="Q4082" s="8">
        <f t="shared" si="318"/>
        <v>225</v>
      </c>
      <c r="R4082" s="2" t="s">
        <v>50</v>
      </c>
      <c r="S4082" s="24">
        <f t="shared" si="319"/>
        <v>0.05</v>
      </c>
    </row>
    <row r="4083" spans="1:19" x14ac:dyDescent="0.25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>VLOOKUP(F4083,'Customer Info'!$A:$B,2,0)</f>
        <v>Jas</v>
      </c>
      <c r="H4083" s="6" t="str">
        <f>VLOOKUP(F4083,'Customer Info'!$A$1:$C$501,3,0)</f>
        <v>O'Carroll</v>
      </c>
      <c r="I4083" s="6" t="str">
        <f>VLOOKUP(F4083,Customer,5,0)</f>
        <v>Essen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6404</v>
      </c>
      <c r="O4083" s="2">
        <v>55</v>
      </c>
      <c r="P4083" s="8">
        <f t="shared" si="317"/>
        <v>6459</v>
      </c>
      <c r="Q4083" s="8">
        <f t="shared" si="318"/>
        <v>364</v>
      </c>
      <c r="R4083" s="2" t="s">
        <v>28</v>
      </c>
      <c r="S4083" s="24">
        <f t="shared" si="319"/>
        <v>0.05</v>
      </c>
    </row>
    <row r="4084" spans="1:19" x14ac:dyDescent="0.25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>VLOOKUP(F4084,'Customer Info'!$A:$B,2,0)</f>
        <v>Ben</v>
      </c>
      <c r="H4084" s="6" t="str">
        <f>VLOOKUP(F4084,'Customer Info'!$A$1:$C$501,3,0)</f>
        <v>Peterman</v>
      </c>
      <c r="I4084" s="6" t="str">
        <f>VLOOKUP(F4084,Customer,5,0)</f>
        <v>Bielefeld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49686</v>
      </c>
      <c r="O4084" s="2">
        <v>87</v>
      </c>
      <c r="P4084" s="8">
        <f t="shared" si="317"/>
        <v>49773</v>
      </c>
      <c r="Q4084" s="8">
        <f t="shared" si="318"/>
        <v>3648</v>
      </c>
      <c r="R4084" s="2" t="s">
        <v>28</v>
      </c>
      <c r="S4084" s="24">
        <f t="shared" si="319"/>
        <v>7.0000000000000007E-2</v>
      </c>
    </row>
    <row r="4085" spans="1:19" x14ac:dyDescent="0.25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>VLOOKUP(F4085,'Customer Info'!$A:$B,2,0)</f>
        <v>Shahid</v>
      </c>
      <c r="H4085" s="6" t="str">
        <f>VLOOKUP(F4085,'Customer Info'!$A$1:$C$501,3,0)</f>
        <v>Collister</v>
      </c>
      <c r="I4085" s="6" t="str">
        <f>VLOOKUP(F4085,Customer,5,0)</f>
        <v>Leipzig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272</v>
      </c>
      <c r="O4085" s="2">
        <v>30</v>
      </c>
      <c r="P4085" s="8">
        <f t="shared" si="317"/>
        <v>302</v>
      </c>
      <c r="Q4085" s="8">
        <f t="shared" si="318"/>
        <v>12</v>
      </c>
      <c r="R4085" s="2" t="s">
        <v>28</v>
      </c>
      <c r="S4085" s="24">
        <f t="shared" si="319"/>
        <v>0.02</v>
      </c>
    </row>
    <row r="4086" spans="1:19" x14ac:dyDescent="0.25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>VLOOKUP(F4086,'Customer Info'!$A:$B,2,0)</f>
        <v>Nancy</v>
      </c>
      <c r="H4086" s="6" t="str">
        <f>VLOOKUP(F4086,'Customer Info'!$A$1:$C$501,3,0)</f>
        <v>Lomonaco</v>
      </c>
      <c r="I4086" s="6" t="str">
        <f>VLOOKUP(F4086,Customer,5,0)</f>
        <v>Tengzhou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6012</v>
      </c>
      <c r="O4086" s="2">
        <v>58</v>
      </c>
      <c r="P4086" s="8">
        <f t="shared" si="317"/>
        <v>6070</v>
      </c>
      <c r="Q4086" s="8">
        <f t="shared" si="318"/>
        <v>335</v>
      </c>
      <c r="R4086" s="2" t="s">
        <v>50</v>
      </c>
      <c r="S4086" s="24">
        <f t="shared" si="319"/>
        <v>0.05</v>
      </c>
    </row>
    <row r="4087" spans="1:19" x14ac:dyDescent="0.25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>VLOOKUP(F4087,'Customer Info'!$A:$B,2,0)</f>
        <v>Anthony</v>
      </c>
      <c r="H4087" s="6" t="str">
        <f>VLOOKUP(F4087,'Customer Info'!$A$1:$C$501,3,0)</f>
        <v>O'Donnell</v>
      </c>
      <c r="I4087" s="6" t="str">
        <f>VLOOKUP(F4087,Customer,5,0)</f>
        <v>Berlin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106050</v>
      </c>
      <c r="O4087" s="2">
        <v>44</v>
      </c>
      <c r="P4087" s="8">
        <f t="shared" si="317"/>
        <v>106094</v>
      </c>
      <c r="Q4087" s="8">
        <f t="shared" si="318"/>
        <v>6939</v>
      </c>
      <c r="R4087" s="2" t="s">
        <v>50</v>
      </c>
      <c r="S4087" s="24">
        <f t="shared" si="319"/>
        <v>0.12</v>
      </c>
    </row>
    <row r="4088" spans="1:19" x14ac:dyDescent="0.25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>VLOOKUP(F4088,'Customer Info'!$A:$B,2,0)</f>
        <v>Jim</v>
      </c>
      <c r="H4088" s="6" t="str">
        <f>VLOOKUP(F4088,'Customer Info'!$A$1:$C$501,3,0)</f>
        <v>Epp</v>
      </c>
      <c r="I4088" s="6" t="str">
        <f>VLOOKUP(F4088,Customer,5,0)</f>
        <v>Qingdao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4590</v>
      </c>
      <c r="O4088" s="2">
        <v>37</v>
      </c>
      <c r="P4088" s="8">
        <f t="shared" si="317"/>
        <v>4627</v>
      </c>
      <c r="Q4088" s="8">
        <f t="shared" si="318"/>
        <v>384</v>
      </c>
      <c r="R4088" s="2" t="s">
        <v>50</v>
      </c>
      <c r="S4088" s="24">
        <f t="shared" si="319"/>
        <v>0.02</v>
      </c>
    </row>
    <row r="4089" spans="1:19" x14ac:dyDescent="0.25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>VLOOKUP(F4089,'Customer Info'!$A:$B,2,0)</f>
        <v>Alex</v>
      </c>
      <c r="H4089" s="6" t="str">
        <f>VLOOKUP(F4089,'Customer Info'!$A$1:$C$501,3,0)</f>
        <v>Avila</v>
      </c>
      <c r="I4089" s="6" t="str">
        <f>VLOOKUP(F4089,Customer,5,0)</f>
        <v>Newcastle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7336</v>
      </c>
      <c r="O4089" s="2">
        <v>76</v>
      </c>
      <c r="P4089" s="8">
        <f t="shared" si="317"/>
        <v>7412</v>
      </c>
      <c r="Q4089" s="8">
        <f t="shared" si="318"/>
        <v>472</v>
      </c>
      <c r="R4089" s="2" t="s">
        <v>50</v>
      </c>
      <c r="S4089" s="24">
        <f t="shared" si="319"/>
        <v>0.05</v>
      </c>
    </row>
    <row r="4090" spans="1:19" x14ac:dyDescent="0.25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>VLOOKUP(F4090,'Customer Info'!$A:$B,2,0)</f>
        <v>Xylona</v>
      </c>
      <c r="H4090" s="6" t="str">
        <f>VLOOKUP(F4090,'Customer Info'!$A$1:$C$501,3,0)</f>
        <v>Preis</v>
      </c>
      <c r="I4090" s="6" t="str">
        <f>VLOOKUP(F4090,Customer,5,0)</f>
        <v>Qidong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14718</v>
      </c>
      <c r="O4090" s="2">
        <v>47</v>
      </c>
      <c r="P4090" s="8">
        <f t="shared" si="317"/>
        <v>14765</v>
      </c>
      <c r="Q4090" s="8">
        <f t="shared" si="318"/>
        <v>702</v>
      </c>
      <c r="R4090" s="2" t="s">
        <v>28</v>
      </c>
      <c r="S4090" s="24">
        <f t="shared" si="319"/>
        <v>0.05</v>
      </c>
    </row>
    <row r="4091" spans="1:19" x14ac:dyDescent="0.25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>VLOOKUP(F4091,'Customer Info'!$A:$B,2,0)</f>
        <v>Brian</v>
      </c>
      <c r="H4091" s="6" t="str">
        <f>VLOOKUP(F4091,'Customer Info'!$A$1:$C$501,3,0)</f>
        <v>Stugart</v>
      </c>
      <c r="I4091" s="6" t="str">
        <f>VLOOKUP(F4091,Customer,5,0)</f>
        <v>Jakarta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5362</v>
      </c>
      <c r="O4091" s="2">
        <v>66</v>
      </c>
      <c r="P4091" s="8">
        <f t="shared" si="317"/>
        <v>5428</v>
      </c>
      <c r="Q4091" s="8">
        <f t="shared" si="318"/>
        <v>446</v>
      </c>
      <c r="R4091" s="2" t="s">
        <v>50</v>
      </c>
      <c r="S4091" s="24">
        <f t="shared" si="319"/>
        <v>0.05</v>
      </c>
    </row>
    <row r="4092" spans="1:19" x14ac:dyDescent="0.25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>VLOOKUP(F4092,'Customer Info'!$A:$B,2,0)</f>
        <v>Trudy</v>
      </c>
      <c r="H4092" s="6" t="str">
        <f>VLOOKUP(F4092,'Customer Info'!$A$1:$C$501,3,0)</f>
        <v>Glocke</v>
      </c>
      <c r="I4092" s="6" t="str">
        <f>VLOOKUP(F4092,Customer,5,0)</f>
        <v>Brisbane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6750</v>
      </c>
      <c r="O4092" s="2">
        <v>84</v>
      </c>
      <c r="P4092" s="8">
        <f t="shared" si="317"/>
        <v>6834</v>
      </c>
      <c r="Q4092" s="8">
        <f t="shared" si="318"/>
        <v>129</v>
      </c>
      <c r="R4092" s="2" t="s">
        <v>28</v>
      </c>
      <c r="S4092" s="24">
        <f t="shared" si="319"/>
        <v>0.05</v>
      </c>
    </row>
    <row r="4093" spans="1:19" x14ac:dyDescent="0.25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>VLOOKUP(F4093,'Customer Info'!$A:$B,2,0)</f>
        <v>Craig</v>
      </c>
      <c r="H4093" s="6" t="str">
        <f>VLOOKUP(F4093,'Customer Info'!$A$1:$C$501,3,0)</f>
        <v>Yedwab</v>
      </c>
      <c r="I4093" s="6" t="str">
        <f>VLOOKUP(F4093,Customer,5,0)</f>
        <v>Aligarh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567</v>
      </c>
      <c r="O4093" s="2">
        <v>10</v>
      </c>
      <c r="P4093" s="8">
        <f t="shared" si="317"/>
        <v>577</v>
      </c>
      <c r="Q4093" s="8">
        <f t="shared" si="318"/>
        <v>45</v>
      </c>
      <c r="R4093" s="2" t="s">
        <v>28</v>
      </c>
      <c r="S4093" s="24">
        <f t="shared" si="319"/>
        <v>0.02</v>
      </c>
    </row>
    <row r="4094" spans="1:19" x14ac:dyDescent="0.25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>VLOOKUP(F4094,'Customer Info'!$A:$B,2,0)</f>
        <v>James</v>
      </c>
      <c r="H4094" s="6" t="str">
        <f>VLOOKUP(F4094,'Customer Info'!$A$1:$C$501,3,0)</f>
        <v>Lanier</v>
      </c>
      <c r="I4094" s="6" t="str">
        <f>VLOOKUP(F4094,Customer,5,0)</f>
        <v>Dortmund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31770</v>
      </c>
      <c r="O4094" s="2">
        <v>94</v>
      </c>
      <c r="P4094" s="8">
        <f t="shared" si="317"/>
        <v>31864</v>
      </c>
      <c r="Q4094" s="8">
        <f t="shared" si="318"/>
        <v>2925</v>
      </c>
      <c r="R4094" s="2" t="s">
        <v>50</v>
      </c>
      <c r="S4094" s="24">
        <f t="shared" si="319"/>
        <v>7.0000000000000007E-2</v>
      </c>
    </row>
    <row r="4095" spans="1:19" x14ac:dyDescent="0.25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>VLOOKUP(F4095,'Customer Info'!$A:$B,2,0)</f>
        <v>Jonathan</v>
      </c>
      <c r="H4095" s="6" t="str">
        <f>VLOOKUP(F4095,'Customer Info'!$A$1:$C$501,3,0)</f>
        <v>Howell</v>
      </c>
      <c r="I4095" s="6" t="str">
        <f>VLOOKUP(F4095,Customer,5,0)</f>
        <v>Guangshui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3540</v>
      </c>
      <c r="O4095" s="2">
        <v>59</v>
      </c>
      <c r="P4095" s="8">
        <f t="shared" si="317"/>
        <v>3599</v>
      </c>
      <c r="Q4095" s="8">
        <f t="shared" si="318"/>
        <v>356</v>
      </c>
      <c r="R4095" s="2" t="s">
        <v>50</v>
      </c>
      <c r="S4095" s="24">
        <f t="shared" si="319"/>
        <v>0.02</v>
      </c>
    </row>
    <row r="4096" spans="1:19" x14ac:dyDescent="0.25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>VLOOKUP(F4096,'Customer Info'!$A:$B,2,0)</f>
        <v>Harry</v>
      </c>
      <c r="H4096" s="6" t="str">
        <f>VLOOKUP(F4096,'Customer Info'!$A$1:$C$501,3,0)</f>
        <v>Marie</v>
      </c>
      <c r="I4096" s="6" t="str">
        <f>VLOOKUP(F4096,Customer,5,0)</f>
        <v>Mataram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716</v>
      </c>
      <c r="O4096" s="2">
        <v>30</v>
      </c>
      <c r="P4096" s="8">
        <f t="shared" si="317"/>
        <v>746</v>
      </c>
      <c r="Q4096" s="8">
        <f t="shared" si="318"/>
        <v>32</v>
      </c>
      <c r="R4096" s="2" t="s">
        <v>28</v>
      </c>
      <c r="S4096" s="24">
        <f t="shared" si="319"/>
        <v>0.02</v>
      </c>
    </row>
    <row r="4097" spans="1:19" x14ac:dyDescent="0.25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>VLOOKUP(F4097,'Customer Info'!$A:$B,2,0)</f>
        <v>Christopher</v>
      </c>
      <c r="H4097" s="6" t="str">
        <f>VLOOKUP(F4097,'Customer Info'!$A$1:$C$501,3,0)</f>
        <v>Martinez</v>
      </c>
      <c r="I4097" s="6" t="str">
        <f>VLOOKUP(F4097,Customer,5,0)</f>
        <v>Qingdao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2427</v>
      </c>
      <c r="O4097" s="2">
        <v>75</v>
      </c>
      <c r="P4097" s="8">
        <f t="shared" si="317"/>
        <v>2502</v>
      </c>
      <c r="Q4097" s="8">
        <f t="shared" si="318"/>
        <v>117</v>
      </c>
      <c r="R4097" s="2" t="s">
        <v>50</v>
      </c>
      <c r="S4097" s="24">
        <f t="shared" si="319"/>
        <v>0.02</v>
      </c>
    </row>
    <row r="4098" spans="1:19" x14ac:dyDescent="0.25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>VLOOKUP(F4098,'Customer Info'!$A:$B,2,0)</f>
        <v>Darren</v>
      </c>
      <c r="H4098" s="6" t="str">
        <f>VLOOKUP(F4098,'Customer Info'!$A$1:$C$501,3,0)</f>
        <v>Budd</v>
      </c>
      <c r="I4098" s="6" t="str">
        <f>VLOOKUP(F4098,Customer,5,0)</f>
        <v>Regensburg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59382</v>
      </c>
      <c r="O4098" s="2">
        <v>63</v>
      </c>
      <c r="P4098" s="8">
        <f t="shared" si="317"/>
        <v>59445</v>
      </c>
      <c r="Q4098" s="8">
        <f t="shared" si="318"/>
        <v>2268</v>
      </c>
      <c r="R4098" s="2" t="s">
        <v>28</v>
      </c>
      <c r="S4098" s="24">
        <f t="shared" si="319"/>
        <v>0.09</v>
      </c>
    </row>
    <row r="4099" spans="1:19" x14ac:dyDescent="0.25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>VLOOKUP(F4099,'Customer Info'!$A:$B,2,0)</f>
        <v>Jack</v>
      </c>
      <c r="H4099" s="6" t="str">
        <f>VLOOKUP(F4099,'Customer Info'!$A$1:$C$501,3,0)</f>
        <v>O'Briant</v>
      </c>
      <c r="I4099" s="6" t="str">
        <f>VLOOKUP(F4099,Customer,5,0)</f>
        <v>Jammu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738</v>
      </c>
      <c r="O4099" s="2">
        <v>30</v>
      </c>
      <c r="P4099" s="8">
        <f t="shared" si="317"/>
        <v>768</v>
      </c>
      <c r="Q4099" s="8">
        <f t="shared" si="318"/>
        <v>48</v>
      </c>
      <c r="R4099" s="2" t="s">
        <v>50</v>
      </c>
      <c r="S4099" s="24">
        <f t="shared" si="319"/>
        <v>0.02</v>
      </c>
    </row>
    <row r="4100" spans="1:19" x14ac:dyDescent="0.25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>VLOOKUP(F4100,'Customer Info'!$A:$B,2,0)</f>
        <v>Toby</v>
      </c>
      <c r="H4100" s="6" t="str">
        <f>VLOOKUP(F4100,'Customer Info'!$A$1:$C$501,3,0)</f>
        <v>Braunhardt</v>
      </c>
      <c r="I4100" s="6" t="str">
        <f>VLOOKUP(F4100,Customer,5,0)</f>
        <v>Jiangyan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6024</v>
      </c>
      <c r="O4100" s="2">
        <v>23</v>
      </c>
      <c r="P4100" s="8">
        <f t="shared" si="317"/>
        <v>6047</v>
      </c>
      <c r="Q4100" s="8">
        <f t="shared" si="318"/>
        <v>600</v>
      </c>
      <c r="R4100" s="2" t="s">
        <v>28</v>
      </c>
      <c r="S4100" s="24">
        <f t="shared" si="319"/>
        <v>0.05</v>
      </c>
    </row>
    <row r="4101" spans="1:19" x14ac:dyDescent="0.25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>VLOOKUP(F4101,'Customer Info'!$A:$B,2,0)</f>
        <v>MaryBeth</v>
      </c>
      <c r="H4101" s="6" t="str">
        <f>VLOOKUP(F4101,'Customer Info'!$A$1:$C$501,3,0)</f>
        <v>Skach</v>
      </c>
      <c r="I4101" s="6" t="str">
        <f>VLOOKUP(F4101,Customer,5,0)</f>
        <v>Licheng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3238</v>
      </c>
      <c r="O4101" s="2">
        <v>100</v>
      </c>
      <c r="P4101" s="8">
        <f t="shared" si="317"/>
        <v>3338</v>
      </c>
      <c r="Q4101" s="8">
        <f t="shared" si="318"/>
        <v>354</v>
      </c>
      <c r="R4101" s="2" t="s">
        <v>56</v>
      </c>
      <c r="S4101" s="24">
        <f t="shared" si="319"/>
        <v>0.02</v>
      </c>
    </row>
    <row r="4102" spans="1:19" x14ac:dyDescent="0.25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>VLOOKUP(F4102,'Customer Info'!$A:$B,2,0)</f>
        <v>Larry</v>
      </c>
      <c r="H4102" s="6" t="str">
        <f>VLOOKUP(F4102,'Customer Info'!$A$1:$C$501,3,0)</f>
        <v>Blacks</v>
      </c>
      <c r="I4102" s="6" t="str">
        <f>VLOOKUP(F4102,Customer,5,0)</f>
        <v>Shangyu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2716</v>
      </c>
      <c r="O4102" s="2">
        <v>29</v>
      </c>
      <c r="P4102" s="8">
        <f t="shared" si="317"/>
        <v>2745</v>
      </c>
      <c r="Q4102" s="8">
        <f t="shared" si="318"/>
        <v>100</v>
      </c>
      <c r="R4102" s="2" t="s">
        <v>26</v>
      </c>
      <c r="S4102" s="24">
        <f t="shared" si="319"/>
        <v>0.02</v>
      </c>
    </row>
    <row r="4103" spans="1:19" x14ac:dyDescent="0.25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>VLOOKUP(F4103,'Customer Info'!$A:$B,2,0)</f>
        <v>Craig</v>
      </c>
      <c r="H4103" s="6" t="str">
        <f>VLOOKUP(F4103,'Customer Info'!$A$1:$C$501,3,0)</f>
        <v>Yedwab</v>
      </c>
      <c r="I4103" s="6" t="str">
        <f>VLOOKUP(F4103,Customer,5,0)</f>
        <v>Aligarh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25658</v>
      </c>
      <c r="O4103" s="2">
        <v>86</v>
      </c>
      <c r="P4103" s="8">
        <f t="shared" si="317"/>
        <v>25744</v>
      </c>
      <c r="Q4103" s="8">
        <f t="shared" si="318"/>
        <v>1192</v>
      </c>
      <c r="R4103" s="2" t="s">
        <v>50</v>
      </c>
      <c r="S4103" s="24">
        <f t="shared" si="319"/>
        <v>7.0000000000000007E-2</v>
      </c>
    </row>
    <row r="4104" spans="1:19" x14ac:dyDescent="0.25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>VLOOKUP(F4104,'Customer Info'!$A:$B,2,0)</f>
        <v>Brooke</v>
      </c>
      <c r="H4104" s="6" t="str">
        <f>VLOOKUP(F4104,'Customer Info'!$A$1:$C$501,3,0)</f>
        <v>Gillingham</v>
      </c>
      <c r="I4104" s="6" t="str">
        <f>VLOOKUP(F4104,Customer,5,0)</f>
        <v>Weimar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29308</v>
      </c>
      <c r="O4104" s="2">
        <v>45</v>
      </c>
      <c r="P4104" s="8">
        <f t="shared" si="317"/>
        <v>29353</v>
      </c>
      <c r="Q4104" s="8">
        <f t="shared" si="318"/>
        <v>2676</v>
      </c>
      <c r="R4104" s="2" t="s">
        <v>28</v>
      </c>
      <c r="S4104" s="24">
        <f t="shared" si="319"/>
        <v>7.0000000000000007E-2</v>
      </c>
    </row>
    <row r="4105" spans="1:19" x14ac:dyDescent="0.25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>VLOOKUP(F4105,'Customer Info'!$A:$B,2,0)</f>
        <v>Joy</v>
      </c>
      <c r="H4105" s="6" t="str">
        <f>VLOOKUP(F4105,'Customer Info'!$A$1:$C$501,3,0)</f>
        <v>Daniels</v>
      </c>
      <c r="I4105" s="6" t="str">
        <f>VLOOKUP(F4105,Customer,5,0)</f>
        <v>Cairns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18080</v>
      </c>
      <c r="O4105" s="2">
        <v>89</v>
      </c>
      <c r="P4105" s="8">
        <f t="shared" si="317"/>
        <v>18169</v>
      </c>
      <c r="Q4105" s="8">
        <f t="shared" si="318"/>
        <v>680</v>
      </c>
      <c r="R4105" s="2" t="s">
        <v>28</v>
      </c>
      <c r="S4105" s="24">
        <f t="shared" si="319"/>
        <v>0.05</v>
      </c>
    </row>
    <row r="4106" spans="1:19" x14ac:dyDescent="0.25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>VLOOKUP(F4106,'Customer Info'!$A:$B,2,0)</f>
        <v>Laurel</v>
      </c>
      <c r="H4106" s="6" t="str">
        <f>VLOOKUP(F4106,'Customer Info'!$A$1:$C$501,3,0)</f>
        <v>Beltran</v>
      </c>
      <c r="I4106" s="6" t="str">
        <f>VLOOKUP(F4106,Customer,5,0)</f>
        <v>Bonn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6578</v>
      </c>
      <c r="O4106" s="2">
        <v>86</v>
      </c>
      <c r="P4106" s="8">
        <f t="shared" si="317"/>
        <v>6664</v>
      </c>
      <c r="Q4106" s="8">
        <f t="shared" si="318"/>
        <v>368</v>
      </c>
      <c r="R4106" s="2" t="s">
        <v>50</v>
      </c>
      <c r="S4106" s="24">
        <f t="shared" si="319"/>
        <v>0.05</v>
      </c>
    </row>
    <row r="4107" spans="1:19" x14ac:dyDescent="0.25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>VLOOKUP(F4107,'Customer Info'!$A:$B,2,0)</f>
        <v>Tim</v>
      </c>
      <c r="H4107" s="6" t="str">
        <f>VLOOKUP(F4107,'Customer Info'!$A$1:$C$501,3,0)</f>
        <v>Brockman</v>
      </c>
      <c r="I4107" s="6" t="str">
        <f>VLOOKUP(F4107,Customer,5,0)</f>
        <v>Toowoomba</v>
      </c>
      <c r="J4107" s="2">
        <v>1585</v>
      </c>
      <c r="K4107" s="2">
        <v>1495</v>
      </c>
      <c r="L4107" s="2">
        <v>5</v>
      </c>
      <c r="M4107" s="7">
        <f t="shared" ref="M4107:M4170" si="320">K4107*L4107</f>
        <v>7475</v>
      </c>
      <c r="N4107" s="7">
        <f t="shared" ref="N4107:N4170" si="321">J4107*L4107</f>
        <v>7925</v>
      </c>
      <c r="O4107" s="2">
        <v>73</v>
      </c>
      <c r="P4107" s="8">
        <f t="shared" ref="P4107:P4170" si="322">N4107+O4107</f>
        <v>7998</v>
      </c>
      <c r="Q4107" s="8">
        <f t="shared" ref="Q4107:Q4170" si="323">N4107-M4107</f>
        <v>450</v>
      </c>
      <c r="R4107" s="2" t="s">
        <v>28</v>
      </c>
      <c r="S4107" s="24">
        <f t="shared" ref="S4107:S4170" si="324">VLOOKUP(N4107,$T$1:$U$7,2,TRUE)</f>
        <v>0.05</v>
      </c>
    </row>
    <row r="4108" spans="1:19" x14ac:dyDescent="0.25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>VLOOKUP(F4108,'Customer Info'!$A:$B,2,0)</f>
        <v>Lindsay</v>
      </c>
      <c r="H4108" s="6" t="str">
        <f>VLOOKUP(F4108,'Customer Info'!$A$1:$C$501,3,0)</f>
        <v>Castell</v>
      </c>
      <c r="I4108" s="6" t="str">
        <f>VLOOKUP(F4108,Customer,5,0)</f>
        <v>Depok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8">
        <f t="shared" si="322"/>
        <v>193</v>
      </c>
      <c r="Q4108" s="8">
        <f t="shared" si="323"/>
        <v>12</v>
      </c>
      <c r="R4108" s="2" t="s">
        <v>28</v>
      </c>
      <c r="S4108" s="24">
        <f t="shared" si="324"/>
        <v>0.02</v>
      </c>
    </row>
    <row r="4109" spans="1:19" x14ac:dyDescent="0.25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>VLOOKUP(F4109,'Customer Info'!$A:$B,2,0)</f>
        <v>Helen</v>
      </c>
      <c r="H4109" s="6" t="str">
        <f>VLOOKUP(F4109,'Customer Info'!$A$1:$C$501,3,0)</f>
        <v>Abelman</v>
      </c>
      <c r="I4109" s="6" t="str">
        <f>VLOOKUP(F4109,Customer,5,0)</f>
        <v>Mangalore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8">
        <f t="shared" si="322"/>
        <v>6536</v>
      </c>
      <c r="Q4109" s="8">
        <f t="shared" si="323"/>
        <v>708</v>
      </c>
      <c r="R4109" s="2" t="s">
        <v>26</v>
      </c>
      <c r="S4109" s="24">
        <f t="shared" si="324"/>
        <v>0.05</v>
      </c>
    </row>
    <row r="4110" spans="1:19" x14ac:dyDescent="0.25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>VLOOKUP(F4110,'Customer Info'!$A:$B,2,0)</f>
        <v>Duane</v>
      </c>
      <c r="H4110" s="6" t="str">
        <f>VLOOKUP(F4110,'Customer Info'!$A$1:$C$501,3,0)</f>
        <v>Benoit</v>
      </c>
      <c r="I4110" s="6" t="str">
        <f>VLOOKUP(F4110,Customer,5,0)</f>
        <v>Tamworth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8">
        <f t="shared" si="322"/>
        <v>4808</v>
      </c>
      <c r="Q4110" s="8">
        <f t="shared" si="323"/>
        <v>270</v>
      </c>
      <c r="R4110" s="2" t="s">
        <v>28</v>
      </c>
      <c r="S4110" s="24">
        <f t="shared" si="324"/>
        <v>0.02</v>
      </c>
    </row>
    <row r="4111" spans="1:19" x14ac:dyDescent="0.25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>VLOOKUP(F4111,'Customer Info'!$A:$B,2,0)</f>
        <v>Ralph</v>
      </c>
      <c r="H4111" s="6" t="str">
        <f>VLOOKUP(F4111,'Customer Info'!$A$1:$C$501,3,0)</f>
        <v>Arnett</v>
      </c>
      <c r="I4111" s="6" t="str">
        <f>VLOOKUP(F4111,Customer,5,0)</f>
        <v>Shenyang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8">
        <f t="shared" si="322"/>
        <v>181</v>
      </c>
      <c r="Q4111" s="8">
        <f t="shared" si="323"/>
        <v>12</v>
      </c>
      <c r="R4111" s="2" t="s">
        <v>28</v>
      </c>
      <c r="S4111" s="24">
        <f t="shared" si="324"/>
        <v>0.02</v>
      </c>
    </row>
    <row r="4112" spans="1:19" x14ac:dyDescent="0.25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>VLOOKUP(F4112,'Customer Info'!$A:$B,2,0)</f>
        <v>Erica</v>
      </c>
      <c r="H4112" s="6" t="str">
        <f>VLOOKUP(F4112,'Customer Info'!$A$1:$C$501,3,0)</f>
        <v>Hackney</v>
      </c>
      <c r="I4112" s="6" t="str">
        <f>VLOOKUP(F4112,Customer,5,0)</f>
        <v>Perth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1405</v>
      </c>
      <c r="O4112" s="2">
        <v>45</v>
      </c>
      <c r="P4112" s="8">
        <f t="shared" si="322"/>
        <v>1450</v>
      </c>
      <c r="Q4112" s="8">
        <f t="shared" si="323"/>
        <v>118</v>
      </c>
      <c r="R4112" s="2" t="s">
        <v>28</v>
      </c>
      <c r="S4112" s="24">
        <f t="shared" si="324"/>
        <v>0.02</v>
      </c>
    </row>
    <row r="4113" spans="1:19" x14ac:dyDescent="0.25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>VLOOKUP(F4113,'Customer Info'!$A:$B,2,0)</f>
        <v>Anna</v>
      </c>
      <c r="H4113" s="6" t="str">
        <f>VLOOKUP(F4113,'Customer Info'!$A$1:$C$501,3,0)</f>
        <v>Gayman</v>
      </c>
      <c r="I4113" s="6" t="str">
        <f>VLOOKUP(F4113,Customer,5,0)</f>
        <v>Surat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270</v>
      </c>
      <c r="O4113" s="2">
        <v>10</v>
      </c>
      <c r="P4113" s="8">
        <f t="shared" si="322"/>
        <v>280</v>
      </c>
      <c r="Q4113" s="8">
        <f t="shared" si="323"/>
        <v>27</v>
      </c>
      <c r="R4113" s="2" t="s">
        <v>26</v>
      </c>
      <c r="S4113" s="24">
        <f t="shared" si="324"/>
        <v>0.02</v>
      </c>
    </row>
    <row r="4114" spans="1:19" x14ac:dyDescent="0.25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>VLOOKUP(F4114,'Customer Info'!$A:$B,2,0)</f>
        <v>Scott</v>
      </c>
      <c r="H4114" s="6" t="str">
        <f>VLOOKUP(F4114,'Customer Info'!$A$1:$C$501,3,0)</f>
        <v>Cohen</v>
      </c>
      <c r="I4114" s="6" t="str">
        <f>VLOOKUP(F4114,Customer,5,0)</f>
        <v>Freiburg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5580</v>
      </c>
      <c r="O4114" s="2">
        <v>22</v>
      </c>
      <c r="P4114" s="8">
        <f t="shared" si="322"/>
        <v>5602</v>
      </c>
      <c r="Q4114" s="8">
        <f t="shared" si="323"/>
        <v>466</v>
      </c>
      <c r="R4114" s="2" t="s">
        <v>28</v>
      </c>
      <c r="S4114" s="24">
        <f t="shared" si="324"/>
        <v>0.05</v>
      </c>
    </row>
    <row r="4115" spans="1:19" x14ac:dyDescent="0.25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>VLOOKUP(F4115,'Customer Info'!$A:$B,2,0)</f>
        <v>Bobby</v>
      </c>
      <c r="H4115" s="6" t="str">
        <f>VLOOKUP(F4115,'Customer Info'!$A$1:$C$501,3,0)</f>
        <v>Odegard</v>
      </c>
      <c r="I4115" s="6" t="str">
        <f>VLOOKUP(F4115,Customer,5,0)</f>
        <v>Adelaide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22435</v>
      </c>
      <c r="O4115" s="2">
        <v>60</v>
      </c>
      <c r="P4115" s="8">
        <f t="shared" si="322"/>
        <v>22495</v>
      </c>
      <c r="Q4115" s="8">
        <f t="shared" si="323"/>
        <v>1430</v>
      </c>
      <c r="R4115" s="2" t="s">
        <v>28</v>
      </c>
      <c r="S4115" s="24">
        <f t="shared" si="324"/>
        <v>0.05</v>
      </c>
    </row>
    <row r="4116" spans="1:19" x14ac:dyDescent="0.25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>VLOOKUP(F4116,'Customer Info'!$A:$B,2,0)</f>
        <v>Logan</v>
      </c>
      <c r="H4116" s="6" t="str">
        <f>VLOOKUP(F4116,'Customer Info'!$A$1:$C$501,3,0)</f>
        <v>Haushalter</v>
      </c>
      <c r="I4116" s="6" t="str">
        <f>VLOOKUP(F4116,Customer,5,0)</f>
        <v>Canberra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444</v>
      </c>
      <c r="O4116" s="2">
        <v>39</v>
      </c>
      <c r="P4116" s="8">
        <f t="shared" si="322"/>
        <v>483</v>
      </c>
      <c r="Q4116" s="8">
        <f t="shared" si="323"/>
        <v>36</v>
      </c>
      <c r="R4116" s="2" t="s">
        <v>50</v>
      </c>
      <c r="S4116" s="24">
        <f t="shared" si="324"/>
        <v>0.02</v>
      </c>
    </row>
    <row r="4117" spans="1:19" x14ac:dyDescent="0.25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>VLOOKUP(F4117,'Customer Info'!$A:$B,2,0)</f>
        <v>Max</v>
      </c>
      <c r="H4117" s="6" t="str">
        <f>VLOOKUP(F4117,'Customer Info'!$A$1:$C$501,3,0)</f>
        <v>Ludwig</v>
      </c>
      <c r="I4117" s="6" t="str">
        <f>VLOOKUP(F4117,Customer,5,0)</f>
        <v>Cirebon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13530</v>
      </c>
      <c r="O4117" s="2">
        <v>86</v>
      </c>
      <c r="P4117" s="8">
        <f t="shared" si="322"/>
        <v>13616</v>
      </c>
      <c r="Q4117" s="8">
        <f t="shared" si="323"/>
        <v>765</v>
      </c>
      <c r="R4117" s="2" t="s">
        <v>50</v>
      </c>
      <c r="S4117" s="24">
        <f t="shared" si="324"/>
        <v>0.05</v>
      </c>
    </row>
    <row r="4118" spans="1:19" x14ac:dyDescent="0.25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>VLOOKUP(F4118,'Customer Info'!$A:$B,2,0)</f>
        <v>Tim</v>
      </c>
      <c r="H4118" s="6" t="str">
        <f>VLOOKUP(F4118,'Customer Info'!$A$1:$C$501,3,0)</f>
        <v>Brockman</v>
      </c>
      <c r="I4118" s="6" t="str">
        <f>VLOOKUP(F4118,Customer,5,0)</f>
        <v>Toowoomba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5916</v>
      </c>
      <c r="O4118" s="2">
        <v>63</v>
      </c>
      <c r="P4118" s="8">
        <f t="shared" si="322"/>
        <v>5979</v>
      </c>
      <c r="Q4118" s="8">
        <f t="shared" si="323"/>
        <v>430</v>
      </c>
      <c r="R4118" s="2" t="s">
        <v>28</v>
      </c>
      <c r="S4118" s="24">
        <f t="shared" si="324"/>
        <v>0.05</v>
      </c>
    </row>
    <row r="4119" spans="1:19" x14ac:dyDescent="0.25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>VLOOKUP(F4119,'Customer Info'!$A:$B,2,0)</f>
        <v>Joel</v>
      </c>
      <c r="H4119" s="6" t="str">
        <f>VLOOKUP(F4119,'Customer Info'!$A$1:$C$501,3,0)</f>
        <v>Eaton</v>
      </c>
      <c r="I4119" s="6" t="str">
        <f>VLOOKUP(F4119,Customer,5,0)</f>
        <v>Nuremberg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24520</v>
      </c>
      <c r="O4119" s="2">
        <v>45</v>
      </c>
      <c r="P4119" s="8">
        <f t="shared" si="322"/>
        <v>24565</v>
      </c>
      <c r="Q4119" s="8">
        <f t="shared" si="323"/>
        <v>2025</v>
      </c>
      <c r="R4119" s="2" t="s">
        <v>28</v>
      </c>
      <c r="S4119" s="24">
        <f t="shared" si="324"/>
        <v>0.05</v>
      </c>
    </row>
    <row r="4120" spans="1:19" x14ac:dyDescent="0.25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>VLOOKUP(F4120,'Customer Info'!$A:$B,2,0)</f>
        <v>Greg</v>
      </c>
      <c r="H4120" s="6" t="str">
        <f>VLOOKUP(F4120,'Customer Info'!$A$1:$C$501,3,0)</f>
        <v>Tran</v>
      </c>
      <c r="I4120" s="6" t="str">
        <f>VLOOKUP(F4120,Customer,5,0)</f>
        <v>Recklinghausen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914</v>
      </c>
      <c r="O4120" s="2">
        <v>98</v>
      </c>
      <c r="P4120" s="8">
        <f t="shared" si="322"/>
        <v>1012</v>
      </c>
      <c r="Q4120" s="8">
        <f t="shared" si="323"/>
        <v>84</v>
      </c>
      <c r="R4120" s="2" t="s">
        <v>50</v>
      </c>
      <c r="S4120" s="24">
        <f t="shared" si="324"/>
        <v>0.02</v>
      </c>
    </row>
    <row r="4121" spans="1:19" x14ac:dyDescent="0.25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>VLOOKUP(F4121,'Customer Info'!$A:$B,2,0)</f>
        <v>Ruben</v>
      </c>
      <c r="H4121" s="6" t="str">
        <f>VLOOKUP(F4121,'Customer Info'!$A$1:$C$501,3,0)</f>
        <v>Ausman</v>
      </c>
      <c r="I4121" s="6" t="str">
        <f>VLOOKUP(F4121,Customer,5,0)</f>
        <v>Sonneberg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6729</v>
      </c>
      <c r="O4121" s="2">
        <v>42</v>
      </c>
      <c r="P4121" s="8">
        <f t="shared" si="322"/>
        <v>6771</v>
      </c>
      <c r="Q4121" s="8">
        <f t="shared" si="323"/>
        <v>729</v>
      </c>
      <c r="R4121" s="2" t="s">
        <v>50</v>
      </c>
      <c r="S4121" s="24">
        <f t="shared" si="324"/>
        <v>0.05</v>
      </c>
    </row>
    <row r="4122" spans="1:19" x14ac:dyDescent="0.25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>VLOOKUP(F4122,'Customer Info'!$A:$B,2,0)</f>
        <v>Bill</v>
      </c>
      <c r="H4122" s="6" t="str">
        <f>VLOOKUP(F4122,'Customer Info'!$A$1:$C$501,3,0)</f>
        <v>Eplett</v>
      </c>
      <c r="I4122" s="6" t="str">
        <f>VLOOKUP(F4122,Customer,5,0)</f>
        <v>Newcastle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4494</v>
      </c>
      <c r="O4122" s="2">
        <v>32</v>
      </c>
      <c r="P4122" s="8">
        <f t="shared" si="322"/>
        <v>4526</v>
      </c>
      <c r="Q4122" s="8">
        <f t="shared" si="323"/>
        <v>489</v>
      </c>
      <c r="R4122" s="2" t="s">
        <v>28</v>
      </c>
      <c r="S4122" s="24">
        <f t="shared" si="324"/>
        <v>0.02</v>
      </c>
    </row>
    <row r="4123" spans="1:19" x14ac:dyDescent="0.25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>VLOOKUP(F4123,'Customer Info'!$A:$B,2,0)</f>
        <v>Carlos</v>
      </c>
      <c r="H4123" s="6" t="str">
        <f>VLOOKUP(F4123,'Customer Info'!$A$1:$C$501,3,0)</f>
        <v>Soltero</v>
      </c>
      <c r="I4123" s="6" t="str">
        <f>VLOOKUP(F4123,Customer,5,0)</f>
        <v>Wodonga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3242</v>
      </c>
      <c r="O4123" s="2">
        <v>85</v>
      </c>
      <c r="P4123" s="8">
        <f t="shared" si="322"/>
        <v>3327</v>
      </c>
      <c r="Q4123" s="8">
        <f t="shared" si="323"/>
        <v>152</v>
      </c>
      <c r="R4123" s="2" t="s">
        <v>28</v>
      </c>
      <c r="S4123" s="24">
        <f t="shared" si="324"/>
        <v>0.02</v>
      </c>
    </row>
    <row r="4124" spans="1:19" x14ac:dyDescent="0.25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>VLOOKUP(F4124,'Customer Info'!$A:$B,2,0)</f>
        <v>Nicole</v>
      </c>
      <c r="H4124" s="6" t="str">
        <f>VLOOKUP(F4124,'Customer Info'!$A$1:$C$501,3,0)</f>
        <v>Fjeld</v>
      </c>
      <c r="I4124" s="6" t="str">
        <f>VLOOKUP(F4124,Customer,5,0)</f>
        <v>Berlin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22602</v>
      </c>
      <c r="O4124" s="2">
        <v>68</v>
      </c>
      <c r="P4124" s="8">
        <f t="shared" si="322"/>
        <v>22670</v>
      </c>
      <c r="Q4124" s="8">
        <f t="shared" si="323"/>
        <v>1284</v>
      </c>
      <c r="R4124" s="2" t="s">
        <v>28</v>
      </c>
      <c r="S4124" s="24">
        <f t="shared" si="324"/>
        <v>0.05</v>
      </c>
    </row>
    <row r="4125" spans="1:19" x14ac:dyDescent="0.25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>VLOOKUP(F4125,'Customer Info'!$A:$B,2,0)</f>
        <v>Alex</v>
      </c>
      <c r="H4125" s="6" t="str">
        <f>VLOOKUP(F4125,'Customer Info'!$A$1:$C$501,3,0)</f>
        <v>Grayson</v>
      </c>
      <c r="I4125" s="6" t="str">
        <f>VLOOKUP(F4125,Customer,5,0)</f>
        <v>Anyang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1755</v>
      </c>
      <c r="O4125" s="2">
        <v>30</v>
      </c>
      <c r="P4125" s="8">
        <f t="shared" si="322"/>
        <v>1785</v>
      </c>
      <c r="Q4125" s="8">
        <f t="shared" si="323"/>
        <v>78</v>
      </c>
      <c r="R4125" s="2" t="s">
        <v>28</v>
      </c>
      <c r="S4125" s="24">
        <f t="shared" si="324"/>
        <v>0.02</v>
      </c>
    </row>
    <row r="4126" spans="1:19" x14ac:dyDescent="0.25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>VLOOKUP(F4126,'Customer Info'!$A:$B,2,0)</f>
        <v>Emily</v>
      </c>
      <c r="H4126" s="6" t="str">
        <f>VLOOKUP(F4126,'Customer Info'!$A$1:$C$501,3,0)</f>
        <v>Burns</v>
      </c>
      <c r="I4126" s="6" t="str">
        <f>VLOOKUP(F4126,Customer,5,0)</f>
        <v>Nasik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8310</v>
      </c>
      <c r="O4126" s="2">
        <v>87</v>
      </c>
      <c r="P4126" s="8">
        <f t="shared" si="322"/>
        <v>8397</v>
      </c>
      <c r="Q4126" s="8">
        <f t="shared" si="323"/>
        <v>540</v>
      </c>
      <c r="R4126" s="2" t="s">
        <v>56</v>
      </c>
      <c r="S4126" s="24">
        <f t="shared" si="324"/>
        <v>0.05</v>
      </c>
    </row>
    <row r="4127" spans="1:19" x14ac:dyDescent="0.25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>VLOOKUP(F4127,'Customer Info'!$A:$B,2,0)</f>
        <v>Kunst</v>
      </c>
      <c r="H4127" s="6" t="str">
        <f>VLOOKUP(F4127,'Customer Info'!$A$1:$C$501,3,0)</f>
        <v>Miller</v>
      </c>
      <c r="I4127" s="6" t="str">
        <f>VLOOKUP(F4127,Customer,5,0)</f>
        <v>Jakarta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214</v>
      </c>
      <c r="O4127" s="2">
        <v>47</v>
      </c>
      <c r="P4127" s="8">
        <f t="shared" si="322"/>
        <v>261</v>
      </c>
      <c r="Q4127" s="8">
        <f t="shared" si="323"/>
        <v>14</v>
      </c>
      <c r="R4127" s="2" t="s">
        <v>28</v>
      </c>
      <c r="S4127" s="24">
        <f t="shared" si="324"/>
        <v>0.02</v>
      </c>
    </row>
    <row r="4128" spans="1:19" x14ac:dyDescent="0.25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>VLOOKUP(F4128,'Customer Info'!$A:$B,2,0)</f>
        <v>Anthony</v>
      </c>
      <c r="H4128" s="6" t="str">
        <f>VLOOKUP(F4128,'Customer Info'!$A$1:$C$501,3,0)</f>
        <v>Garverick</v>
      </c>
      <c r="I4128" s="6" t="str">
        <f>VLOOKUP(F4128,Customer,5,0)</f>
        <v>Delhi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9596</v>
      </c>
      <c r="O4128" s="2">
        <v>52</v>
      </c>
      <c r="P4128" s="8">
        <f t="shared" si="322"/>
        <v>9648</v>
      </c>
      <c r="Q4128" s="8">
        <f t="shared" si="323"/>
        <v>700</v>
      </c>
      <c r="R4128" s="2" t="s">
        <v>26</v>
      </c>
      <c r="S4128" s="24">
        <f t="shared" si="324"/>
        <v>0.05</v>
      </c>
    </row>
    <row r="4129" spans="1:19" x14ac:dyDescent="0.25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>VLOOKUP(F4129,'Customer Info'!$A:$B,2,0)</f>
        <v>Jessica</v>
      </c>
      <c r="H4129" s="6" t="str">
        <f>VLOOKUP(F4129,'Customer Info'!$A$1:$C$501,3,0)</f>
        <v>Myrick</v>
      </c>
      <c r="I4129" s="6" t="str">
        <f>VLOOKUP(F4129,Customer,5,0)</f>
        <v>Jakarta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142</v>
      </c>
      <c r="O4129" s="2">
        <v>30</v>
      </c>
      <c r="P4129" s="8">
        <f t="shared" si="322"/>
        <v>172</v>
      </c>
      <c r="Q4129" s="8">
        <f t="shared" si="323"/>
        <v>8</v>
      </c>
      <c r="R4129" s="2" t="s">
        <v>50</v>
      </c>
      <c r="S4129" s="24">
        <f t="shared" si="324"/>
        <v>0.02</v>
      </c>
    </row>
    <row r="4130" spans="1:19" x14ac:dyDescent="0.25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>VLOOKUP(F4130,'Customer Info'!$A:$B,2,0)</f>
        <v>Michael</v>
      </c>
      <c r="H4130" s="6" t="str">
        <f>VLOOKUP(F4130,'Customer Info'!$A$1:$C$501,3,0)</f>
        <v>Nguyen</v>
      </c>
      <c r="I4130" s="6" t="str">
        <f>VLOOKUP(F4130,Customer,5,0)</f>
        <v>Berlin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3274</v>
      </c>
      <c r="O4130" s="2">
        <v>62</v>
      </c>
      <c r="P4130" s="8">
        <f t="shared" si="322"/>
        <v>3336</v>
      </c>
      <c r="Q4130" s="8">
        <f t="shared" si="323"/>
        <v>92</v>
      </c>
      <c r="R4130" s="2" t="s">
        <v>28</v>
      </c>
      <c r="S4130" s="24">
        <f t="shared" si="324"/>
        <v>0.02</v>
      </c>
    </row>
    <row r="4131" spans="1:19" x14ac:dyDescent="0.25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>VLOOKUP(F4131,'Customer Info'!$A:$B,2,0)</f>
        <v>Linda</v>
      </c>
      <c r="H4131" s="6" t="str">
        <f>VLOOKUP(F4131,'Customer Info'!$A$1:$C$501,3,0)</f>
        <v>Southworth</v>
      </c>
      <c r="I4131" s="6" t="str">
        <f>VLOOKUP(F4131,Customer,5,0)</f>
        <v>Brisbane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8738</v>
      </c>
      <c r="O4131" s="2">
        <v>84</v>
      </c>
      <c r="P4131" s="8">
        <f t="shared" si="322"/>
        <v>8822</v>
      </c>
      <c r="Q4131" s="8">
        <f t="shared" si="323"/>
        <v>576</v>
      </c>
      <c r="R4131" s="2" t="s">
        <v>50</v>
      </c>
      <c r="S4131" s="24">
        <f t="shared" si="324"/>
        <v>0.05</v>
      </c>
    </row>
    <row r="4132" spans="1:19" x14ac:dyDescent="0.25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>VLOOKUP(F4132,'Customer Info'!$A:$B,2,0)</f>
        <v>Katrina</v>
      </c>
      <c r="H4132" s="6" t="str">
        <f>VLOOKUP(F4132,'Customer Info'!$A$1:$C$501,3,0)</f>
        <v>Bavinger</v>
      </c>
      <c r="I4132" s="6" t="str">
        <f>VLOOKUP(F4132,Customer,5,0)</f>
        <v>Melbourne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3872</v>
      </c>
      <c r="O4132" s="2">
        <v>66</v>
      </c>
      <c r="P4132" s="8">
        <f t="shared" si="322"/>
        <v>3938</v>
      </c>
      <c r="Q4132" s="8">
        <f t="shared" si="323"/>
        <v>220</v>
      </c>
      <c r="R4132" s="2" t="s">
        <v>26</v>
      </c>
      <c r="S4132" s="24">
        <f t="shared" si="324"/>
        <v>0.02</v>
      </c>
    </row>
    <row r="4133" spans="1:19" x14ac:dyDescent="0.25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>VLOOKUP(F4133,'Customer Info'!$A:$B,2,0)</f>
        <v>Todd</v>
      </c>
      <c r="H4133" s="6" t="str">
        <f>VLOOKUP(F4133,'Customer Info'!$A$1:$C$501,3,0)</f>
        <v>Sumrall</v>
      </c>
      <c r="I4133" s="6" t="str">
        <f>VLOOKUP(F4133,Customer,5,0)</f>
        <v>Yangzhou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51744</v>
      </c>
      <c r="O4133" s="2">
        <v>35</v>
      </c>
      <c r="P4133" s="8">
        <f t="shared" si="322"/>
        <v>51779</v>
      </c>
      <c r="Q4133" s="8">
        <f t="shared" si="323"/>
        <v>3773</v>
      </c>
      <c r="R4133" s="2" t="s">
        <v>28</v>
      </c>
      <c r="S4133" s="24">
        <f t="shared" si="324"/>
        <v>0.09</v>
      </c>
    </row>
    <row r="4134" spans="1:19" x14ac:dyDescent="0.25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>VLOOKUP(F4134,'Customer Info'!$A:$B,2,0)</f>
        <v>Ritsa</v>
      </c>
      <c r="H4134" s="6" t="str">
        <f>VLOOKUP(F4134,'Customer Info'!$A$1:$C$501,3,0)</f>
        <v>Hightower</v>
      </c>
      <c r="I4134" s="6" t="str">
        <f>VLOOKUP(F4134,Customer,5,0)</f>
        <v>Datong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4359</v>
      </c>
      <c r="O4134" s="2">
        <v>29</v>
      </c>
      <c r="P4134" s="8">
        <f t="shared" si="322"/>
        <v>4388</v>
      </c>
      <c r="Q4134" s="8">
        <f t="shared" si="323"/>
        <v>126</v>
      </c>
      <c r="R4134" s="2" t="s">
        <v>28</v>
      </c>
      <c r="S4134" s="24">
        <f t="shared" si="324"/>
        <v>0.02</v>
      </c>
    </row>
    <row r="4135" spans="1:19" x14ac:dyDescent="0.25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>VLOOKUP(F4135,'Customer Info'!$A:$B,2,0)</f>
        <v>Mick</v>
      </c>
      <c r="H4135" s="6" t="str">
        <f>VLOOKUP(F4135,'Customer Info'!$A$1:$C$501,3,0)</f>
        <v>Brown</v>
      </c>
      <c r="I4135" s="6" t="str">
        <f>VLOOKUP(F4135,Customer,5,0)</f>
        <v>Frankfurt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990</v>
      </c>
      <c r="O4135" s="2">
        <v>82</v>
      </c>
      <c r="P4135" s="8">
        <f t="shared" si="322"/>
        <v>1072</v>
      </c>
      <c r="Q4135" s="8">
        <f t="shared" si="323"/>
        <v>74</v>
      </c>
      <c r="R4135" s="2" t="s">
        <v>28</v>
      </c>
      <c r="S4135" s="24">
        <f t="shared" si="324"/>
        <v>0.02</v>
      </c>
    </row>
    <row r="4136" spans="1:19" x14ac:dyDescent="0.25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>VLOOKUP(F4136,'Customer Info'!$A:$B,2,0)</f>
        <v>Deirdre</v>
      </c>
      <c r="H4136" s="6" t="str">
        <f>VLOOKUP(F4136,'Customer Info'!$A$1:$C$501,3,0)</f>
        <v>Greer</v>
      </c>
      <c r="I4136" s="6" t="str">
        <f>VLOOKUP(F4136,Customer,5,0)</f>
        <v>Perth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6872</v>
      </c>
      <c r="O4136" s="2">
        <v>32</v>
      </c>
      <c r="P4136" s="8">
        <f t="shared" si="322"/>
        <v>6904</v>
      </c>
      <c r="Q4136" s="8">
        <f t="shared" si="323"/>
        <v>692</v>
      </c>
      <c r="R4136" s="2" t="s">
        <v>28</v>
      </c>
      <c r="S4136" s="24">
        <f t="shared" si="324"/>
        <v>0.05</v>
      </c>
    </row>
    <row r="4137" spans="1:19" x14ac:dyDescent="0.25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>VLOOKUP(F4137,'Customer Info'!$A:$B,2,0)</f>
        <v>Tom</v>
      </c>
      <c r="H4137" s="6" t="str">
        <f>VLOOKUP(F4137,'Customer Info'!$A$1:$C$501,3,0)</f>
        <v>Zandusky</v>
      </c>
      <c r="I4137" s="6" t="str">
        <f>VLOOKUP(F4137,Customer,5,0)</f>
        <v>Hobart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110764</v>
      </c>
      <c r="O4137" s="2">
        <v>53</v>
      </c>
      <c r="P4137" s="8">
        <f t="shared" si="322"/>
        <v>110817</v>
      </c>
      <c r="Q4137" s="8">
        <f t="shared" si="323"/>
        <v>8300</v>
      </c>
      <c r="R4137" s="2" t="s">
        <v>50</v>
      </c>
      <c r="S4137" s="24">
        <f t="shared" si="324"/>
        <v>0.12</v>
      </c>
    </row>
    <row r="4138" spans="1:19" x14ac:dyDescent="0.25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>VLOOKUP(F4138,'Customer Info'!$A:$B,2,0)</f>
        <v>Brooke</v>
      </c>
      <c r="H4138" s="6" t="str">
        <f>VLOOKUP(F4138,'Customer Info'!$A$1:$C$501,3,0)</f>
        <v>Gillingham</v>
      </c>
      <c r="I4138" s="6" t="str">
        <f>VLOOKUP(F4138,Customer,5,0)</f>
        <v>Sunbury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27126</v>
      </c>
      <c r="O4138" s="2">
        <v>93</v>
      </c>
      <c r="P4138" s="8">
        <f t="shared" si="322"/>
        <v>27219</v>
      </c>
      <c r="Q4138" s="8">
        <f t="shared" si="323"/>
        <v>1276</v>
      </c>
      <c r="R4138" s="2" t="s">
        <v>26</v>
      </c>
      <c r="S4138" s="24">
        <f t="shared" si="324"/>
        <v>7.0000000000000007E-2</v>
      </c>
    </row>
    <row r="4139" spans="1:19" x14ac:dyDescent="0.25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>VLOOKUP(F4139,'Customer Info'!$A:$B,2,0)</f>
        <v>Toby</v>
      </c>
      <c r="H4139" s="6" t="str">
        <f>VLOOKUP(F4139,'Customer Info'!$A$1:$C$501,3,0)</f>
        <v>Gnade</v>
      </c>
      <c r="I4139" s="6" t="str">
        <f>VLOOKUP(F4139,Customer,5,0)</f>
        <v>Bhopal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4676</v>
      </c>
      <c r="O4139" s="2">
        <v>90</v>
      </c>
      <c r="P4139" s="8">
        <f t="shared" si="322"/>
        <v>4766</v>
      </c>
      <c r="Q4139" s="8">
        <f t="shared" si="323"/>
        <v>264</v>
      </c>
      <c r="R4139" s="2" t="s">
        <v>28</v>
      </c>
      <c r="S4139" s="24">
        <f t="shared" si="324"/>
        <v>0.02</v>
      </c>
    </row>
    <row r="4140" spans="1:19" x14ac:dyDescent="0.25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>VLOOKUP(F4140,'Customer Info'!$A:$B,2,0)</f>
        <v>Roy</v>
      </c>
      <c r="H4140" s="6" t="str">
        <f>VLOOKUP(F4140,'Customer Info'!$A$1:$C$501,3,0)</f>
        <v>Phan</v>
      </c>
      <c r="I4140" s="6" t="str">
        <f>VLOOKUP(F4140,Customer,5,0)</f>
        <v>Melbourne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210</v>
      </c>
      <c r="O4140" s="2">
        <v>32</v>
      </c>
      <c r="P4140" s="8">
        <f t="shared" si="322"/>
        <v>242</v>
      </c>
      <c r="Q4140" s="8">
        <f t="shared" si="323"/>
        <v>17</v>
      </c>
      <c r="R4140" s="2" t="s">
        <v>28</v>
      </c>
      <c r="S4140" s="24">
        <f t="shared" si="324"/>
        <v>0.02</v>
      </c>
    </row>
    <row r="4141" spans="1:19" x14ac:dyDescent="0.25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>VLOOKUP(F4141,'Customer Info'!$A:$B,2,0)</f>
        <v>Sung</v>
      </c>
      <c r="H4141" s="6" t="str">
        <f>VLOOKUP(F4141,'Customer Info'!$A$1:$C$501,3,0)</f>
        <v>Shariari</v>
      </c>
      <c r="I4141" s="6" t="str">
        <f>VLOOKUP(F4141,Customer,5,0)</f>
        <v>Solapur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1332</v>
      </c>
      <c r="O4141" s="2">
        <v>43</v>
      </c>
      <c r="P4141" s="8">
        <f t="shared" si="322"/>
        <v>1375</v>
      </c>
      <c r="Q4141" s="8">
        <f t="shared" si="323"/>
        <v>123</v>
      </c>
      <c r="R4141" s="2" t="s">
        <v>50</v>
      </c>
      <c r="S4141" s="24">
        <f t="shared" si="324"/>
        <v>0.02</v>
      </c>
    </row>
    <row r="4142" spans="1:19" x14ac:dyDescent="0.25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>VLOOKUP(F4142,'Customer Info'!$A:$B,2,0)</f>
        <v>Arthur</v>
      </c>
      <c r="H4142" s="6" t="str">
        <f>VLOOKUP(F4142,'Customer Info'!$A$1:$C$501,3,0)</f>
        <v>Prichep</v>
      </c>
      <c r="I4142" s="6" t="str">
        <f>VLOOKUP(F4142,Customer,5,0)</f>
        <v>Minden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29378</v>
      </c>
      <c r="O4142" s="2">
        <v>95</v>
      </c>
      <c r="P4142" s="8">
        <f t="shared" si="322"/>
        <v>29473</v>
      </c>
      <c r="Q4142" s="8">
        <f t="shared" si="323"/>
        <v>2466</v>
      </c>
      <c r="R4142" s="2" t="s">
        <v>28</v>
      </c>
      <c r="S4142" s="24">
        <f t="shared" si="324"/>
        <v>7.0000000000000007E-2</v>
      </c>
    </row>
    <row r="4143" spans="1:19" x14ac:dyDescent="0.25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>VLOOKUP(F4143,'Customer Info'!$A:$B,2,0)</f>
        <v>Brendan</v>
      </c>
      <c r="H4143" s="6" t="str">
        <f>VLOOKUP(F4143,'Customer Info'!$A$1:$C$501,3,0)</f>
        <v>Murry</v>
      </c>
      <c r="I4143" s="6" t="str">
        <f>VLOOKUP(F4143,Customer,5,0)</f>
        <v>Schwerin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2972</v>
      </c>
      <c r="O4143" s="2">
        <v>36</v>
      </c>
      <c r="P4143" s="8">
        <f t="shared" si="322"/>
        <v>3008</v>
      </c>
      <c r="Q4143" s="8">
        <f t="shared" si="323"/>
        <v>196</v>
      </c>
      <c r="R4143" s="2" t="s">
        <v>28</v>
      </c>
      <c r="S4143" s="24">
        <f t="shared" si="324"/>
        <v>0.02</v>
      </c>
    </row>
    <row r="4144" spans="1:19" x14ac:dyDescent="0.25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>VLOOKUP(F4144,'Customer Info'!$A:$B,2,0)</f>
        <v>Hallie</v>
      </c>
      <c r="H4144" s="6" t="str">
        <f>VLOOKUP(F4144,'Customer Info'!$A$1:$C$501,3,0)</f>
        <v>Redmond</v>
      </c>
      <c r="I4144" s="6" t="str">
        <f>VLOOKUP(F4144,Customer,5,0)</f>
        <v>Caloundra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4248</v>
      </c>
      <c r="O4144" s="2">
        <v>53</v>
      </c>
      <c r="P4144" s="8">
        <f t="shared" si="322"/>
        <v>4301</v>
      </c>
      <c r="Q4144" s="8">
        <f t="shared" si="323"/>
        <v>352</v>
      </c>
      <c r="R4144" s="2" t="s">
        <v>50</v>
      </c>
      <c r="S4144" s="24">
        <f t="shared" si="324"/>
        <v>0.02</v>
      </c>
    </row>
    <row r="4145" spans="1:19" x14ac:dyDescent="0.25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>VLOOKUP(F4145,'Customer Info'!$A:$B,2,0)</f>
        <v>Nick</v>
      </c>
      <c r="H4145" s="6" t="str">
        <f>VLOOKUP(F4145,'Customer Info'!$A$1:$C$501,3,0)</f>
        <v>Radford</v>
      </c>
      <c r="I4145" s="6" t="str">
        <f>VLOOKUP(F4145,Customer,5,0)</f>
        <v>Lucknow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11812</v>
      </c>
      <c r="O4145" s="2">
        <v>92</v>
      </c>
      <c r="P4145" s="8">
        <f t="shared" si="322"/>
        <v>11904</v>
      </c>
      <c r="Q4145" s="8">
        <f t="shared" si="323"/>
        <v>1280</v>
      </c>
      <c r="R4145" s="2" t="s">
        <v>50</v>
      </c>
      <c r="S4145" s="24">
        <f t="shared" si="324"/>
        <v>0.05</v>
      </c>
    </row>
    <row r="4146" spans="1:19" x14ac:dyDescent="0.25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>VLOOKUP(F4146,'Customer Info'!$A:$B,2,0)</f>
        <v>Tom</v>
      </c>
      <c r="H4146" s="6" t="str">
        <f>VLOOKUP(F4146,'Customer Info'!$A$1:$C$501,3,0)</f>
        <v>Prescott</v>
      </c>
      <c r="I4146" s="6" t="str">
        <f>VLOOKUP(F4146,Customer,5,0)</f>
        <v>Bokaro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2718</v>
      </c>
      <c r="O4146" s="2">
        <v>80</v>
      </c>
      <c r="P4146" s="8">
        <f t="shared" si="322"/>
        <v>2798</v>
      </c>
      <c r="Q4146" s="8">
        <f t="shared" si="323"/>
        <v>276</v>
      </c>
      <c r="R4146" s="2" t="s">
        <v>50</v>
      </c>
      <c r="S4146" s="24">
        <f t="shared" si="324"/>
        <v>0.02</v>
      </c>
    </row>
    <row r="4147" spans="1:19" x14ac:dyDescent="0.25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>VLOOKUP(F4147,'Customer Info'!$A:$B,2,0)</f>
        <v>Sung</v>
      </c>
      <c r="H4147" s="6" t="str">
        <f>VLOOKUP(F4147,'Customer Info'!$A$1:$C$501,3,0)</f>
        <v>Pak</v>
      </c>
      <c r="I4147" s="6" t="str">
        <f>VLOOKUP(F4147,Customer,5,0)</f>
        <v>Chaozhou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5322</v>
      </c>
      <c r="O4147" s="2">
        <v>96</v>
      </c>
      <c r="P4147" s="8">
        <f t="shared" si="322"/>
        <v>5418</v>
      </c>
      <c r="Q4147" s="8">
        <f t="shared" si="323"/>
        <v>438</v>
      </c>
      <c r="R4147" s="2" t="s">
        <v>28</v>
      </c>
      <c r="S4147" s="24">
        <f t="shared" si="324"/>
        <v>0.05</v>
      </c>
    </row>
    <row r="4148" spans="1:19" x14ac:dyDescent="0.25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>VLOOKUP(F4148,'Customer Info'!$A:$B,2,0)</f>
        <v>Paul</v>
      </c>
      <c r="H4148" s="6" t="str">
        <f>VLOOKUP(F4148,'Customer Info'!$A$1:$C$501,3,0)</f>
        <v>Gonzalez</v>
      </c>
      <c r="I4148" s="6" t="str">
        <f>VLOOKUP(F4148,Customer,5,0)</f>
        <v>Durgapur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19488</v>
      </c>
      <c r="O4148" s="2">
        <v>71</v>
      </c>
      <c r="P4148" s="8">
        <f t="shared" si="322"/>
        <v>19559</v>
      </c>
      <c r="Q4148" s="8">
        <f t="shared" si="323"/>
        <v>1278</v>
      </c>
      <c r="R4148" s="2" t="s">
        <v>28</v>
      </c>
      <c r="S4148" s="24">
        <f t="shared" si="324"/>
        <v>0.05</v>
      </c>
    </row>
    <row r="4149" spans="1:19" x14ac:dyDescent="0.25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>VLOOKUP(F4149,'Customer Info'!$A:$B,2,0)</f>
        <v>Melanie</v>
      </c>
      <c r="H4149" s="6" t="str">
        <f>VLOOKUP(F4149,'Customer Info'!$A$1:$C$501,3,0)</f>
        <v>Seite</v>
      </c>
      <c r="I4149" s="6" t="str">
        <f>VLOOKUP(F4149,Customer,5,0)</f>
        <v>Xining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2981</v>
      </c>
      <c r="O4149" s="2">
        <v>26</v>
      </c>
      <c r="P4149" s="8">
        <f t="shared" si="322"/>
        <v>3007</v>
      </c>
      <c r="Q4149" s="8">
        <f t="shared" si="323"/>
        <v>111</v>
      </c>
      <c r="R4149" s="2" t="s">
        <v>28</v>
      </c>
      <c r="S4149" s="24">
        <f t="shared" si="324"/>
        <v>0.02</v>
      </c>
    </row>
    <row r="4150" spans="1:19" x14ac:dyDescent="0.25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>VLOOKUP(F4150,'Customer Info'!$A:$B,2,0)</f>
        <v>Dianna</v>
      </c>
      <c r="H4150" s="6" t="str">
        <f>VLOOKUP(F4150,'Customer Info'!$A$1:$C$501,3,0)</f>
        <v>Vittorini</v>
      </c>
      <c r="I4150" s="6" t="str">
        <f>VLOOKUP(F4150,Customer,5,0)</f>
        <v>Gold Coast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21119</v>
      </c>
      <c r="O4150" s="2">
        <v>94</v>
      </c>
      <c r="P4150" s="8">
        <f t="shared" si="322"/>
        <v>21213</v>
      </c>
      <c r="Q4150" s="8">
        <f t="shared" si="323"/>
        <v>1344</v>
      </c>
      <c r="R4150" s="2" t="s">
        <v>28</v>
      </c>
      <c r="S4150" s="24">
        <f t="shared" si="324"/>
        <v>0.05</v>
      </c>
    </row>
    <row r="4151" spans="1:19" x14ac:dyDescent="0.25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>VLOOKUP(F4151,'Customer Info'!$A:$B,2,0)</f>
        <v>William</v>
      </c>
      <c r="H4151" s="6" t="str">
        <f>VLOOKUP(F4151,'Customer Info'!$A$1:$C$501,3,0)</f>
        <v>Brown</v>
      </c>
      <c r="I4151" s="6" t="str">
        <f>VLOOKUP(F4151,Customer,5,0)</f>
        <v>Denpasar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162</v>
      </c>
      <c r="O4151" s="2">
        <v>10</v>
      </c>
      <c r="P4151" s="8">
        <f t="shared" si="322"/>
        <v>172</v>
      </c>
      <c r="Q4151" s="8">
        <f t="shared" si="323"/>
        <v>8</v>
      </c>
      <c r="R4151" s="2" t="s">
        <v>50</v>
      </c>
      <c r="S4151" s="24">
        <f t="shared" si="324"/>
        <v>0.02</v>
      </c>
    </row>
    <row r="4152" spans="1:19" x14ac:dyDescent="0.25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>VLOOKUP(F4152,'Customer Info'!$A:$B,2,0)</f>
        <v>Helen</v>
      </c>
      <c r="H4152" s="6" t="str">
        <f>VLOOKUP(F4152,'Customer Info'!$A$1:$C$501,3,0)</f>
        <v>Abelman</v>
      </c>
      <c r="I4152" s="6" t="str">
        <f>VLOOKUP(F4152,Customer,5,0)</f>
        <v>Berlin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34468</v>
      </c>
      <c r="O4152" s="2">
        <v>67</v>
      </c>
      <c r="P4152" s="8">
        <f t="shared" si="322"/>
        <v>34535</v>
      </c>
      <c r="Q4152" s="8">
        <f t="shared" si="323"/>
        <v>2868</v>
      </c>
      <c r="R4152" s="2" t="s">
        <v>28</v>
      </c>
      <c r="S4152" s="24">
        <f t="shared" si="324"/>
        <v>7.0000000000000007E-2</v>
      </c>
    </row>
    <row r="4153" spans="1:19" x14ac:dyDescent="0.25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>VLOOKUP(F4153,'Customer Info'!$A:$B,2,0)</f>
        <v>Harry</v>
      </c>
      <c r="H4153" s="6" t="str">
        <f>VLOOKUP(F4153,'Customer Info'!$A$1:$C$501,3,0)</f>
        <v>Marie</v>
      </c>
      <c r="I4153" s="6" t="str">
        <f>VLOOKUP(F4153,Customer,5,0)</f>
        <v>Dortmund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3144</v>
      </c>
      <c r="O4153" s="2">
        <v>65</v>
      </c>
      <c r="P4153" s="8">
        <f t="shared" si="322"/>
        <v>3209</v>
      </c>
      <c r="Q4153" s="8">
        <f t="shared" si="323"/>
        <v>207</v>
      </c>
      <c r="R4153" s="2" t="s">
        <v>28</v>
      </c>
      <c r="S4153" s="24">
        <f t="shared" si="324"/>
        <v>0.02</v>
      </c>
    </row>
    <row r="4154" spans="1:19" x14ac:dyDescent="0.25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>VLOOKUP(F4154,'Customer Info'!$A:$B,2,0)</f>
        <v>Jennifer</v>
      </c>
      <c r="H4154" s="6" t="str">
        <f>VLOOKUP(F4154,'Customer Info'!$A$1:$C$501,3,0)</f>
        <v>Halladay</v>
      </c>
      <c r="I4154" s="6" t="str">
        <f>VLOOKUP(F4154,Customer,5,0)</f>
        <v>Bielefeld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2787</v>
      </c>
      <c r="O4154" s="2">
        <v>50</v>
      </c>
      <c r="P4154" s="8">
        <f t="shared" si="322"/>
        <v>2837</v>
      </c>
      <c r="Q4154" s="8">
        <f t="shared" si="323"/>
        <v>106</v>
      </c>
      <c r="R4154" s="2" t="s">
        <v>50</v>
      </c>
      <c r="S4154" s="24">
        <f t="shared" si="324"/>
        <v>0.02</v>
      </c>
    </row>
    <row r="4155" spans="1:19" x14ac:dyDescent="0.25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>VLOOKUP(F4155,'Customer Info'!$A:$B,2,0)</f>
        <v>Eric</v>
      </c>
      <c r="H4155" s="6" t="str">
        <f>VLOOKUP(F4155,'Customer Info'!$A$1:$C$501,3,0)</f>
        <v>Barreto</v>
      </c>
      <c r="I4155" s="6" t="str">
        <f>VLOOKUP(F4155,Customer,5,0)</f>
        <v>Liaoyang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828</v>
      </c>
      <c r="O4155" s="2">
        <v>30</v>
      </c>
      <c r="P4155" s="8">
        <f t="shared" si="322"/>
        <v>858</v>
      </c>
      <c r="Q4155" s="8">
        <f t="shared" si="323"/>
        <v>60</v>
      </c>
      <c r="R4155" s="2" t="s">
        <v>26</v>
      </c>
      <c r="S4155" s="24">
        <f t="shared" si="324"/>
        <v>0.02</v>
      </c>
    </row>
    <row r="4156" spans="1:19" x14ac:dyDescent="0.25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>VLOOKUP(F4156,'Customer Info'!$A:$B,2,0)</f>
        <v>Brooke</v>
      </c>
      <c r="H4156" s="6" t="str">
        <f>VLOOKUP(F4156,'Customer Info'!$A$1:$C$501,3,0)</f>
        <v>Gillingham</v>
      </c>
      <c r="I4156" s="6" t="str">
        <f>VLOOKUP(F4156,Customer,5,0)</f>
        <v>Sunbury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4546</v>
      </c>
      <c r="O4156" s="2">
        <v>81</v>
      </c>
      <c r="P4156" s="8">
        <f t="shared" si="322"/>
        <v>4627</v>
      </c>
      <c r="Q4156" s="8">
        <f t="shared" si="323"/>
        <v>88</v>
      </c>
      <c r="R4156" s="2" t="s">
        <v>28</v>
      </c>
      <c r="S4156" s="24">
        <f t="shared" si="324"/>
        <v>0.02</v>
      </c>
    </row>
    <row r="4157" spans="1:19" x14ac:dyDescent="0.25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>VLOOKUP(F4157,'Customer Info'!$A:$B,2,0)</f>
        <v>Deirdre</v>
      </c>
      <c r="H4157" s="6" t="str">
        <f>VLOOKUP(F4157,'Customer Info'!$A$1:$C$501,3,0)</f>
        <v>Greer</v>
      </c>
      <c r="I4157" s="6" t="str">
        <f>VLOOKUP(F4157,Customer,5,0)</f>
        <v>Bandung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179606</v>
      </c>
      <c r="O4157" s="2">
        <v>94</v>
      </c>
      <c r="P4157" s="8">
        <f t="shared" si="322"/>
        <v>179700</v>
      </c>
      <c r="Q4157" s="8">
        <f t="shared" si="323"/>
        <v>8344</v>
      </c>
      <c r="R4157" s="2" t="s">
        <v>28</v>
      </c>
      <c r="S4157" s="24">
        <f t="shared" si="324"/>
        <v>0.12</v>
      </c>
    </row>
    <row r="4158" spans="1:19" x14ac:dyDescent="0.25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>VLOOKUP(F4158,'Customer Info'!$A:$B,2,0)</f>
        <v>Jill</v>
      </c>
      <c r="H4158" s="6" t="str">
        <f>VLOOKUP(F4158,'Customer Info'!$A$1:$C$501,3,0)</f>
        <v>Fjeld</v>
      </c>
      <c r="I4158" s="6" t="str">
        <f>VLOOKUP(F4158,Customer,5,0)</f>
        <v>Wollongong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52116</v>
      </c>
      <c r="O4158" s="2">
        <v>40</v>
      </c>
      <c r="P4158" s="8">
        <f t="shared" si="322"/>
        <v>52156</v>
      </c>
      <c r="Q4158" s="8">
        <f t="shared" si="323"/>
        <v>3906</v>
      </c>
      <c r="R4158" s="2" t="s">
        <v>28</v>
      </c>
      <c r="S4158" s="24">
        <f t="shared" si="324"/>
        <v>0.09</v>
      </c>
    </row>
    <row r="4159" spans="1:19" x14ac:dyDescent="0.25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>VLOOKUP(F4159,'Customer Info'!$A:$B,2,0)</f>
        <v>Catherine</v>
      </c>
      <c r="H4159" s="6" t="str">
        <f>VLOOKUP(F4159,'Customer Info'!$A$1:$C$501,3,0)</f>
        <v>Glotzbach</v>
      </c>
      <c r="I4159" s="6" t="str">
        <f>VLOOKUP(F4159,Customer,5,0)</f>
        <v>Bochum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1335</v>
      </c>
      <c r="O4159" s="2">
        <v>98</v>
      </c>
      <c r="P4159" s="8">
        <f t="shared" si="322"/>
        <v>1433</v>
      </c>
      <c r="Q4159" s="8">
        <f t="shared" si="323"/>
        <v>90</v>
      </c>
      <c r="R4159" s="2" t="s">
        <v>28</v>
      </c>
      <c r="S4159" s="24">
        <f t="shared" si="324"/>
        <v>0.02</v>
      </c>
    </row>
    <row r="4160" spans="1:19" x14ac:dyDescent="0.25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>VLOOKUP(F4160,'Customer Info'!$A:$B,2,0)</f>
        <v>Eugene</v>
      </c>
      <c r="H4160" s="6" t="str">
        <f>VLOOKUP(F4160,'Customer Info'!$A$1:$C$501,3,0)</f>
        <v>Hildebrand</v>
      </c>
      <c r="I4160" s="6" t="str">
        <f>VLOOKUP(F4160,Customer,5,0)</f>
        <v>Sindelfingen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27462</v>
      </c>
      <c r="O4160" s="2">
        <v>39</v>
      </c>
      <c r="P4160" s="8">
        <f t="shared" si="322"/>
        <v>27501</v>
      </c>
      <c r="Q4160" s="8">
        <f t="shared" si="323"/>
        <v>1782</v>
      </c>
      <c r="R4160" s="2" t="s">
        <v>50</v>
      </c>
      <c r="S4160" s="24">
        <f t="shared" si="324"/>
        <v>7.0000000000000007E-2</v>
      </c>
    </row>
    <row r="4161" spans="1:19" x14ac:dyDescent="0.25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>VLOOKUP(F4161,'Customer Info'!$A:$B,2,0)</f>
        <v>Deanra</v>
      </c>
      <c r="H4161" s="6" t="str">
        <f>VLOOKUP(F4161,'Customer Info'!$A$1:$C$501,3,0)</f>
        <v>Eno</v>
      </c>
      <c r="I4161" s="6" t="str">
        <f>VLOOKUP(F4161,Customer,5,0)</f>
        <v>Langen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340</v>
      </c>
      <c r="O4161" s="2">
        <v>30</v>
      </c>
      <c r="P4161" s="8">
        <f t="shared" si="322"/>
        <v>370</v>
      </c>
      <c r="Q4161" s="8">
        <f t="shared" si="323"/>
        <v>34</v>
      </c>
      <c r="R4161" s="2" t="s">
        <v>28</v>
      </c>
      <c r="S4161" s="24">
        <f t="shared" si="324"/>
        <v>0.02</v>
      </c>
    </row>
    <row r="4162" spans="1:19" x14ac:dyDescent="0.25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>VLOOKUP(F4162,'Customer Info'!$A:$B,2,0)</f>
        <v>Stewart</v>
      </c>
      <c r="H4162" s="6" t="str">
        <f>VLOOKUP(F4162,'Customer Info'!$A$1:$C$501,3,0)</f>
        <v>Visinsky</v>
      </c>
      <c r="I4162" s="6" t="str">
        <f>VLOOKUP(F4162,Customer,5,0)</f>
        <v>Shenyang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7653</v>
      </c>
      <c r="O4162" s="2">
        <v>27</v>
      </c>
      <c r="P4162" s="8">
        <f t="shared" si="322"/>
        <v>7680</v>
      </c>
      <c r="Q4162" s="8">
        <f t="shared" si="323"/>
        <v>285</v>
      </c>
      <c r="R4162" s="2" t="s">
        <v>50</v>
      </c>
      <c r="S4162" s="24">
        <f t="shared" si="324"/>
        <v>0.05</v>
      </c>
    </row>
    <row r="4163" spans="1:19" x14ac:dyDescent="0.25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>VLOOKUP(F4163,'Customer Info'!$A:$B,2,0)</f>
        <v>Marina</v>
      </c>
      <c r="H4163" s="6" t="str">
        <f>VLOOKUP(F4163,'Customer Info'!$A$1:$C$501,3,0)</f>
        <v>Lichtenstein</v>
      </c>
      <c r="I4163" s="6" t="str">
        <f>VLOOKUP(F4163,Customer,5,0)</f>
        <v>Denpasar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4074</v>
      </c>
      <c r="O4163" s="2">
        <v>90</v>
      </c>
      <c r="P4163" s="8">
        <f t="shared" si="322"/>
        <v>4164</v>
      </c>
      <c r="Q4163" s="8">
        <f t="shared" si="323"/>
        <v>192</v>
      </c>
      <c r="R4163" s="2" t="s">
        <v>28</v>
      </c>
      <c r="S4163" s="24">
        <f t="shared" si="324"/>
        <v>0.02</v>
      </c>
    </row>
    <row r="4164" spans="1:19" x14ac:dyDescent="0.25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>VLOOKUP(F4164,'Customer Info'!$A:$B,2,0)</f>
        <v>Dean</v>
      </c>
      <c r="H4164" s="6" t="str">
        <f>VLOOKUP(F4164,'Customer Info'!$A$1:$C$501,3,0)</f>
        <v>Katz</v>
      </c>
      <c r="I4164" s="6" t="str">
        <f>VLOOKUP(F4164,Customer,5,0)</f>
        <v>Changzhou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11788</v>
      </c>
      <c r="O4164" s="2">
        <v>67</v>
      </c>
      <c r="P4164" s="8">
        <f t="shared" si="322"/>
        <v>11855</v>
      </c>
      <c r="Q4164" s="8">
        <f t="shared" si="323"/>
        <v>546</v>
      </c>
      <c r="R4164" s="2" t="s">
        <v>28</v>
      </c>
      <c r="S4164" s="24">
        <f t="shared" si="324"/>
        <v>0.05</v>
      </c>
    </row>
    <row r="4165" spans="1:19" x14ac:dyDescent="0.25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>VLOOKUP(F4165,'Customer Info'!$A:$B,2,0)</f>
        <v>Carlos</v>
      </c>
      <c r="H4165" s="6" t="str">
        <f>VLOOKUP(F4165,'Customer Info'!$A$1:$C$501,3,0)</f>
        <v>Soltero</v>
      </c>
      <c r="I4165" s="6" t="str">
        <f>VLOOKUP(F4165,Customer,5,0)</f>
        <v>Wodonga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990</v>
      </c>
      <c r="O4165" s="2">
        <v>44</v>
      </c>
      <c r="P4165" s="8">
        <f t="shared" si="322"/>
        <v>1034</v>
      </c>
      <c r="Q4165" s="8">
        <f t="shared" si="323"/>
        <v>74</v>
      </c>
      <c r="R4165" s="2" t="s">
        <v>28</v>
      </c>
      <c r="S4165" s="24">
        <f t="shared" si="324"/>
        <v>0.02</v>
      </c>
    </row>
    <row r="4166" spans="1:19" x14ac:dyDescent="0.25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>VLOOKUP(F4166,'Customer Info'!$A:$B,2,0)</f>
        <v>Laurel</v>
      </c>
      <c r="H4166" s="6" t="str">
        <f>VLOOKUP(F4166,'Customer Info'!$A$1:$C$501,3,0)</f>
        <v>Elliston</v>
      </c>
      <c r="I4166" s="6" t="str">
        <f>VLOOKUP(F4166,Customer,5,0)</f>
        <v>Tasikmalaya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13062</v>
      </c>
      <c r="O4166" s="2">
        <v>57</v>
      </c>
      <c r="P4166" s="8">
        <f t="shared" si="322"/>
        <v>13119</v>
      </c>
      <c r="Q4166" s="8">
        <f t="shared" si="323"/>
        <v>738</v>
      </c>
      <c r="R4166" s="2" t="s">
        <v>50</v>
      </c>
      <c r="S4166" s="24">
        <f t="shared" si="324"/>
        <v>0.05</v>
      </c>
    </row>
    <row r="4167" spans="1:19" x14ac:dyDescent="0.25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>VLOOKUP(F4167,'Customer Info'!$A:$B,2,0)</f>
        <v>Eugene</v>
      </c>
      <c r="H4167" s="6" t="str">
        <f>VLOOKUP(F4167,'Customer Info'!$A$1:$C$501,3,0)</f>
        <v>Hildebrand</v>
      </c>
      <c r="I4167" s="6" t="str">
        <f>VLOOKUP(F4167,Customer,5,0)</f>
        <v>Liaocheng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5154</v>
      </c>
      <c r="O4167" s="2">
        <v>46</v>
      </c>
      <c r="P4167" s="8">
        <f t="shared" si="322"/>
        <v>5200</v>
      </c>
      <c r="Q4167" s="8">
        <f t="shared" si="323"/>
        <v>519</v>
      </c>
      <c r="R4167" s="2" t="s">
        <v>50</v>
      </c>
      <c r="S4167" s="24">
        <f t="shared" si="324"/>
        <v>0.05</v>
      </c>
    </row>
    <row r="4168" spans="1:19" x14ac:dyDescent="0.25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>VLOOKUP(F4168,'Customer Info'!$A:$B,2,0)</f>
        <v>Claudia</v>
      </c>
      <c r="H4168" s="6" t="str">
        <f>VLOOKUP(F4168,'Customer Info'!$A$1:$C$501,3,0)</f>
        <v>Bergmann</v>
      </c>
      <c r="I4168" s="6" t="str">
        <f>VLOOKUP(F4168,Customer,5,0)</f>
        <v>Aschaffenburg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6550</v>
      </c>
      <c r="O4168" s="2">
        <v>21</v>
      </c>
      <c r="P4168" s="8">
        <f t="shared" si="322"/>
        <v>6571</v>
      </c>
      <c r="Q4168" s="8">
        <f t="shared" si="323"/>
        <v>370</v>
      </c>
      <c r="R4168" s="2" t="s">
        <v>28</v>
      </c>
      <c r="S4168" s="24">
        <f t="shared" si="324"/>
        <v>0.05</v>
      </c>
    </row>
    <row r="4169" spans="1:19" x14ac:dyDescent="0.25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>VLOOKUP(F4169,'Customer Info'!$A:$B,2,0)</f>
        <v>Victoria</v>
      </c>
      <c r="H4169" s="6" t="str">
        <f>VLOOKUP(F4169,'Customer Info'!$A$1:$C$501,3,0)</f>
        <v>Pisteka</v>
      </c>
      <c r="I4169" s="6" t="str">
        <f>VLOOKUP(F4169,Customer,5,0)</f>
        <v>Bokaro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1650</v>
      </c>
      <c r="O4169" s="2">
        <v>50</v>
      </c>
      <c r="P4169" s="8">
        <f t="shared" si="322"/>
        <v>1700</v>
      </c>
      <c r="Q4169" s="8">
        <f t="shared" si="323"/>
        <v>64</v>
      </c>
      <c r="R4169" s="2" t="s">
        <v>28</v>
      </c>
      <c r="S4169" s="24">
        <f t="shared" si="324"/>
        <v>0.02</v>
      </c>
    </row>
    <row r="4170" spans="1:19" x14ac:dyDescent="0.25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>VLOOKUP(F4170,'Customer Info'!$A:$B,2,0)</f>
        <v>Jim</v>
      </c>
      <c r="H4170" s="6" t="str">
        <f>VLOOKUP(F4170,'Customer Info'!$A$1:$C$501,3,0)</f>
        <v>Epp</v>
      </c>
      <c r="I4170" s="6" t="str">
        <f>VLOOKUP(F4170,Customer,5,0)</f>
        <v>Jingmen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1332</v>
      </c>
      <c r="O4170" s="2">
        <v>74</v>
      </c>
      <c r="P4170" s="8">
        <f t="shared" si="322"/>
        <v>1406</v>
      </c>
      <c r="Q4170" s="8">
        <f t="shared" si="323"/>
        <v>50</v>
      </c>
      <c r="R4170" s="2" t="s">
        <v>28</v>
      </c>
      <c r="S4170" s="24">
        <f t="shared" si="324"/>
        <v>0.02</v>
      </c>
    </row>
    <row r="4171" spans="1:19" x14ac:dyDescent="0.25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>VLOOKUP(F4171,'Customer Info'!$A:$B,2,0)</f>
        <v>Mike</v>
      </c>
      <c r="H4171" s="6" t="str">
        <f>VLOOKUP(F4171,'Customer Info'!$A$1:$C$501,3,0)</f>
        <v>Vittorini</v>
      </c>
      <c r="I4171" s="6" t="str">
        <f>VLOOKUP(F4171,Customer,5,0)</f>
        <v>Naihati</v>
      </c>
      <c r="J4171" s="2">
        <v>1564</v>
      </c>
      <c r="K4171" s="2">
        <v>1420</v>
      </c>
      <c r="L4171" s="2">
        <v>1</v>
      </c>
      <c r="M4171" s="7">
        <f t="shared" ref="M4171:M4234" si="325">K4171*L4171</f>
        <v>1420</v>
      </c>
      <c r="N4171" s="7">
        <f t="shared" ref="N4171:N4234" si="326">J4171*L4171</f>
        <v>1564</v>
      </c>
      <c r="O4171" s="2">
        <v>57</v>
      </c>
      <c r="P4171" s="8">
        <f t="shared" ref="P4171:P4234" si="327">N4171+O4171</f>
        <v>1621</v>
      </c>
      <c r="Q4171" s="8">
        <f t="shared" ref="Q4171:Q4234" si="328">N4171-M4171</f>
        <v>144</v>
      </c>
      <c r="R4171" s="2" t="s">
        <v>28</v>
      </c>
      <c r="S4171" s="24">
        <f t="shared" ref="S4171:S4234" si="329">VLOOKUP(N4171,$T$1:$U$7,2,TRUE)</f>
        <v>0.02</v>
      </c>
    </row>
    <row r="4172" spans="1:19" x14ac:dyDescent="0.25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>VLOOKUP(F4172,'Customer Info'!$A:$B,2,0)</f>
        <v>Mike</v>
      </c>
      <c r="H4172" s="6" t="str">
        <f>VLOOKUP(F4172,'Customer Info'!$A$1:$C$501,3,0)</f>
        <v>Pelletier</v>
      </c>
      <c r="I4172" s="6" t="str">
        <f>VLOOKUP(F4172,Customer,5,0)</f>
        <v>Jakarta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8">
        <f t="shared" si="327"/>
        <v>938</v>
      </c>
      <c r="Q4172" s="8">
        <f t="shared" si="328"/>
        <v>64</v>
      </c>
      <c r="R4172" s="2" t="s">
        <v>28</v>
      </c>
      <c r="S4172" s="24">
        <f t="shared" si="329"/>
        <v>0.02</v>
      </c>
    </row>
    <row r="4173" spans="1:19" x14ac:dyDescent="0.25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>VLOOKUP(F4173,'Customer Info'!$A:$B,2,0)</f>
        <v>Rachel</v>
      </c>
      <c r="H4173" s="6" t="str">
        <f>VLOOKUP(F4173,'Customer Info'!$A$1:$C$501,3,0)</f>
        <v>Payne</v>
      </c>
      <c r="I4173" s="6" t="str">
        <f>VLOOKUP(F4173,Customer,5,0)</f>
        <v>Raipur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8">
        <f t="shared" si="327"/>
        <v>2723</v>
      </c>
      <c r="Q4173" s="8">
        <f t="shared" si="328"/>
        <v>220</v>
      </c>
      <c r="R4173" s="2" t="s">
        <v>50</v>
      </c>
      <c r="S4173" s="24">
        <f t="shared" si="329"/>
        <v>0.02</v>
      </c>
    </row>
    <row r="4174" spans="1:19" x14ac:dyDescent="0.25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>VLOOKUP(F4174,'Customer Info'!$A:$B,2,0)</f>
        <v>Christine</v>
      </c>
      <c r="H4174" s="6" t="str">
        <f>VLOOKUP(F4174,'Customer Info'!$A$1:$C$501,3,0)</f>
        <v>Abelman</v>
      </c>
      <c r="I4174" s="6" t="str">
        <f>VLOOKUP(F4174,Customer,5,0)</f>
        <v>Nasik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8">
        <f t="shared" si="327"/>
        <v>15044</v>
      </c>
      <c r="Q4174" s="8">
        <f t="shared" si="328"/>
        <v>1104</v>
      </c>
      <c r="R4174" s="2" t="s">
        <v>50</v>
      </c>
      <c r="S4174" s="24">
        <f t="shared" si="329"/>
        <v>0.05</v>
      </c>
    </row>
    <row r="4175" spans="1:19" x14ac:dyDescent="0.25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>VLOOKUP(F4175,'Customer Info'!$A:$B,2,0)</f>
        <v>Darren</v>
      </c>
      <c r="H4175" s="6" t="str">
        <f>VLOOKUP(F4175,'Customer Info'!$A$1:$C$501,3,0)</f>
        <v>Powers</v>
      </c>
      <c r="I4175" s="6" t="str">
        <f>VLOOKUP(F4175,Customer,5,0)</f>
        <v>Depok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8">
        <f t="shared" si="327"/>
        <v>14816</v>
      </c>
      <c r="Q4175" s="8">
        <f t="shared" si="328"/>
        <v>702</v>
      </c>
      <c r="R4175" s="2" t="s">
        <v>28</v>
      </c>
      <c r="S4175" s="24">
        <f t="shared" si="329"/>
        <v>0.05</v>
      </c>
    </row>
    <row r="4176" spans="1:19" x14ac:dyDescent="0.25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>VLOOKUP(F4176,'Customer Info'!$A:$B,2,0)</f>
        <v>Corey</v>
      </c>
      <c r="H4176" s="6" t="str">
        <f>VLOOKUP(F4176,'Customer Info'!$A$1:$C$501,3,0)</f>
        <v>Lock</v>
      </c>
      <c r="I4176" s="6" t="str">
        <f>VLOOKUP(F4176,Customer,5,0)</f>
        <v>Geelong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31685</v>
      </c>
      <c r="O4176" s="2">
        <v>68</v>
      </c>
      <c r="P4176" s="8">
        <f t="shared" si="327"/>
        <v>31753</v>
      </c>
      <c r="Q4176" s="8">
        <f t="shared" si="328"/>
        <v>610</v>
      </c>
      <c r="R4176" s="2" t="s">
        <v>28</v>
      </c>
      <c r="S4176" s="24">
        <f t="shared" si="329"/>
        <v>7.0000000000000007E-2</v>
      </c>
    </row>
    <row r="4177" spans="1:19" x14ac:dyDescent="0.25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>VLOOKUP(F4177,'Customer Info'!$A:$B,2,0)</f>
        <v>Dave</v>
      </c>
      <c r="H4177" s="6" t="str">
        <f>VLOOKUP(F4177,'Customer Info'!$A$1:$C$501,3,0)</f>
        <v>Poirier</v>
      </c>
      <c r="I4177" s="6" t="str">
        <f>VLOOKUP(F4177,Customer,5,0)</f>
        <v>Changchun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3630</v>
      </c>
      <c r="O4177" s="2">
        <v>94</v>
      </c>
      <c r="P4177" s="8">
        <f t="shared" si="327"/>
        <v>3724</v>
      </c>
      <c r="Q4177" s="8">
        <f t="shared" si="328"/>
        <v>400</v>
      </c>
      <c r="R4177" s="2" t="s">
        <v>28</v>
      </c>
      <c r="S4177" s="24">
        <f t="shared" si="329"/>
        <v>0.02</v>
      </c>
    </row>
    <row r="4178" spans="1:19" x14ac:dyDescent="0.25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>VLOOKUP(F4178,'Customer Info'!$A:$B,2,0)</f>
        <v>Carol</v>
      </c>
      <c r="H4178" s="6" t="str">
        <f>VLOOKUP(F4178,'Customer Info'!$A$1:$C$501,3,0)</f>
        <v>Adams</v>
      </c>
      <c r="I4178" s="6" t="str">
        <f>VLOOKUP(F4178,Customer,5,0)</f>
        <v>Cairns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57044</v>
      </c>
      <c r="O4178" s="2">
        <v>79</v>
      </c>
      <c r="P4178" s="8">
        <f t="shared" si="327"/>
        <v>57123</v>
      </c>
      <c r="Q4178" s="8">
        <f t="shared" si="328"/>
        <v>4276</v>
      </c>
      <c r="R4178" s="2" t="s">
        <v>28</v>
      </c>
      <c r="S4178" s="24">
        <f t="shared" si="329"/>
        <v>0.09</v>
      </c>
    </row>
    <row r="4179" spans="1:19" x14ac:dyDescent="0.25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>VLOOKUP(F4179,'Customer Info'!$A:$B,2,0)</f>
        <v>Craig</v>
      </c>
      <c r="H4179" s="6" t="str">
        <f>VLOOKUP(F4179,'Customer Info'!$A$1:$C$501,3,0)</f>
        <v>Carreira</v>
      </c>
      <c r="I4179" s="6" t="str">
        <f>VLOOKUP(F4179,Customer,5,0)</f>
        <v>Worms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192</v>
      </c>
      <c r="O4179" s="2">
        <v>10</v>
      </c>
      <c r="P4179" s="8">
        <f t="shared" si="327"/>
        <v>202</v>
      </c>
      <c r="Q4179" s="8">
        <f t="shared" si="328"/>
        <v>18</v>
      </c>
      <c r="R4179" s="2" t="s">
        <v>28</v>
      </c>
      <c r="S4179" s="24">
        <f t="shared" si="329"/>
        <v>0.02</v>
      </c>
    </row>
    <row r="4180" spans="1:19" x14ac:dyDescent="0.25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>VLOOKUP(F4180,'Customer Info'!$A:$B,2,0)</f>
        <v>Stuart</v>
      </c>
      <c r="H4180" s="6" t="str">
        <f>VLOOKUP(F4180,'Customer Info'!$A$1:$C$501,3,0)</f>
        <v>Van</v>
      </c>
      <c r="I4180" s="6" t="str">
        <f>VLOOKUP(F4180,Customer,5,0)</f>
        <v>Hobart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126462</v>
      </c>
      <c r="O4180" s="2">
        <v>94</v>
      </c>
      <c r="P4180" s="8">
        <f t="shared" si="327"/>
        <v>126556</v>
      </c>
      <c r="Q4180" s="8">
        <f t="shared" si="328"/>
        <v>12614</v>
      </c>
      <c r="R4180" s="2" t="s">
        <v>56</v>
      </c>
      <c r="S4180" s="24">
        <f t="shared" si="329"/>
        <v>0.12</v>
      </c>
    </row>
    <row r="4181" spans="1:19" x14ac:dyDescent="0.25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>VLOOKUP(F4181,'Customer Info'!$A:$B,2,0)</f>
        <v>Stuart</v>
      </c>
      <c r="H4181" s="6" t="str">
        <f>VLOOKUP(F4181,'Customer Info'!$A$1:$C$501,3,0)</f>
        <v>Calhoun</v>
      </c>
      <c r="I4181" s="6" t="str">
        <f>VLOOKUP(F4181,Customer,5,0)</f>
        <v>Raipur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37670</v>
      </c>
      <c r="O4181" s="2">
        <v>85</v>
      </c>
      <c r="P4181" s="8">
        <f t="shared" si="327"/>
        <v>37755</v>
      </c>
      <c r="Q4181" s="8">
        <f t="shared" si="328"/>
        <v>2140</v>
      </c>
      <c r="R4181" s="2" t="s">
        <v>28</v>
      </c>
      <c r="S4181" s="24">
        <f t="shared" si="329"/>
        <v>7.0000000000000007E-2</v>
      </c>
    </row>
    <row r="4182" spans="1:19" x14ac:dyDescent="0.25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>VLOOKUP(F4182,'Customer Info'!$A:$B,2,0)</f>
        <v>Gary</v>
      </c>
      <c r="H4182" s="6" t="str">
        <f>VLOOKUP(F4182,'Customer Info'!$A$1:$C$501,3,0)</f>
        <v>Hansen</v>
      </c>
      <c r="I4182" s="6" t="str">
        <f>VLOOKUP(F4182,Customer,5,0)</f>
        <v>Dewas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4851</v>
      </c>
      <c r="O4182" s="2">
        <v>93</v>
      </c>
      <c r="P4182" s="8">
        <f t="shared" si="327"/>
        <v>4944</v>
      </c>
      <c r="Q4182" s="8">
        <f t="shared" si="328"/>
        <v>182</v>
      </c>
      <c r="R4182" s="2" t="s">
        <v>28</v>
      </c>
      <c r="S4182" s="24">
        <f t="shared" si="329"/>
        <v>0.02</v>
      </c>
    </row>
    <row r="4183" spans="1:19" x14ac:dyDescent="0.25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>VLOOKUP(F4183,'Customer Info'!$A:$B,2,0)</f>
        <v>Sung</v>
      </c>
      <c r="H4183" s="6" t="str">
        <f>VLOOKUP(F4183,'Customer Info'!$A$1:$C$501,3,0)</f>
        <v>Shariari</v>
      </c>
      <c r="I4183" s="6" t="str">
        <f>VLOOKUP(F4183,Customer,5,0)</f>
        <v>Solapur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1110</v>
      </c>
      <c r="O4183" s="2">
        <v>32</v>
      </c>
      <c r="P4183" s="8">
        <f t="shared" si="327"/>
        <v>1142</v>
      </c>
      <c r="Q4183" s="8">
        <f t="shared" si="328"/>
        <v>90</v>
      </c>
      <c r="R4183" s="2" t="s">
        <v>28</v>
      </c>
      <c r="S4183" s="24">
        <f t="shared" si="329"/>
        <v>0.02</v>
      </c>
    </row>
    <row r="4184" spans="1:19" x14ac:dyDescent="0.25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>VLOOKUP(F4184,'Customer Info'!$A:$B,2,0)</f>
        <v>Tom</v>
      </c>
      <c r="H4184" s="6" t="str">
        <f>VLOOKUP(F4184,'Customer Info'!$A$1:$C$501,3,0)</f>
        <v>Stivers</v>
      </c>
      <c r="I4184" s="6" t="str">
        <f>VLOOKUP(F4184,Customer,5,0)</f>
        <v>Thane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202</v>
      </c>
      <c r="O4184" s="2">
        <v>10</v>
      </c>
      <c r="P4184" s="8">
        <f t="shared" si="327"/>
        <v>212</v>
      </c>
      <c r="Q4184" s="8">
        <f t="shared" si="328"/>
        <v>6</v>
      </c>
      <c r="R4184" s="2" t="s">
        <v>28</v>
      </c>
      <c r="S4184" s="24">
        <f t="shared" si="329"/>
        <v>0.02</v>
      </c>
    </row>
    <row r="4185" spans="1:19" x14ac:dyDescent="0.25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>VLOOKUP(F4185,'Customer Info'!$A:$B,2,0)</f>
        <v>Alex</v>
      </c>
      <c r="H4185" s="6" t="str">
        <f>VLOOKUP(F4185,'Customer Info'!$A$1:$C$501,3,0)</f>
        <v>Avila</v>
      </c>
      <c r="I4185" s="6" t="str">
        <f>VLOOKUP(F4185,Customer,5,0)</f>
        <v>Newcastle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3615</v>
      </c>
      <c r="O4185" s="2">
        <v>79</v>
      </c>
      <c r="P4185" s="8">
        <f t="shared" si="327"/>
        <v>3694</v>
      </c>
      <c r="Q4185" s="8">
        <f t="shared" si="328"/>
        <v>138</v>
      </c>
      <c r="R4185" s="2" t="s">
        <v>50</v>
      </c>
      <c r="S4185" s="24">
        <f t="shared" si="329"/>
        <v>0.02</v>
      </c>
    </row>
    <row r="4186" spans="1:19" x14ac:dyDescent="0.25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>VLOOKUP(F4186,'Customer Info'!$A:$B,2,0)</f>
        <v>Ionia</v>
      </c>
      <c r="H4186" s="6" t="str">
        <f>VLOOKUP(F4186,'Customer Info'!$A$1:$C$501,3,0)</f>
        <v>McGrath</v>
      </c>
      <c r="I4186" s="6" t="str">
        <f>VLOOKUP(F4186,Customer,5,0)</f>
        <v>Dormagen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42846</v>
      </c>
      <c r="O4186" s="2">
        <v>25</v>
      </c>
      <c r="P4186" s="8">
        <f t="shared" si="327"/>
        <v>42871</v>
      </c>
      <c r="Q4186" s="8">
        <f t="shared" si="328"/>
        <v>3600</v>
      </c>
      <c r="R4186" s="2" t="s">
        <v>50</v>
      </c>
      <c r="S4186" s="24">
        <f t="shared" si="329"/>
        <v>7.0000000000000007E-2</v>
      </c>
    </row>
    <row r="4187" spans="1:19" x14ac:dyDescent="0.25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>VLOOKUP(F4187,'Customer Info'!$A:$B,2,0)</f>
        <v>Kristina</v>
      </c>
      <c r="H4187" s="6" t="str">
        <f>VLOOKUP(F4187,'Customer Info'!$A$1:$C$501,3,0)</f>
        <v>Nunn</v>
      </c>
      <c r="I4187" s="6" t="str">
        <f>VLOOKUP(F4187,Customer,5,0)</f>
        <v>Sydney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21981</v>
      </c>
      <c r="O4187" s="2">
        <v>47</v>
      </c>
      <c r="P4187" s="8">
        <f t="shared" si="327"/>
        <v>22028</v>
      </c>
      <c r="Q4187" s="8">
        <f t="shared" si="328"/>
        <v>2007</v>
      </c>
      <c r="R4187" s="2" t="s">
        <v>28</v>
      </c>
      <c r="S4187" s="24">
        <f t="shared" si="329"/>
        <v>0.05</v>
      </c>
    </row>
    <row r="4188" spans="1:19" x14ac:dyDescent="0.25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>VLOOKUP(F4188,'Customer Info'!$A:$B,2,0)</f>
        <v>Duane</v>
      </c>
      <c r="H4188" s="6" t="str">
        <f>VLOOKUP(F4188,'Customer Info'!$A$1:$C$501,3,0)</f>
        <v>Huffman</v>
      </c>
      <c r="I4188" s="6" t="str">
        <f>VLOOKUP(F4188,Customer,5,0)</f>
        <v>Perth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15880</v>
      </c>
      <c r="O4188" s="2">
        <v>99</v>
      </c>
      <c r="P4188" s="8">
        <f t="shared" si="327"/>
        <v>15979</v>
      </c>
      <c r="Q4188" s="8">
        <f t="shared" si="328"/>
        <v>300</v>
      </c>
      <c r="R4188" s="2" t="s">
        <v>56</v>
      </c>
      <c r="S4188" s="24">
        <f t="shared" si="329"/>
        <v>0.05</v>
      </c>
    </row>
    <row r="4189" spans="1:19" x14ac:dyDescent="0.25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>VLOOKUP(F4189,'Customer Info'!$A:$B,2,0)</f>
        <v>Joel</v>
      </c>
      <c r="H4189" s="6" t="str">
        <f>VLOOKUP(F4189,'Customer Info'!$A$1:$C$501,3,0)</f>
        <v>Eaton</v>
      </c>
      <c r="I4189" s="6" t="str">
        <f>VLOOKUP(F4189,Customer,5,0)</f>
        <v>Nuremberg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2636</v>
      </c>
      <c r="O4189" s="2">
        <v>77</v>
      </c>
      <c r="P4189" s="8">
        <f t="shared" si="327"/>
        <v>2713</v>
      </c>
      <c r="Q4189" s="8">
        <f t="shared" si="328"/>
        <v>218</v>
      </c>
      <c r="R4189" s="2" t="s">
        <v>28</v>
      </c>
      <c r="S4189" s="24">
        <f t="shared" si="329"/>
        <v>0.02</v>
      </c>
    </row>
    <row r="4190" spans="1:19" x14ac:dyDescent="0.25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>VLOOKUP(F4190,'Customer Info'!$A:$B,2,0)</f>
        <v>Eileen</v>
      </c>
      <c r="H4190" s="6" t="str">
        <f>VLOOKUP(F4190,'Customer Info'!$A$1:$C$501,3,0)</f>
        <v>Kiefer</v>
      </c>
      <c r="I4190" s="6" t="str">
        <f>VLOOKUP(F4190,Customer,5,0)</f>
        <v>Hamm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144</v>
      </c>
      <c r="O4190" s="2">
        <v>30</v>
      </c>
      <c r="P4190" s="8">
        <f t="shared" si="327"/>
        <v>174</v>
      </c>
      <c r="Q4190" s="8">
        <f t="shared" si="328"/>
        <v>11</v>
      </c>
      <c r="R4190" s="2" t="s">
        <v>28</v>
      </c>
      <c r="S4190" s="24">
        <f t="shared" si="329"/>
        <v>0.02</v>
      </c>
    </row>
    <row r="4191" spans="1:19" x14ac:dyDescent="0.25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>VLOOKUP(F4191,'Customer Info'!$A:$B,2,0)</f>
        <v>Randy</v>
      </c>
      <c r="H4191" s="6" t="str">
        <f>VLOOKUP(F4191,'Customer Info'!$A$1:$C$501,3,0)</f>
        <v>Bradley</v>
      </c>
      <c r="I4191" s="6" t="str">
        <f>VLOOKUP(F4191,Customer,5,0)</f>
        <v>Wollongong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1413</v>
      </c>
      <c r="O4191" s="2">
        <v>90</v>
      </c>
      <c r="P4191" s="8">
        <f t="shared" si="327"/>
        <v>1503</v>
      </c>
      <c r="Q4191" s="8">
        <f t="shared" si="328"/>
        <v>79</v>
      </c>
      <c r="R4191" s="2" t="s">
        <v>28</v>
      </c>
      <c r="S4191" s="24">
        <f t="shared" si="329"/>
        <v>0.02</v>
      </c>
    </row>
    <row r="4192" spans="1:19" x14ac:dyDescent="0.25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>VLOOKUP(F4192,'Customer Info'!$A:$B,2,0)</f>
        <v>Sanjit</v>
      </c>
      <c r="H4192" s="6" t="str">
        <f>VLOOKUP(F4192,'Customer Info'!$A$1:$C$501,3,0)</f>
        <v>Jacobs</v>
      </c>
      <c r="I4192" s="6" t="str">
        <f>VLOOKUP(F4192,Customer,5,0)</f>
        <v>Munich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12054</v>
      </c>
      <c r="O4192" s="2">
        <v>48</v>
      </c>
      <c r="P4192" s="8">
        <f t="shared" si="327"/>
        <v>12102</v>
      </c>
      <c r="Q4192" s="8">
        <f t="shared" si="328"/>
        <v>666</v>
      </c>
      <c r="R4192" s="2" t="s">
        <v>28</v>
      </c>
      <c r="S4192" s="24">
        <f t="shared" si="329"/>
        <v>0.05</v>
      </c>
    </row>
    <row r="4193" spans="1:19" x14ac:dyDescent="0.25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>VLOOKUP(F4193,'Customer Info'!$A:$B,2,0)</f>
        <v>Rachel</v>
      </c>
      <c r="H4193" s="6" t="str">
        <f>VLOOKUP(F4193,'Customer Info'!$A$1:$C$501,3,0)</f>
        <v>Payne</v>
      </c>
      <c r="I4193" s="6" t="str">
        <f>VLOOKUP(F4193,Customer,5,0)</f>
        <v>Caloundra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1104</v>
      </c>
      <c r="O4193" s="2">
        <v>30</v>
      </c>
      <c r="P4193" s="8">
        <f t="shared" si="327"/>
        <v>1134</v>
      </c>
      <c r="Q4193" s="8">
        <f t="shared" si="328"/>
        <v>48</v>
      </c>
      <c r="R4193" s="2" t="s">
        <v>28</v>
      </c>
      <c r="S4193" s="24">
        <f t="shared" si="329"/>
        <v>0.02</v>
      </c>
    </row>
    <row r="4194" spans="1:19" x14ac:dyDescent="0.25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>VLOOKUP(F4194,'Customer Info'!$A:$B,2,0)</f>
        <v>Mike</v>
      </c>
      <c r="H4194" s="6" t="str">
        <f>VLOOKUP(F4194,'Customer Info'!$A$1:$C$501,3,0)</f>
        <v>Vittorini</v>
      </c>
      <c r="I4194" s="6" t="str">
        <f>VLOOKUP(F4194,Customer,5,0)</f>
        <v>Naihati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954</v>
      </c>
      <c r="O4194" s="2">
        <v>20</v>
      </c>
      <c r="P4194" s="8">
        <f t="shared" si="327"/>
        <v>974</v>
      </c>
      <c r="Q4194" s="8">
        <f t="shared" si="328"/>
        <v>53</v>
      </c>
      <c r="R4194" s="2" t="s">
        <v>50</v>
      </c>
      <c r="S4194" s="24">
        <f t="shared" si="329"/>
        <v>0.02</v>
      </c>
    </row>
    <row r="4195" spans="1:19" x14ac:dyDescent="0.25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>VLOOKUP(F4195,'Customer Info'!$A:$B,2,0)</f>
        <v>Xylona</v>
      </c>
      <c r="H4195" s="6" t="str">
        <f>VLOOKUP(F4195,'Customer Info'!$A$1:$C$501,3,0)</f>
        <v>Preis</v>
      </c>
      <c r="I4195" s="6" t="str">
        <f>VLOOKUP(F4195,Customer,5,0)</f>
        <v>Qidong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1022</v>
      </c>
      <c r="O4195" s="2">
        <v>28</v>
      </c>
      <c r="P4195" s="8">
        <f t="shared" si="327"/>
        <v>1050</v>
      </c>
      <c r="Q4195" s="8">
        <f t="shared" si="328"/>
        <v>86</v>
      </c>
      <c r="R4195" s="2" t="s">
        <v>50</v>
      </c>
      <c r="S4195" s="24">
        <f t="shared" si="329"/>
        <v>0.02</v>
      </c>
    </row>
    <row r="4196" spans="1:19" x14ac:dyDescent="0.25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>VLOOKUP(F4196,'Customer Info'!$A:$B,2,0)</f>
        <v>Anthony</v>
      </c>
      <c r="H4196" s="6" t="str">
        <f>VLOOKUP(F4196,'Customer Info'!$A$1:$C$501,3,0)</f>
        <v>Garverick</v>
      </c>
      <c r="I4196" s="6" t="str">
        <f>VLOOKUP(F4196,Customer,5,0)</f>
        <v>Delhi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1574</v>
      </c>
      <c r="O4196" s="2">
        <v>49</v>
      </c>
      <c r="P4196" s="8">
        <f t="shared" si="327"/>
        <v>1623</v>
      </c>
      <c r="Q4196" s="8">
        <f t="shared" si="328"/>
        <v>116</v>
      </c>
      <c r="R4196" s="2" t="s">
        <v>28</v>
      </c>
      <c r="S4196" s="24">
        <f t="shared" si="329"/>
        <v>0.02</v>
      </c>
    </row>
    <row r="4197" spans="1:19" x14ac:dyDescent="0.25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>VLOOKUP(F4197,'Customer Info'!$A:$B,2,0)</f>
        <v>Brad</v>
      </c>
      <c r="H4197" s="6" t="str">
        <f>VLOOKUP(F4197,'Customer Info'!$A$1:$C$501,3,0)</f>
        <v>Thomas</v>
      </c>
      <c r="I4197" s="6" t="str">
        <f>VLOOKUP(F4197,Customer,5,0)</f>
        <v>Bochum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805</v>
      </c>
      <c r="O4197" s="2">
        <v>35</v>
      </c>
      <c r="P4197" s="8">
        <f t="shared" si="327"/>
        <v>840</v>
      </c>
      <c r="Q4197" s="8">
        <f t="shared" si="328"/>
        <v>59</v>
      </c>
      <c r="R4197" s="2" t="s">
        <v>28</v>
      </c>
      <c r="S4197" s="24">
        <f t="shared" si="329"/>
        <v>0.02</v>
      </c>
    </row>
    <row r="4198" spans="1:19" x14ac:dyDescent="0.25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>VLOOKUP(F4198,'Customer Info'!$A:$B,2,0)</f>
        <v>Hilary</v>
      </c>
      <c r="H4198" s="6" t="str">
        <f>VLOOKUP(F4198,'Customer Info'!$A$1:$C$501,3,0)</f>
        <v>Holden</v>
      </c>
      <c r="I4198" s="6" t="str">
        <f>VLOOKUP(F4198,Customer,5,0)</f>
        <v>Mysore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55284</v>
      </c>
      <c r="O4198" s="2">
        <v>80</v>
      </c>
      <c r="P4198" s="8">
        <f t="shared" si="327"/>
        <v>55364</v>
      </c>
      <c r="Q4198" s="8">
        <f t="shared" si="328"/>
        <v>5514</v>
      </c>
      <c r="R4198" s="2" t="s">
        <v>56</v>
      </c>
      <c r="S4198" s="24">
        <f t="shared" si="329"/>
        <v>0.09</v>
      </c>
    </row>
    <row r="4199" spans="1:19" x14ac:dyDescent="0.25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>VLOOKUP(F4199,'Customer Info'!$A:$B,2,0)</f>
        <v>Eugene</v>
      </c>
      <c r="H4199" s="6" t="str">
        <f>VLOOKUP(F4199,'Customer Info'!$A$1:$C$501,3,0)</f>
        <v>Moren</v>
      </c>
      <c r="I4199" s="6" t="str">
        <f>VLOOKUP(F4199,Customer,5,0)</f>
        <v>Patiala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303</v>
      </c>
      <c r="O4199" s="2">
        <v>10</v>
      </c>
      <c r="P4199" s="8">
        <f t="shared" si="327"/>
        <v>313</v>
      </c>
      <c r="Q4199" s="8">
        <f t="shared" si="328"/>
        <v>9</v>
      </c>
      <c r="R4199" s="2" t="s">
        <v>50</v>
      </c>
      <c r="S4199" s="24">
        <f t="shared" si="329"/>
        <v>0.02</v>
      </c>
    </row>
    <row r="4200" spans="1:19" x14ac:dyDescent="0.25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>VLOOKUP(F4200,'Customer Info'!$A:$B,2,0)</f>
        <v>Erin</v>
      </c>
      <c r="H4200" s="6" t="str">
        <f>VLOOKUP(F4200,'Customer Info'!$A$1:$C$501,3,0)</f>
        <v>Smith</v>
      </c>
      <c r="I4200" s="6" t="str">
        <f>VLOOKUP(F4200,Customer,5,0)</f>
        <v>Yuci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3756</v>
      </c>
      <c r="O4200" s="2">
        <v>42</v>
      </c>
      <c r="P4200" s="8">
        <f t="shared" si="327"/>
        <v>3798</v>
      </c>
      <c r="Q4200" s="8">
        <f t="shared" si="328"/>
        <v>176</v>
      </c>
      <c r="R4200" s="2" t="s">
        <v>28</v>
      </c>
      <c r="S4200" s="24">
        <f t="shared" si="329"/>
        <v>0.02</v>
      </c>
    </row>
    <row r="4201" spans="1:19" x14ac:dyDescent="0.25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>VLOOKUP(F4201,'Customer Info'!$A:$B,2,0)</f>
        <v>Carl</v>
      </c>
      <c r="H4201" s="6" t="str">
        <f>VLOOKUP(F4201,'Customer Info'!$A$1:$C$501,3,0)</f>
        <v>Weiss</v>
      </c>
      <c r="I4201" s="6" t="str">
        <f>VLOOKUP(F4201,Customer,5,0)</f>
        <v>Tianjin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8500</v>
      </c>
      <c r="O4201" s="2">
        <v>22</v>
      </c>
      <c r="P4201" s="8">
        <f t="shared" si="327"/>
        <v>8522</v>
      </c>
      <c r="Q4201" s="8">
        <f t="shared" si="328"/>
        <v>400</v>
      </c>
      <c r="R4201" s="2" t="s">
        <v>28</v>
      </c>
      <c r="S4201" s="24">
        <f t="shared" si="329"/>
        <v>0.05</v>
      </c>
    </row>
    <row r="4202" spans="1:19" x14ac:dyDescent="0.25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>VLOOKUP(F4202,'Customer Info'!$A:$B,2,0)</f>
        <v>Anna</v>
      </c>
      <c r="H4202" s="6" t="str">
        <f>VLOOKUP(F4202,'Customer Info'!$A$1:$C$501,3,0)</f>
        <v>Gayman</v>
      </c>
      <c r="I4202" s="6" t="str">
        <f>VLOOKUP(F4202,Customer,5,0)</f>
        <v>Surat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5254</v>
      </c>
      <c r="O4202" s="2">
        <v>62</v>
      </c>
      <c r="P4202" s="8">
        <f t="shared" si="327"/>
        <v>5316</v>
      </c>
      <c r="Q4202" s="8">
        <f t="shared" si="328"/>
        <v>198</v>
      </c>
      <c r="R4202" s="2" t="s">
        <v>26</v>
      </c>
      <c r="S4202" s="24">
        <f t="shared" si="329"/>
        <v>0.05</v>
      </c>
    </row>
    <row r="4203" spans="1:19" x14ac:dyDescent="0.25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>VLOOKUP(F4203,'Customer Info'!$A:$B,2,0)</f>
        <v>George</v>
      </c>
      <c r="H4203" s="6" t="str">
        <f>VLOOKUP(F4203,'Customer Info'!$A$1:$C$501,3,0)</f>
        <v>Ashbrook</v>
      </c>
      <c r="I4203" s="6" t="str">
        <f>VLOOKUP(F4203,Customer,5,0)</f>
        <v>Jakarta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6400</v>
      </c>
      <c r="O4203" s="2">
        <v>53</v>
      </c>
      <c r="P4203" s="8">
        <f t="shared" si="327"/>
        <v>6453</v>
      </c>
      <c r="Q4203" s="8">
        <f t="shared" si="328"/>
        <v>-1</v>
      </c>
      <c r="R4203" s="2" t="s">
        <v>28</v>
      </c>
      <c r="S4203" s="24">
        <f t="shared" si="329"/>
        <v>0.05</v>
      </c>
    </row>
    <row r="4204" spans="1:19" x14ac:dyDescent="0.25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>VLOOKUP(F4204,'Customer Info'!$A:$B,2,0)</f>
        <v>Cari</v>
      </c>
      <c r="H4204" s="6" t="str">
        <f>VLOOKUP(F4204,'Customer Info'!$A$1:$C$501,3,0)</f>
        <v>Schnelling</v>
      </c>
      <c r="I4204" s="6" t="str">
        <f>VLOOKUP(F4204,Customer,5,0)</f>
        <v>Agra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22568</v>
      </c>
      <c r="O4204" s="2">
        <v>72</v>
      </c>
      <c r="P4204" s="8">
        <f t="shared" si="327"/>
        <v>22640</v>
      </c>
      <c r="Q4204" s="8">
        <f t="shared" si="328"/>
        <v>2261</v>
      </c>
      <c r="R4204" s="2" t="s">
        <v>50</v>
      </c>
      <c r="S4204" s="24">
        <f t="shared" si="329"/>
        <v>0.05</v>
      </c>
    </row>
    <row r="4205" spans="1:19" x14ac:dyDescent="0.25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>VLOOKUP(F4205,'Customer Info'!$A:$B,2,0)</f>
        <v>Lindsay</v>
      </c>
      <c r="H4205" s="6" t="str">
        <f>VLOOKUP(F4205,'Customer Info'!$A$1:$C$501,3,0)</f>
        <v>Shagiari</v>
      </c>
      <c r="I4205" s="6" t="str">
        <f>VLOOKUP(F4205,Customer,5,0)</f>
        <v>Canberra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2829</v>
      </c>
      <c r="O4205" s="2">
        <v>53</v>
      </c>
      <c r="P4205" s="8">
        <f t="shared" si="327"/>
        <v>2882</v>
      </c>
      <c r="Q4205" s="8">
        <f t="shared" si="328"/>
        <v>233</v>
      </c>
      <c r="R4205" s="2" t="s">
        <v>28</v>
      </c>
      <c r="S4205" s="24">
        <f t="shared" si="329"/>
        <v>0.02</v>
      </c>
    </row>
    <row r="4206" spans="1:19" x14ac:dyDescent="0.25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>VLOOKUP(F4206,'Customer Info'!$A:$B,2,0)</f>
        <v>Ivan</v>
      </c>
      <c r="H4206" s="6" t="str">
        <f>VLOOKUP(F4206,'Customer Info'!$A$1:$C$501,3,0)</f>
        <v>Gibson</v>
      </c>
      <c r="I4206" s="6" t="str">
        <f>VLOOKUP(F4206,Customer,5,0)</f>
        <v>Perth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13736</v>
      </c>
      <c r="O4206" s="2">
        <v>53</v>
      </c>
      <c r="P4206" s="8">
        <f t="shared" si="327"/>
        <v>13789</v>
      </c>
      <c r="Q4206" s="8">
        <f t="shared" si="328"/>
        <v>520</v>
      </c>
      <c r="R4206" s="2" t="s">
        <v>28</v>
      </c>
      <c r="S4206" s="24">
        <f t="shared" si="329"/>
        <v>0.05</v>
      </c>
    </row>
    <row r="4207" spans="1:19" x14ac:dyDescent="0.25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>VLOOKUP(F4207,'Customer Info'!$A:$B,2,0)</f>
        <v>Tamara</v>
      </c>
      <c r="H4207" s="6" t="str">
        <f>VLOOKUP(F4207,'Customer Info'!$A$1:$C$501,3,0)</f>
        <v>Chand</v>
      </c>
      <c r="I4207" s="6" t="str">
        <f>VLOOKUP(F4207,Customer,5,0)</f>
        <v>Yogyakarta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3507</v>
      </c>
      <c r="O4207" s="2">
        <v>85</v>
      </c>
      <c r="P4207" s="8">
        <f t="shared" si="327"/>
        <v>3592</v>
      </c>
      <c r="Q4207" s="8">
        <f t="shared" si="328"/>
        <v>291</v>
      </c>
      <c r="R4207" s="2" t="s">
        <v>28</v>
      </c>
      <c r="S4207" s="24">
        <f t="shared" si="329"/>
        <v>0.02</v>
      </c>
    </row>
    <row r="4208" spans="1:19" x14ac:dyDescent="0.25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>VLOOKUP(F4208,'Customer Info'!$A:$B,2,0)</f>
        <v>Alejandro</v>
      </c>
      <c r="H4208" s="6" t="str">
        <f>VLOOKUP(F4208,'Customer Info'!$A$1:$C$501,3,0)</f>
        <v>Grove</v>
      </c>
      <c r="I4208" s="6" t="str">
        <f>VLOOKUP(F4208,Customer,5,0)</f>
        <v>Whyalla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3612</v>
      </c>
      <c r="O4208" s="2">
        <v>65</v>
      </c>
      <c r="P4208" s="8">
        <f t="shared" si="327"/>
        <v>3677</v>
      </c>
      <c r="Q4208" s="8">
        <f t="shared" si="328"/>
        <v>301</v>
      </c>
      <c r="R4208" s="2" t="s">
        <v>50</v>
      </c>
      <c r="S4208" s="24">
        <f t="shared" si="329"/>
        <v>0.02</v>
      </c>
    </row>
    <row r="4209" spans="1:19" x14ac:dyDescent="0.25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>VLOOKUP(F4209,'Customer Info'!$A:$B,2,0)</f>
        <v>Brad</v>
      </c>
      <c r="H4209" s="6" t="str">
        <f>VLOOKUP(F4209,'Customer Info'!$A$1:$C$501,3,0)</f>
        <v>Thomas</v>
      </c>
      <c r="I4209" s="6" t="str">
        <f>VLOOKUP(F4209,Customer,5,0)</f>
        <v>Bochum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2874</v>
      </c>
      <c r="O4209" s="2">
        <v>24</v>
      </c>
      <c r="P4209" s="8">
        <f t="shared" si="327"/>
        <v>2898</v>
      </c>
      <c r="Q4209" s="8">
        <f t="shared" si="328"/>
        <v>291</v>
      </c>
      <c r="R4209" s="2" t="s">
        <v>50</v>
      </c>
      <c r="S4209" s="24">
        <f t="shared" si="329"/>
        <v>0.02</v>
      </c>
    </row>
    <row r="4210" spans="1:19" x14ac:dyDescent="0.25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>VLOOKUP(F4210,'Customer Info'!$A:$B,2,0)</f>
        <v>Adrian</v>
      </c>
      <c r="H4210" s="6" t="str">
        <f>VLOOKUP(F4210,'Customer Info'!$A$1:$C$501,3,0)</f>
        <v>Barton</v>
      </c>
      <c r="I4210" s="6" t="str">
        <f>VLOOKUP(F4210,Customer,5,0)</f>
        <v>Zigong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154</v>
      </c>
      <c r="O4210" s="2">
        <v>10</v>
      </c>
      <c r="P4210" s="8">
        <f t="shared" si="327"/>
        <v>164</v>
      </c>
      <c r="Q4210" s="8">
        <f t="shared" si="328"/>
        <v>8</v>
      </c>
      <c r="R4210" s="2" t="s">
        <v>50</v>
      </c>
      <c r="S4210" s="24">
        <f t="shared" si="329"/>
        <v>0.02</v>
      </c>
    </row>
    <row r="4211" spans="1:19" x14ac:dyDescent="0.25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>VLOOKUP(F4211,'Customer Info'!$A:$B,2,0)</f>
        <v>Carl</v>
      </c>
      <c r="H4211" s="6" t="str">
        <f>VLOOKUP(F4211,'Customer Info'!$A$1:$C$501,3,0)</f>
        <v>Weiss</v>
      </c>
      <c r="I4211" s="6" t="str">
        <f>VLOOKUP(F4211,Customer,5,0)</f>
        <v>Delhi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14130</v>
      </c>
      <c r="O4211" s="2">
        <v>40</v>
      </c>
      <c r="P4211" s="8">
        <f t="shared" si="327"/>
        <v>14170</v>
      </c>
      <c r="Q4211" s="8">
        <f t="shared" si="328"/>
        <v>1040</v>
      </c>
      <c r="R4211" s="2" t="s">
        <v>26</v>
      </c>
      <c r="S4211" s="24">
        <f t="shared" si="329"/>
        <v>0.05</v>
      </c>
    </row>
    <row r="4212" spans="1:19" x14ac:dyDescent="0.25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>VLOOKUP(F4212,'Customer Info'!$A:$B,2,0)</f>
        <v>Sam</v>
      </c>
      <c r="H4212" s="6" t="str">
        <f>VLOOKUP(F4212,'Customer Info'!$A$1:$C$501,3,0)</f>
        <v>Craven</v>
      </c>
      <c r="I4212" s="6" t="str">
        <f>VLOOKUP(F4212,Customer,5,0)</f>
        <v>Hyderabad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16170</v>
      </c>
      <c r="O4212" s="2">
        <v>74</v>
      </c>
      <c r="P4212" s="8">
        <f t="shared" si="327"/>
        <v>16244</v>
      </c>
      <c r="Q4212" s="8">
        <f t="shared" si="328"/>
        <v>1890</v>
      </c>
      <c r="R4212" s="2" t="s">
        <v>50</v>
      </c>
      <c r="S4212" s="24">
        <f t="shared" si="329"/>
        <v>0.05</v>
      </c>
    </row>
    <row r="4213" spans="1:19" x14ac:dyDescent="0.25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>VLOOKUP(F4213,'Customer Info'!$A:$B,2,0)</f>
        <v>Mike</v>
      </c>
      <c r="H4213" s="6" t="str">
        <f>VLOOKUP(F4213,'Customer Info'!$A$1:$C$501,3,0)</f>
        <v>Pelletier</v>
      </c>
      <c r="I4213" s="6" t="str">
        <f>VLOOKUP(F4213,Customer,5,0)</f>
        <v>Jakarta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1824</v>
      </c>
      <c r="O4213" s="2">
        <v>48</v>
      </c>
      <c r="P4213" s="8">
        <f t="shared" si="327"/>
        <v>1872</v>
      </c>
      <c r="Q4213" s="8">
        <f t="shared" si="328"/>
        <v>104</v>
      </c>
      <c r="R4213" s="2" t="s">
        <v>50</v>
      </c>
      <c r="S4213" s="24">
        <f t="shared" si="329"/>
        <v>0.02</v>
      </c>
    </row>
    <row r="4214" spans="1:19" x14ac:dyDescent="0.25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>VLOOKUP(F4214,'Customer Info'!$A:$B,2,0)</f>
        <v>Nick</v>
      </c>
      <c r="H4214" s="6" t="str">
        <f>VLOOKUP(F4214,'Customer Info'!$A$1:$C$501,3,0)</f>
        <v>Radford</v>
      </c>
      <c r="I4214" s="6" t="str">
        <f>VLOOKUP(F4214,Customer,5,0)</f>
        <v>Lucknow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2976</v>
      </c>
      <c r="O4214" s="2">
        <v>72</v>
      </c>
      <c r="P4214" s="8">
        <f t="shared" si="327"/>
        <v>3048</v>
      </c>
      <c r="Q4214" s="8">
        <f t="shared" si="328"/>
        <v>192</v>
      </c>
      <c r="R4214" s="2" t="s">
        <v>28</v>
      </c>
      <c r="S4214" s="24">
        <f t="shared" si="329"/>
        <v>0.02</v>
      </c>
    </row>
    <row r="4215" spans="1:19" x14ac:dyDescent="0.25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>VLOOKUP(F4215,'Customer Info'!$A:$B,2,0)</f>
        <v>Steven</v>
      </c>
      <c r="H4215" s="6" t="str">
        <f>VLOOKUP(F4215,'Customer Info'!$A$1:$C$501,3,0)</f>
        <v>Cartwright</v>
      </c>
      <c r="I4215" s="6" t="str">
        <f>VLOOKUP(F4215,Customer,5,0)</f>
        <v>Newcastle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1464</v>
      </c>
      <c r="O4215" s="2">
        <v>30</v>
      </c>
      <c r="P4215" s="8">
        <f t="shared" si="327"/>
        <v>1494</v>
      </c>
      <c r="Q4215" s="8">
        <f t="shared" si="328"/>
        <v>88</v>
      </c>
      <c r="R4215" s="2" t="s">
        <v>50</v>
      </c>
      <c r="S4215" s="24">
        <f t="shared" si="329"/>
        <v>0.02</v>
      </c>
    </row>
    <row r="4216" spans="1:19" x14ac:dyDescent="0.25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>VLOOKUP(F4216,'Customer Info'!$A:$B,2,0)</f>
        <v>Dorothy</v>
      </c>
      <c r="H4216" s="6" t="str">
        <f>VLOOKUP(F4216,'Customer Info'!$A$1:$C$501,3,0)</f>
        <v>Badders</v>
      </c>
      <c r="I4216" s="6" t="str">
        <f>VLOOKUP(F4216,Customer,5,0)</f>
        <v>Nanning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7361</v>
      </c>
      <c r="O4216" s="2">
        <v>93</v>
      </c>
      <c r="P4216" s="8">
        <f t="shared" si="327"/>
        <v>7454</v>
      </c>
      <c r="Q4216" s="8">
        <f t="shared" si="328"/>
        <v>474</v>
      </c>
      <c r="R4216" s="2" t="s">
        <v>50</v>
      </c>
      <c r="S4216" s="24">
        <f t="shared" si="329"/>
        <v>0.05</v>
      </c>
    </row>
    <row r="4217" spans="1:19" x14ac:dyDescent="0.25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>VLOOKUP(F4217,'Customer Info'!$A:$B,2,0)</f>
        <v>Alex</v>
      </c>
      <c r="H4217" s="6" t="str">
        <f>VLOOKUP(F4217,'Customer Info'!$A$1:$C$501,3,0)</f>
        <v>Avila</v>
      </c>
      <c r="I4217" s="6" t="str">
        <f>VLOOKUP(F4217,Customer,5,0)</f>
        <v>Agra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3302</v>
      </c>
      <c r="O4217" s="2">
        <v>26</v>
      </c>
      <c r="P4217" s="8">
        <f t="shared" si="327"/>
        <v>3328</v>
      </c>
      <c r="Q4217" s="8">
        <f t="shared" si="328"/>
        <v>94</v>
      </c>
      <c r="R4217" s="2" t="s">
        <v>28</v>
      </c>
      <c r="S4217" s="24">
        <f t="shared" si="329"/>
        <v>0.02</v>
      </c>
    </row>
    <row r="4218" spans="1:19" x14ac:dyDescent="0.25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>VLOOKUP(F4218,'Customer Info'!$A:$B,2,0)</f>
        <v>Sam</v>
      </c>
      <c r="H4218" s="6" t="str">
        <f>VLOOKUP(F4218,'Customer Info'!$A$1:$C$501,3,0)</f>
        <v>Zeldin</v>
      </c>
      <c r="I4218" s="6" t="str">
        <f>VLOOKUP(F4218,Customer,5,0)</f>
        <v>Yanji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 r="P4218" s="8">
        <f t="shared" si="327"/>
        <v>18888</v>
      </c>
      <c r="Q4218" s="8">
        <f t="shared" si="328"/>
        <v>543</v>
      </c>
      <c r="R4218" s="2" t="s">
        <v>28</v>
      </c>
      <c r="S4218" s="24">
        <f t="shared" si="329"/>
        <v>0.05</v>
      </c>
    </row>
    <row r="4219" spans="1:19" x14ac:dyDescent="0.25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>VLOOKUP(F4219,'Customer Info'!$A:$B,2,0)</f>
        <v>Shui</v>
      </c>
      <c r="H4219" s="6" t="str">
        <f>VLOOKUP(F4219,'Customer Info'!$A$1:$C$501,3,0)</f>
        <v>Tom</v>
      </c>
      <c r="I4219" s="6" t="str">
        <f>VLOOKUP(F4219,Customer,5,0)</f>
        <v>Jakarta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14722</v>
      </c>
      <c r="O4219" s="2">
        <v>99</v>
      </c>
      <c r="P4219" s="8">
        <f t="shared" si="327"/>
        <v>14821</v>
      </c>
      <c r="Q4219" s="8">
        <f t="shared" si="328"/>
        <v>948</v>
      </c>
      <c r="R4219" s="2" t="s">
        <v>50</v>
      </c>
      <c r="S4219" s="24">
        <f t="shared" si="329"/>
        <v>0.05</v>
      </c>
    </row>
    <row r="4220" spans="1:19" x14ac:dyDescent="0.25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>VLOOKUP(F4220,'Customer Info'!$A:$B,2,0)</f>
        <v>Bill</v>
      </c>
      <c r="H4220" s="6" t="str">
        <f>VLOOKUP(F4220,'Customer Info'!$A$1:$C$501,3,0)</f>
        <v>Eplett</v>
      </c>
      <c r="I4220" s="6" t="str">
        <f>VLOOKUP(F4220,Customer,5,0)</f>
        <v>Newcastle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4310</v>
      </c>
      <c r="O4220" s="2">
        <v>56</v>
      </c>
      <c r="P4220" s="8">
        <f t="shared" si="327"/>
        <v>4366</v>
      </c>
      <c r="Q4220" s="8">
        <f t="shared" si="328"/>
        <v>282</v>
      </c>
      <c r="R4220" s="2" t="s">
        <v>50</v>
      </c>
      <c r="S4220" s="24">
        <f t="shared" si="329"/>
        <v>0.02</v>
      </c>
    </row>
    <row r="4221" spans="1:19" x14ac:dyDescent="0.25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>VLOOKUP(F4221,'Customer Info'!$A:$B,2,0)</f>
        <v>Ted</v>
      </c>
      <c r="H4221" s="6" t="str">
        <f>VLOOKUP(F4221,'Customer Info'!$A$1:$C$501,3,0)</f>
        <v>Trevino</v>
      </c>
      <c r="I4221" s="6" t="str">
        <f>VLOOKUP(F4221,Customer,5,0)</f>
        <v>Bendigo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171132</v>
      </c>
      <c r="O4221" s="2">
        <v>52</v>
      </c>
      <c r="P4221" s="8">
        <f t="shared" si="327"/>
        <v>171184</v>
      </c>
      <c r="Q4221" s="8">
        <f t="shared" si="328"/>
        <v>12828</v>
      </c>
      <c r="R4221" s="2" t="s">
        <v>50</v>
      </c>
      <c r="S4221" s="24">
        <f t="shared" si="329"/>
        <v>0.12</v>
      </c>
    </row>
    <row r="4222" spans="1:19" x14ac:dyDescent="0.25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>VLOOKUP(F4222,'Customer Info'!$A:$B,2,0)</f>
        <v>Gary</v>
      </c>
      <c r="H4222" s="6" t="str">
        <f>VLOOKUP(F4222,'Customer Info'!$A$1:$C$501,3,0)</f>
        <v>Zandusky</v>
      </c>
      <c r="I4222" s="6" t="str">
        <f>VLOOKUP(F4222,Customer,5,0)</f>
        <v>Aligarh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202</v>
      </c>
      <c r="O4222" s="2">
        <v>10</v>
      </c>
      <c r="P4222" s="8">
        <f t="shared" si="327"/>
        <v>212</v>
      </c>
      <c r="Q4222" s="8">
        <f t="shared" si="328"/>
        <v>6</v>
      </c>
      <c r="R4222" s="2" t="s">
        <v>50</v>
      </c>
      <c r="S4222" s="24">
        <f t="shared" si="329"/>
        <v>0.02</v>
      </c>
    </row>
    <row r="4223" spans="1:19" x14ac:dyDescent="0.25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>VLOOKUP(F4223,'Customer Info'!$A:$B,2,0)</f>
        <v>Tamara</v>
      </c>
      <c r="H4223" s="6" t="str">
        <f>VLOOKUP(F4223,'Customer Info'!$A$1:$C$501,3,0)</f>
        <v>Chand</v>
      </c>
      <c r="I4223" s="6" t="str">
        <f>VLOOKUP(F4223,Customer,5,0)</f>
        <v>Canberra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8351</v>
      </c>
      <c r="O4223" s="2">
        <v>21</v>
      </c>
      <c r="P4223" s="8">
        <f t="shared" si="327"/>
        <v>8372</v>
      </c>
      <c r="Q4223" s="8">
        <f t="shared" si="328"/>
        <v>318</v>
      </c>
      <c r="R4223" s="2" t="s">
        <v>28</v>
      </c>
      <c r="S4223" s="24">
        <f t="shared" si="329"/>
        <v>0.05</v>
      </c>
    </row>
    <row r="4224" spans="1:19" x14ac:dyDescent="0.25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>VLOOKUP(F4224,'Customer Info'!$A:$B,2,0)</f>
        <v>Max</v>
      </c>
      <c r="H4224" s="6" t="str">
        <f>VLOOKUP(F4224,'Customer Info'!$A$1:$C$501,3,0)</f>
        <v>Ludwig</v>
      </c>
      <c r="I4224" s="6" t="str">
        <f>VLOOKUP(F4224,Customer,5,0)</f>
        <v>Cirebon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315</v>
      </c>
      <c r="O4224" s="2">
        <v>10</v>
      </c>
      <c r="P4224" s="8">
        <f t="shared" si="327"/>
        <v>325</v>
      </c>
      <c r="Q4224" s="8">
        <f t="shared" si="328"/>
        <v>20</v>
      </c>
      <c r="R4224" s="2" t="s">
        <v>28</v>
      </c>
      <c r="S4224" s="24">
        <f t="shared" si="329"/>
        <v>0.02</v>
      </c>
    </row>
    <row r="4225" spans="1:19" x14ac:dyDescent="0.25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>VLOOKUP(F4225,'Customer Info'!$A:$B,2,0)</f>
        <v>Gary</v>
      </c>
      <c r="H4225" s="6" t="str">
        <f>VLOOKUP(F4225,'Customer Info'!$A$1:$C$501,3,0)</f>
        <v>Zandusky</v>
      </c>
      <c r="I4225" s="6" t="str">
        <f>VLOOKUP(F4225,Customer,5,0)</f>
        <v>Aligarh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4684</v>
      </c>
      <c r="O4225" s="2">
        <v>96</v>
      </c>
      <c r="P4225" s="8">
        <f t="shared" si="327"/>
        <v>4780</v>
      </c>
      <c r="Q4225" s="8">
        <f t="shared" si="328"/>
        <v>264</v>
      </c>
      <c r="R4225" s="2" t="s">
        <v>50</v>
      </c>
      <c r="S4225" s="24">
        <f t="shared" si="329"/>
        <v>0.02</v>
      </c>
    </row>
    <row r="4226" spans="1:19" x14ac:dyDescent="0.25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>VLOOKUP(F4226,'Customer Info'!$A:$B,2,0)</f>
        <v>Bill</v>
      </c>
      <c r="H4226" s="6" t="str">
        <f>VLOOKUP(F4226,'Customer Info'!$A$1:$C$501,3,0)</f>
        <v>Eplett</v>
      </c>
      <c r="I4226" s="6" t="str">
        <f>VLOOKUP(F4226,Customer,5,0)</f>
        <v>Newcastle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207</v>
      </c>
      <c r="O4226" s="2">
        <v>10</v>
      </c>
      <c r="P4226" s="8">
        <f t="shared" si="327"/>
        <v>217</v>
      </c>
      <c r="Q4226" s="8">
        <f t="shared" si="328"/>
        <v>15</v>
      </c>
      <c r="R4226" s="2" t="s">
        <v>28</v>
      </c>
      <c r="S4226" s="24">
        <f t="shared" si="329"/>
        <v>0.02</v>
      </c>
    </row>
    <row r="4227" spans="1:19" x14ac:dyDescent="0.25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>VLOOKUP(F4227,'Customer Info'!$A:$B,2,0)</f>
        <v>Mike</v>
      </c>
      <c r="H4227" s="6" t="str">
        <f>VLOOKUP(F4227,'Customer Info'!$A$1:$C$501,3,0)</f>
        <v>Vittorini</v>
      </c>
      <c r="I4227" s="6" t="str">
        <f>VLOOKUP(F4227,Customer,5,0)</f>
        <v>Naihati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8478</v>
      </c>
      <c r="O4227" s="2">
        <v>49</v>
      </c>
      <c r="P4227" s="8">
        <f t="shared" si="327"/>
        <v>8527</v>
      </c>
      <c r="Q4227" s="8">
        <f t="shared" si="328"/>
        <v>474</v>
      </c>
      <c r="R4227" s="2" t="s">
        <v>28</v>
      </c>
      <c r="S4227" s="24">
        <f t="shared" si="329"/>
        <v>0.05</v>
      </c>
    </row>
    <row r="4228" spans="1:19" x14ac:dyDescent="0.25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>VLOOKUP(F4228,'Customer Info'!$A:$B,2,0)</f>
        <v>Hunter</v>
      </c>
      <c r="H4228" s="6" t="str">
        <f>VLOOKUP(F4228,'Customer Info'!$A$1:$C$501,3,0)</f>
        <v>Lopez</v>
      </c>
      <c r="I4228" s="6" t="str">
        <f>VLOOKUP(F4228,Customer,5,0)</f>
        <v>Wollongong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14796</v>
      </c>
      <c r="O4228" s="2">
        <v>64</v>
      </c>
      <c r="P4228" s="8">
        <f t="shared" si="327"/>
        <v>14860</v>
      </c>
      <c r="Q4228" s="8">
        <f t="shared" si="328"/>
        <v>696</v>
      </c>
      <c r="R4228" s="2" t="s">
        <v>50</v>
      </c>
      <c r="S4228" s="24">
        <f t="shared" si="329"/>
        <v>0.05</v>
      </c>
    </row>
    <row r="4229" spans="1:19" x14ac:dyDescent="0.25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>VLOOKUP(F4229,'Customer Info'!$A:$B,2,0)</f>
        <v>Quincy</v>
      </c>
      <c r="H4229" s="6" t="str">
        <f>VLOOKUP(F4229,'Customer Info'!$A$1:$C$501,3,0)</f>
        <v>Jones</v>
      </c>
      <c r="I4229" s="6" t="str">
        <f>VLOOKUP(F4229,Customer,5,0)</f>
        <v>Gold Coast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2829</v>
      </c>
      <c r="O4229" s="2">
        <v>39</v>
      </c>
      <c r="P4229" s="8">
        <f t="shared" si="327"/>
        <v>2868</v>
      </c>
      <c r="Q4229" s="8">
        <f t="shared" si="328"/>
        <v>233</v>
      </c>
      <c r="R4229" s="2" t="s">
        <v>50</v>
      </c>
      <c r="S4229" s="24">
        <f t="shared" si="329"/>
        <v>0.02</v>
      </c>
    </row>
    <row r="4230" spans="1:19" x14ac:dyDescent="0.25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>VLOOKUP(F4230,'Customer Info'!$A:$B,2,0)</f>
        <v>Craig</v>
      </c>
      <c r="H4230" s="6" t="str">
        <f>VLOOKUP(F4230,'Customer Info'!$A$1:$C$501,3,0)</f>
        <v>Carroll</v>
      </c>
      <c r="I4230" s="6" t="str">
        <f>VLOOKUP(F4230,Customer,5,0)</f>
        <v>Augsburg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1548</v>
      </c>
      <c r="O4230" s="2">
        <v>22</v>
      </c>
      <c r="P4230" s="8">
        <f t="shared" si="327"/>
        <v>1570</v>
      </c>
      <c r="Q4230" s="8">
        <f t="shared" si="328"/>
        <v>129</v>
      </c>
      <c r="R4230" s="2" t="s">
        <v>50</v>
      </c>
      <c r="S4230" s="24">
        <f t="shared" si="329"/>
        <v>0.02</v>
      </c>
    </row>
    <row r="4231" spans="1:19" x14ac:dyDescent="0.25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>VLOOKUP(F4231,'Customer Info'!$A:$B,2,0)</f>
        <v>Caroline</v>
      </c>
      <c r="H4231" s="6" t="str">
        <f>VLOOKUP(F4231,'Customer Info'!$A$1:$C$501,3,0)</f>
        <v>Jumper</v>
      </c>
      <c r="I4231" s="6" t="str">
        <f>VLOOKUP(F4231,Customer,5,0)</f>
        <v>Xuzhou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8968</v>
      </c>
      <c r="O4231" s="2">
        <v>75</v>
      </c>
      <c r="P4231" s="8">
        <f t="shared" si="327"/>
        <v>9043</v>
      </c>
      <c r="Q4231" s="8">
        <f t="shared" si="328"/>
        <v>668</v>
      </c>
      <c r="R4231" s="2" t="s">
        <v>28</v>
      </c>
      <c r="S4231" s="24">
        <f t="shared" si="329"/>
        <v>0.05</v>
      </c>
    </row>
    <row r="4232" spans="1:19" x14ac:dyDescent="0.25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>VLOOKUP(F4232,'Customer Info'!$A:$B,2,0)</f>
        <v>Laurel</v>
      </c>
      <c r="H4232" s="6" t="str">
        <f>VLOOKUP(F4232,'Customer Info'!$A$1:$C$501,3,0)</f>
        <v>Elliston</v>
      </c>
      <c r="I4232" s="6" t="str">
        <f>VLOOKUP(F4232,Customer,5,0)</f>
        <v>Tasikmalaya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168</v>
      </c>
      <c r="O4232" s="2">
        <v>10</v>
      </c>
      <c r="P4232" s="8">
        <f t="shared" si="327"/>
        <v>178</v>
      </c>
      <c r="Q4232" s="8">
        <f t="shared" si="328"/>
        <v>6</v>
      </c>
      <c r="R4232" s="2" t="s">
        <v>28</v>
      </c>
      <c r="S4232" s="24">
        <f t="shared" si="329"/>
        <v>0.02</v>
      </c>
    </row>
    <row r="4233" spans="1:19" x14ac:dyDescent="0.25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>VLOOKUP(F4233,'Customer Info'!$A:$B,2,0)</f>
        <v>Shahid</v>
      </c>
      <c r="H4233" s="6" t="str">
        <f>VLOOKUP(F4233,'Customer Info'!$A$1:$C$501,3,0)</f>
        <v>Collister</v>
      </c>
      <c r="I4233" s="6" t="str">
        <f>VLOOKUP(F4233,Customer,5,0)</f>
        <v>Leipzig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4784</v>
      </c>
      <c r="O4233" s="2">
        <v>55</v>
      </c>
      <c r="P4233" s="8">
        <f t="shared" si="327"/>
        <v>4839</v>
      </c>
      <c r="Q4233" s="8">
        <f t="shared" si="328"/>
        <v>266</v>
      </c>
      <c r="R4233" s="2" t="s">
        <v>26</v>
      </c>
      <c r="S4233" s="24">
        <f t="shared" si="329"/>
        <v>0.02</v>
      </c>
    </row>
    <row r="4234" spans="1:19" x14ac:dyDescent="0.25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>VLOOKUP(F4234,'Customer Info'!$A:$B,2,0)</f>
        <v>Eugene</v>
      </c>
      <c r="H4234" s="6" t="str">
        <f>VLOOKUP(F4234,'Customer Info'!$A$1:$C$501,3,0)</f>
        <v>Moren</v>
      </c>
      <c r="I4234" s="6" t="str">
        <f>VLOOKUP(F4234,Customer,5,0)</f>
        <v>Patiala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5845</v>
      </c>
      <c r="O4234" s="2">
        <v>86</v>
      </c>
      <c r="P4234" s="8">
        <f t="shared" si="327"/>
        <v>5931</v>
      </c>
      <c r="Q4234" s="8">
        <f t="shared" si="328"/>
        <v>485</v>
      </c>
      <c r="R4234" s="2" t="s">
        <v>50</v>
      </c>
      <c r="S4234" s="24">
        <f t="shared" si="329"/>
        <v>0.05</v>
      </c>
    </row>
    <row r="4235" spans="1:19" x14ac:dyDescent="0.25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>VLOOKUP(F4235,'Customer Info'!$A:$B,2,0)</f>
        <v>Troy</v>
      </c>
      <c r="H4235" s="6" t="str">
        <f>VLOOKUP(F4235,'Customer Info'!$A$1:$C$501,3,0)</f>
        <v>Staebel</v>
      </c>
      <c r="I4235" s="6" t="str">
        <f>VLOOKUP(F4235,Customer,5,0)</f>
        <v>Canberra</v>
      </c>
      <c r="J4235" s="2">
        <v>531</v>
      </c>
      <c r="K4235" s="2">
        <v>487</v>
      </c>
      <c r="L4235" s="2">
        <v>6</v>
      </c>
      <c r="M4235" s="7">
        <f t="shared" ref="M4235:M4298" si="330">K4235*L4235</f>
        <v>2922</v>
      </c>
      <c r="N4235" s="7">
        <f t="shared" ref="N4235:N4298" si="331">J4235*L4235</f>
        <v>3186</v>
      </c>
      <c r="O4235" s="2">
        <v>30</v>
      </c>
      <c r="P4235" s="8">
        <f t="shared" ref="P4235:P4298" si="332">N4235+O4235</f>
        <v>3216</v>
      </c>
      <c r="Q4235" s="8">
        <f t="shared" ref="Q4235:Q4298" si="333">N4235-M4235</f>
        <v>264</v>
      </c>
      <c r="R4235" s="2" t="s">
        <v>28</v>
      </c>
      <c r="S4235" s="24">
        <f t="shared" ref="S4235:S4298" si="334">VLOOKUP(N4235,$T$1:$U$7,2,TRUE)</f>
        <v>0.02</v>
      </c>
    </row>
    <row r="4236" spans="1:19" x14ac:dyDescent="0.25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>VLOOKUP(F4236,'Customer Info'!$A:$B,2,0)</f>
        <v>Maureen</v>
      </c>
      <c r="H4236" s="6" t="str">
        <f>VLOOKUP(F4236,'Customer Info'!$A$1:$C$501,3,0)</f>
        <v>Fritzler</v>
      </c>
      <c r="I4236" s="6" t="str">
        <f>VLOOKUP(F4236,Customer,5,0)</f>
        <v>BadenBaden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8">
        <f t="shared" si="332"/>
        <v>944</v>
      </c>
      <c r="Q4236" s="8">
        <f t="shared" si="333"/>
        <v>73</v>
      </c>
      <c r="R4236" s="2" t="s">
        <v>28</v>
      </c>
      <c r="S4236" s="24">
        <f t="shared" si="334"/>
        <v>0.02</v>
      </c>
    </row>
    <row r="4237" spans="1:19" x14ac:dyDescent="0.25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>VLOOKUP(F4237,'Customer Info'!$A:$B,2,0)</f>
        <v>Delfina</v>
      </c>
      <c r="H4237" s="6" t="str">
        <f>VLOOKUP(F4237,'Customer Info'!$A$1:$C$501,3,0)</f>
        <v>Latchford</v>
      </c>
      <c r="I4237" s="6" t="str">
        <f>VLOOKUP(F4237,Customer,5,0)</f>
        <v>Yogyakarta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8">
        <f t="shared" si="332"/>
        <v>3098</v>
      </c>
      <c r="Q4237" s="8">
        <f t="shared" si="333"/>
        <v>30</v>
      </c>
      <c r="R4237" s="2" t="s">
        <v>28</v>
      </c>
      <c r="S4237" s="24">
        <f t="shared" si="334"/>
        <v>0.02</v>
      </c>
    </row>
    <row r="4238" spans="1:19" x14ac:dyDescent="0.25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>VLOOKUP(F4238,'Customer Info'!$A:$B,2,0)</f>
        <v>Gary</v>
      </c>
      <c r="H4238" s="6" t="str">
        <f>VLOOKUP(F4238,'Customer Info'!$A$1:$C$501,3,0)</f>
        <v>Hansen</v>
      </c>
      <c r="I4238" s="6" t="str">
        <f>VLOOKUP(F4238,Customer,5,0)</f>
        <v>Dewas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8">
        <f t="shared" si="332"/>
        <v>598</v>
      </c>
      <c r="Q4238" s="8">
        <f t="shared" si="333"/>
        <v>52</v>
      </c>
      <c r="R4238" s="2" t="s">
        <v>28</v>
      </c>
      <c r="S4238" s="24">
        <f t="shared" si="334"/>
        <v>0.02</v>
      </c>
    </row>
    <row r="4239" spans="1:19" x14ac:dyDescent="0.25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>VLOOKUP(F4239,'Customer Info'!$A:$B,2,0)</f>
        <v>Ritsa</v>
      </c>
      <c r="H4239" s="6" t="str">
        <f>VLOOKUP(F4239,'Customer Info'!$A$1:$C$501,3,0)</f>
        <v>Hightower</v>
      </c>
      <c r="I4239" s="6" t="str">
        <f>VLOOKUP(F4239,Customer,5,0)</f>
        <v>Datong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8">
        <f t="shared" si="332"/>
        <v>1658</v>
      </c>
      <c r="Q4239" s="8">
        <f t="shared" si="333"/>
        <v>160</v>
      </c>
      <c r="R4239" s="2" t="s">
        <v>28</v>
      </c>
      <c r="S4239" s="24">
        <f t="shared" si="334"/>
        <v>0.02</v>
      </c>
    </row>
    <row r="4240" spans="1:19" x14ac:dyDescent="0.25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>VLOOKUP(F4240,'Customer Info'!$A:$B,2,0)</f>
        <v>Duane</v>
      </c>
      <c r="H4240" s="6" t="str">
        <f>VLOOKUP(F4240,'Customer Info'!$A$1:$C$501,3,0)</f>
        <v>Benoit</v>
      </c>
      <c r="I4240" s="6" t="str">
        <f>VLOOKUP(F4240,Customer,5,0)</f>
        <v>Tamworth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1545</v>
      </c>
      <c r="O4240" s="2">
        <v>67</v>
      </c>
      <c r="P4240" s="8">
        <f t="shared" si="332"/>
        <v>1612</v>
      </c>
      <c r="Q4240" s="8">
        <f t="shared" si="333"/>
        <v>59</v>
      </c>
      <c r="R4240" s="2" t="s">
        <v>28</v>
      </c>
      <c r="S4240" s="24">
        <f t="shared" si="334"/>
        <v>0.02</v>
      </c>
    </row>
    <row r="4241" spans="1:19" x14ac:dyDescent="0.25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>VLOOKUP(F4241,'Customer Info'!$A:$B,2,0)</f>
        <v>Sanjit</v>
      </c>
      <c r="H4241" s="6" t="str">
        <f>VLOOKUP(F4241,'Customer Info'!$A$1:$C$501,3,0)</f>
        <v>Chand</v>
      </c>
      <c r="I4241" s="6" t="str">
        <f>VLOOKUP(F4241,Customer,5,0)</f>
        <v>Thiruvananthapuram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222</v>
      </c>
      <c r="O4241" s="2">
        <v>82</v>
      </c>
      <c r="P4241" s="8">
        <f t="shared" si="332"/>
        <v>304</v>
      </c>
      <c r="Q4241" s="8">
        <f t="shared" si="333"/>
        <v>18</v>
      </c>
      <c r="R4241" s="2" t="s">
        <v>28</v>
      </c>
      <c r="S4241" s="24">
        <f t="shared" si="334"/>
        <v>0.02</v>
      </c>
    </row>
    <row r="4242" spans="1:19" x14ac:dyDescent="0.25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>VLOOKUP(F4242,'Customer Info'!$A:$B,2,0)</f>
        <v>Annie</v>
      </c>
      <c r="H4242" s="6" t="str">
        <f>VLOOKUP(F4242,'Customer Info'!$A$1:$C$501,3,0)</f>
        <v>Zypern</v>
      </c>
      <c r="I4242" s="6" t="str">
        <f>VLOOKUP(F4242,Customer,5,0)</f>
        <v>Brisbane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6354</v>
      </c>
      <c r="O4242" s="2">
        <v>71</v>
      </c>
      <c r="P4242" s="8">
        <f t="shared" si="332"/>
        <v>6425</v>
      </c>
      <c r="Q4242" s="8">
        <f t="shared" si="333"/>
        <v>585</v>
      </c>
      <c r="R4242" s="2" t="s">
        <v>28</v>
      </c>
      <c r="S4242" s="24">
        <f t="shared" si="334"/>
        <v>0.05</v>
      </c>
    </row>
    <row r="4243" spans="1:19" x14ac:dyDescent="0.25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>VLOOKUP(F4243,'Customer Info'!$A:$B,2,0)</f>
        <v>Alejandro</v>
      </c>
      <c r="H4243" s="6" t="str">
        <f>VLOOKUP(F4243,'Customer Info'!$A$1:$C$501,3,0)</f>
        <v>Grove</v>
      </c>
      <c r="I4243" s="6" t="str">
        <f>VLOOKUP(F4243,Customer,5,0)</f>
        <v>Whyalla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2020</v>
      </c>
      <c r="O4243" s="2">
        <v>58</v>
      </c>
      <c r="P4243" s="8">
        <f t="shared" si="332"/>
        <v>2078</v>
      </c>
      <c r="Q4243" s="8">
        <f t="shared" si="333"/>
        <v>165</v>
      </c>
      <c r="R4243" s="2" t="s">
        <v>56</v>
      </c>
      <c r="S4243" s="24">
        <f t="shared" si="334"/>
        <v>0.02</v>
      </c>
    </row>
    <row r="4244" spans="1:19" x14ac:dyDescent="0.25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>VLOOKUP(F4244,'Customer Info'!$A:$B,2,0)</f>
        <v>Roger</v>
      </c>
      <c r="H4244" s="6" t="str">
        <f>VLOOKUP(F4244,'Customer Info'!$A$1:$C$501,3,0)</f>
        <v>Barcio</v>
      </c>
      <c r="I4244" s="6" t="str">
        <f>VLOOKUP(F4244,Customer,5,0)</f>
        <v>Celle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41174</v>
      </c>
      <c r="O4244" s="2">
        <v>49</v>
      </c>
      <c r="P4244" s="8">
        <f t="shared" si="332"/>
        <v>41223</v>
      </c>
      <c r="Q4244" s="8">
        <f t="shared" si="333"/>
        <v>1183</v>
      </c>
      <c r="R4244" s="2" t="s">
        <v>50</v>
      </c>
      <c r="S4244" s="24">
        <f t="shared" si="334"/>
        <v>7.0000000000000007E-2</v>
      </c>
    </row>
    <row r="4245" spans="1:19" x14ac:dyDescent="0.25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>VLOOKUP(F4245,'Customer Info'!$A:$B,2,0)</f>
        <v>Filia</v>
      </c>
      <c r="H4245" s="6" t="str">
        <f>VLOOKUP(F4245,'Customer Info'!$A$1:$C$501,3,0)</f>
        <v>McAdams</v>
      </c>
      <c r="I4245" s="6" t="str">
        <f>VLOOKUP(F4245,Customer,5,0)</f>
        <v>Lucknow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7840</v>
      </c>
      <c r="O4245" s="2">
        <v>52</v>
      </c>
      <c r="P4245" s="8">
        <f t="shared" si="332"/>
        <v>7892</v>
      </c>
      <c r="Q4245" s="8">
        <f t="shared" si="333"/>
        <v>365</v>
      </c>
      <c r="R4245" s="2" t="s">
        <v>26</v>
      </c>
      <c r="S4245" s="24">
        <f t="shared" si="334"/>
        <v>0.05</v>
      </c>
    </row>
    <row r="4246" spans="1:19" x14ac:dyDescent="0.25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>VLOOKUP(F4246,'Customer Info'!$A:$B,2,0)</f>
        <v>Tom</v>
      </c>
      <c r="H4246" s="6" t="str">
        <f>VLOOKUP(F4246,'Customer Info'!$A$1:$C$501,3,0)</f>
        <v>Stivers</v>
      </c>
      <c r="I4246" s="6" t="str">
        <f>VLOOKUP(F4246,Customer,5,0)</f>
        <v>Guangzhou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4845</v>
      </c>
      <c r="O4246" s="2">
        <v>47</v>
      </c>
      <c r="P4246" s="8">
        <f t="shared" si="332"/>
        <v>4892</v>
      </c>
      <c r="Q4246" s="8">
        <f t="shared" si="333"/>
        <v>270</v>
      </c>
      <c r="R4246" s="2" t="s">
        <v>50</v>
      </c>
      <c r="S4246" s="24">
        <f t="shared" si="334"/>
        <v>0.02</v>
      </c>
    </row>
    <row r="4247" spans="1:19" x14ac:dyDescent="0.25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>VLOOKUP(F4247,'Customer Info'!$A:$B,2,0)</f>
        <v>Ann</v>
      </c>
      <c r="H4247" s="6" t="str">
        <f>VLOOKUP(F4247,'Customer Info'!$A$1:$C$501,3,0)</f>
        <v>Chong</v>
      </c>
      <c r="I4247" s="6" t="str">
        <f>VLOOKUP(F4247,Customer,5,0)</f>
        <v>Sydney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2540</v>
      </c>
      <c r="O4247" s="2">
        <v>28</v>
      </c>
      <c r="P4247" s="8">
        <f t="shared" si="332"/>
        <v>2568</v>
      </c>
      <c r="Q4247" s="8">
        <f t="shared" si="333"/>
        <v>143</v>
      </c>
      <c r="R4247" s="2" t="s">
        <v>28</v>
      </c>
      <c r="S4247" s="24">
        <f t="shared" si="334"/>
        <v>0.02</v>
      </c>
    </row>
    <row r="4248" spans="1:19" x14ac:dyDescent="0.25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>VLOOKUP(F4248,'Customer Info'!$A:$B,2,0)</f>
        <v>Philip</v>
      </c>
      <c r="H4248" s="6" t="str">
        <f>VLOOKUP(F4248,'Customer Info'!$A$1:$C$501,3,0)</f>
        <v>Fox</v>
      </c>
      <c r="I4248" s="6" t="str">
        <f>VLOOKUP(F4248,Customer,5,0)</f>
        <v>Remscheid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12366</v>
      </c>
      <c r="O4248" s="2">
        <v>58</v>
      </c>
      <c r="P4248" s="8">
        <f t="shared" si="332"/>
        <v>12424</v>
      </c>
      <c r="Q4248" s="8">
        <f t="shared" si="333"/>
        <v>1023</v>
      </c>
      <c r="R4248" s="2" t="s">
        <v>28</v>
      </c>
      <c r="S4248" s="24">
        <f t="shared" si="334"/>
        <v>0.05</v>
      </c>
    </row>
    <row r="4249" spans="1:19" x14ac:dyDescent="0.25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>VLOOKUP(F4249,'Customer Info'!$A:$B,2,0)</f>
        <v>Claudia</v>
      </c>
      <c r="H4249" s="6" t="str">
        <f>VLOOKUP(F4249,'Customer Info'!$A$1:$C$501,3,0)</f>
        <v>Bergmann</v>
      </c>
      <c r="I4249" s="6" t="str">
        <f>VLOOKUP(F4249,Customer,5,0)</f>
        <v>Aschaffenburg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2155</v>
      </c>
      <c r="O4249" s="2">
        <v>34</v>
      </c>
      <c r="P4249" s="8">
        <f t="shared" si="332"/>
        <v>2189</v>
      </c>
      <c r="Q4249" s="8">
        <f t="shared" si="333"/>
        <v>141</v>
      </c>
      <c r="R4249" s="2" t="s">
        <v>28</v>
      </c>
      <c r="S4249" s="24">
        <f t="shared" si="334"/>
        <v>0.02</v>
      </c>
    </row>
    <row r="4250" spans="1:19" x14ac:dyDescent="0.25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>VLOOKUP(F4250,'Customer Info'!$A:$B,2,0)</f>
        <v>Rick</v>
      </c>
      <c r="H4250" s="6" t="str">
        <f>VLOOKUP(F4250,'Customer Info'!$A$1:$C$501,3,0)</f>
        <v>Duston</v>
      </c>
      <c r="I4250" s="6" t="str">
        <f>VLOOKUP(F4250,Customer,5,0)</f>
        <v>Bhiwandi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36144</v>
      </c>
      <c r="O4250" s="2">
        <v>91</v>
      </c>
      <c r="P4250" s="8">
        <f t="shared" si="332"/>
        <v>36235</v>
      </c>
      <c r="Q4250" s="8">
        <f t="shared" si="333"/>
        <v>3600</v>
      </c>
      <c r="R4250" s="2" t="s">
        <v>28</v>
      </c>
      <c r="S4250" s="24">
        <f t="shared" si="334"/>
        <v>7.0000000000000007E-2</v>
      </c>
    </row>
    <row r="4251" spans="1:19" x14ac:dyDescent="0.25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>VLOOKUP(F4251,'Customer Info'!$A:$B,2,0)</f>
        <v>Michelle</v>
      </c>
      <c r="H4251" s="6" t="str">
        <f>VLOOKUP(F4251,'Customer Info'!$A$1:$C$501,3,0)</f>
        <v>Tran</v>
      </c>
      <c r="I4251" s="6" t="str">
        <f>VLOOKUP(F4251,Customer,5,0)</f>
        <v>Mount Gambier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189</v>
      </c>
      <c r="O4251" s="2">
        <v>10</v>
      </c>
      <c r="P4251" s="8">
        <f t="shared" si="332"/>
        <v>199</v>
      </c>
      <c r="Q4251" s="8">
        <f t="shared" si="333"/>
        <v>12</v>
      </c>
      <c r="R4251" s="2" t="s">
        <v>28</v>
      </c>
      <c r="S4251" s="24">
        <f t="shared" si="334"/>
        <v>0.02</v>
      </c>
    </row>
    <row r="4252" spans="1:19" x14ac:dyDescent="0.25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>VLOOKUP(F4252,'Customer Info'!$A:$B,2,0)</f>
        <v>Jim</v>
      </c>
      <c r="H4252" s="6" t="str">
        <f>VLOOKUP(F4252,'Customer Info'!$A$1:$C$501,3,0)</f>
        <v>Epp</v>
      </c>
      <c r="I4252" s="6" t="str">
        <f>VLOOKUP(F4252,Customer,5,0)</f>
        <v>Qingdao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3156</v>
      </c>
      <c r="O4252" s="2">
        <v>34</v>
      </c>
      <c r="P4252" s="8">
        <f t="shared" si="332"/>
        <v>3190</v>
      </c>
      <c r="Q4252" s="8">
        <f t="shared" si="333"/>
        <v>234</v>
      </c>
      <c r="R4252" s="2" t="s">
        <v>28</v>
      </c>
      <c r="S4252" s="24">
        <f t="shared" si="334"/>
        <v>0.02</v>
      </c>
    </row>
    <row r="4253" spans="1:19" x14ac:dyDescent="0.25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>VLOOKUP(F4253,'Customer Info'!$A:$B,2,0)</f>
        <v>Rob</v>
      </c>
      <c r="H4253" s="6" t="str">
        <f>VLOOKUP(F4253,'Customer Info'!$A$1:$C$501,3,0)</f>
        <v>Haberlin</v>
      </c>
      <c r="I4253" s="6" t="str">
        <f>VLOOKUP(F4253,Customer,5,0)</f>
        <v>Harbin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154</v>
      </c>
      <c r="O4253" s="2">
        <v>10</v>
      </c>
      <c r="P4253" s="8">
        <f t="shared" si="332"/>
        <v>164</v>
      </c>
      <c r="Q4253" s="8">
        <f t="shared" si="333"/>
        <v>8</v>
      </c>
      <c r="R4253" s="2" t="s">
        <v>28</v>
      </c>
      <c r="S4253" s="24">
        <f t="shared" si="334"/>
        <v>0.02</v>
      </c>
    </row>
    <row r="4254" spans="1:19" x14ac:dyDescent="0.25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>VLOOKUP(F4254,'Customer Info'!$A:$B,2,0)</f>
        <v>Heather</v>
      </c>
      <c r="H4254" s="6" t="str">
        <f>VLOOKUP(F4254,'Customer Info'!$A$1:$C$501,3,0)</f>
        <v>Kirkland</v>
      </c>
      <c r="I4254" s="6" t="str">
        <f>VLOOKUP(F4254,Customer,5,0)</f>
        <v>Luoyang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22602</v>
      </c>
      <c r="O4254" s="2">
        <v>39</v>
      </c>
      <c r="P4254" s="8">
        <f t="shared" si="332"/>
        <v>22641</v>
      </c>
      <c r="Q4254" s="8">
        <f t="shared" si="333"/>
        <v>1284</v>
      </c>
      <c r="R4254" s="2" t="s">
        <v>28</v>
      </c>
      <c r="S4254" s="24">
        <f t="shared" si="334"/>
        <v>0.05</v>
      </c>
    </row>
    <row r="4255" spans="1:19" x14ac:dyDescent="0.25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>VLOOKUP(F4255,'Customer Info'!$A:$B,2,0)</f>
        <v>Barry</v>
      </c>
      <c r="H4255" s="6" t="str">
        <f>VLOOKUP(F4255,'Customer Info'!$A$1:$C$501,3,0)</f>
        <v>Blumstein</v>
      </c>
      <c r="I4255" s="6" t="str">
        <f>VLOOKUP(F4255,Customer,5,0)</f>
        <v>Toowoomba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78190</v>
      </c>
      <c r="O4255" s="2">
        <v>56</v>
      </c>
      <c r="P4255" s="8">
        <f t="shared" si="332"/>
        <v>78246</v>
      </c>
      <c r="Q4255" s="8">
        <f t="shared" si="333"/>
        <v>7158</v>
      </c>
      <c r="R4255" s="2" t="s">
        <v>50</v>
      </c>
      <c r="S4255" s="24">
        <f t="shared" si="334"/>
        <v>0.09</v>
      </c>
    </row>
    <row r="4256" spans="1:19" x14ac:dyDescent="0.25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>VLOOKUP(F4256,'Customer Info'!$A:$B,2,0)</f>
        <v>Rick</v>
      </c>
      <c r="H4256" s="6" t="str">
        <f>VLOOKUP(F4256,'Customer Info'!$A$1:$C$501,3,0)</f>
        <v>Reed</v>
      </c>
      <c r="I4256" s="6" t="str">
        <f>VLOOKUP(F4256,Customer,5,0)</f>
        <v>Lucknow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10085</v>
      </c>
      <c r="O4256" s="2">
        <v>74</v>
      </c>
      <c r="P4256" s="8">
        <f t="shared" si="332"/>
        <v>10159</v>
      </c>
      <c r="Q4256" s="8">
        <f t="shared" si="333"/>
        <v>915</v>
      </c>
      <c r="R4256" s="2" t="s">
        <v>50</v>
      </c>
      <c r="S4256" s="24">
        <f t="shared" si="334"/>
        <v>0.05</v>
      </c>
    </row>
    <row r="4257" spans="1:19" x14ac:dyDescent="0.25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>VLOOKUP(F4257,'Customer Info'!$A:$B,2,0)</f>
        <v>Darren</v>
      </c>
      <c r="H4257" s="6" t="str">
        <f>VLOOKUP(F4257,'Customer Info'!$A$1:$C$501,3,0)</f>
        <v>Koutras</v>
      </c>
      <c r="I4257" s="6" t="str">
        <f>VLOOKUP(F4257,Customer,5,0)</f>
        <v>Pune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1908</v>
      </c>
      <c r="O4257" s="2">
        <v>33</v>
      </c>
      <c r="P4257" s="8">
        <f t="shared" si="332"/>
        <v>1941</v>
      </c>
      <c r="Q4257" s="8">
        <f t="shared" si="333"/>
        <v>106</v>
      </c>
      <c r="R4257" s="2" t="s">
        <v>28</v>
      </c>
      <c r="S4257" s="24">
        <f t="shared" si="334"/>
        <v>0.02</v>
      </c>
    </row>
    <row r="4258" spans="1:19" x14ac:dyDescent="0.25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>VLOOKUP(F4258,'Customer Info'!$A:$B,2,0)</f>
        <v>Rick</v>
      </c>
      <c r="H4258" s="6" t="str">
        <f>VLOOKUP(F4258,'Customer Info'!$A$1:$C$501,3,0)</f>
        <v>Reed</v>
      </c>
      <c r="I4258" s="6" t="str">
        <f>VLOOKUP(F4258,Customer,5,0)</f>
        <v>Lucknow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191640</v>
      </c>
      <c r="O4258" s="2">
        <v>88</v>
      </c>
      <c r="P4258" s="8">
        <f t="shared" si="332"/>
        <v>191728</v>
      </c>
      <c r="Q4258" s="8">
        <f t="shared" si="333"/>
        <v>15820</v>
      </c>
      <c r="R4258" s="2" t="s">
        <v>50</v>
      </c>
      <c r="S4258" s="24">
        <f t="shared" si="334"/>
        <v>0.12</v>
      </c>
    </row>
    <row r="4259" spans="1:19" x14ac:dyDescent="0.25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>VLOOKUP(F4259,'Customer Info'!$A:$B,2,0)</f>
        <v>Brad</v>
      </c>
      <c r="H4259" s="6" t="str">
        <f>VLOOKUP(F4259,'Customer Info'!$A$1:$C$501,3,0)</f>
        <v>Thomas</v>
      </c>
      <c r="I4259" s="6" t="str">
        <f>VLOOKUP(F4259,Customer,5,0)</f>
        <v>Udaipur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6585</v>
      </c>
      <c r="O4259" s="2">
        <v>27</v>
      </c>
      <c r="P4259" s="8">
        <f t="shared" si="332"/>
        <v>6612</v>
      </c>
      <c r="Q4259" s="8">
        <f t="shared" si="333"/>
        <v>480</v>
      </c>
      <c r="R4259" s="2" t="s">
        <v>56</v>
      </c>
      <c r="S4259" s="24">
        <f t="shared" si="334"/>
        <v>0.05</v>
      </c>
    </row>
    <row r="4260" spans="1:19" x14ac:dyDescent="0.25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>VLOOKUP(F4260,'Customer Info'!$A:$B,2,0)</f>
        <v>Dorothy</v>
      </c>
      <c r="H4260" s="6" t="str">
        <f>VLOOKUP(F4260,'Customer Info'!$A$1:$C$501,3,0)</f>
        <v>Wardle</v>
      </c>
      <c r="I4260" s="6" t="str">
        <f>VLOOKUP(F4260,Customer,5,0)</f>
        <v>Sydney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2187</v>
      </c>
      <c r="O4260" s="2">
        <v>28</v>
      </c>
      <c r="P4260" s="8">
        <f t="shared" si="332"/>
        <v>2215</v>
      </c>
      <c r="Q4260" s="8">
        <f t="shared" si="333"/>
        <v>120</v>
      </c>
      <c r="R4260" s="2" t="s">
        <v>28</v>
      </c>
      <c r="S4260" s="24">
        <f t="shared" si="334"/>
        <v>0.02</v>
      </c>
    </row>
    <row r="4261" spans="1:19" x14ac:dyDescent="0.25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>VLOOKUP(F4261,'Customer Info'!$A:$B,2,0)</f>
        <v>Sung</v>
      </c>
      <c r="H4261" s="6" t="str">
        <f>VLOOKUP(F4261,'Customer Info'!$A$1:$C$501,3,0)</f>
        <v>Shariari</v>
      </c>
      <c r="I4261" s="6" t="str">
        <f>VLOOKUP(F4261,Customer,5,0)</f>
        <v>Solapur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5902</v>
      </c>
      <c r="O4261" s="2">
        <v>55</v>
      </c>
      <c r="P4261" s="8">
        <f t="shared" si="332"/>
        <v>5957</v>
      </c>
      <c r="Q4261" s="8">
        <f t="shared" si="333"/>
        <v>330</v>
      </c>
      <c r="R4261" s="2" t="s">
        <v>28</v>
      </c>
      <c r="S4261" s="24">
        <f t="shared" si="334"/>
        <v>0.05</v>
      </c>
    </row>
    <row r="4262" spans="1:19" x14ac:dyDescent="0.25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>VLOOKUP(F4262,'Customer Info'!$A:$B,2,0)</f>
        <v>Maureen</v>
      </c>
      <c r="H4262" s="6" t="str">
        <f>VLOOKUP(F4262,'Customer Info'!$A$1:$C$501,3,0)</f>
        <v>Gastineau</v>
      </c>
      <c r="I4262" s="6" t="str">
        <f>VLOOKUP(F4262,Customer,5,0)</f>
        <v>Melton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7926</v>
      </c>
      <c r="O4262" s="2">
        <v>47</v>
      </c>
      <c r="P4262" s="8">
        <f t="shared" si="332"/>
        <v>7973</v>
      </c>
      <c r="Q4262" s="8">
        <f t="shared" si="333"/>
        <v>660</v>
      </c>
      <c r="R4262" s="2" t="s">
        <v>50</v>
      </c>
      <c r="S4262" s="24">
        <f t="shared" si="334"/>
        <v>0.05</v>
      </c>
    </row>
    <row r="4263" spans="1:19" x14ac:dyDescent="0.25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>VLOOKUP(F4263,'Customer Info'!$A:$B,2,0)</f>
        <v>Tom</v>
      </c>
      <c r="H4263" s="6" t="str">
        <f>VLOOKUP(F4263,'Customer Info'!$A$1:$C$501,3,0)</f>
        <v>Stivers</v>
      </c>
      <c r="I4263" s="6" t="str">
        <f>VLOOKUP(F4263,Customer,5,0)</f>
        <v>Thane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167</v>
      </c>
      <c r="O4263" s="2">
        <v>30</v>
      </c>
      <c r="P4263" s="8">
        <f t="shared" si="332"/>
        <v>197</v>
      </c>
      <c r="Q4263" s="8">
        <f t="shared" si="333"/>
        <v>12</v>
      </c>
      <c r="R4263" s="2" t="s">
        <v>28</v>
      </c>
      <c r="S4263" s="24">
        <f t="shared" si="334"/>
        <v>0.02</v>
      </c>
    </row>
    <row r="4264" spans="1:19" x14ac:dyDescent="0.25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>VLOOKUP(F4264,'Customer Info'!$A:$B,2,0)</f>
        <v>Alex</v>
      </c>
      <c r="H4264" s="6" t="str">
        <f>VLOOKUP(F4264,'Customer Info'!$A$1:$C$501,3,0)</f>
        <v>Grayson</v>
      </c>
      <c r="I4264" s="6" t="str">
        <f>VLOOKUP(F4264,Customer,5,0)</f>
        <v>Anyang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18246</v>
      </c>
      <c r="O4264" s="2">
        <v>43</v>
      </c>
      <c r="P4264" s="8">
        <f t="shared" si="332"/>
        <v>18289</v>
      </c>
      <c r="Q4264" s="8">
        <f t="shared" si="333"/>
        <v>684</v>
      </c>
      <c r="R4264" s="2" t="s">
        <v>28</v>
      </c>
      <c r="S4264" s="24">
        <f t="shared" si="334"/>
        <v>0.05</v>
      </c>
    </row>
    <row r="4265" spans="1:19" x14ac:dyDescent="0.25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>VLOOKUP(F4265,'Customer Info'!$A:$B,2,0)</f>
        <v>Jas</v>
      </c>
      <c r="H4265" s="6" t="str">
        <f>VLOOKUP(F4265,'Customer Info'!$A$1:$C$501,3,0)</f>
        <v>O'Carroll</v>
      </c>
      <c r="I4265" s="6" t="str">
        <f>VLOOKUP(F4265,Customer,5,0)</f>
        <v>Essen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8185</v>
      </c>
      <c r="O4265" s="2">
        <v>50</v>
      </c>
      <c r="P4265" s="8">
        <f t="shared" si="332"/>
        <v>8235</v>
      </c>
      <c r="Q4265" s="8">
        <f t="shared" si="333"/>
        <v>230</v>
      </c>
      <c r="R4265" s="2" t="s">
        <v>28</v>
      </c>
      <c r="S4265" s="24">
        <f t="shared" si="334"/>
        <v>0.05</v>
      </c>
    </row>
    <row r="4266" spans="1:19" x14ac:dyDescent="0.25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>VLOOKUP(F4266,'Customer Info'!$A:$B,2,0)</f>
        <v>Brendan</v>
      </c>
      <c r="H4266" s="6" t="str">
        <f>VLOOKUP(F4266,'Customer Info'!$A$1:$C$501,3,0)</f>
        <v>Dodson</v>
      </c>
      <c r="I4266" s="6" t="str">
        <f>VLOOKUP(F4266,Customer,5,0)</f>
        <v>Adelaide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752</v>
      </c>
      <c r="O4266" s="2">
        <v>30</v>
      </c>
      <c r="P4266" s="8">
        <f t="shared" si="332"/>
        <v>782</v>
      </c>
      <c r="Q4266" s="8">
        <f t="shared" si="333"/>
        <v>60</v>
      </c>
      <c r="R4266" s="2" t="s">
        <v>28</v>
      </c>
      <c r="S4266" s="24">
        <f t="shared" si="334"/>
        <v>0.02</v>
      </c>
    </row>
    <row r="4267" spans="1:19" x14ac:dyDescent="0.25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>VLOOKUP(F4267,'Customer Info'!$A:$B,2,0)</f>
        <v>Jeremy</v>
      </c>
      <c r="H4267" s="6" t="str">
        <f>VLOOKUP(F4267,'Customer Info'!$A$1:$C$501,3,0)</f>
        <v>Ellison</v>
      </c>
      <c r="I4267" s="6" t="str">
        <f>VLOOKUP(F4267,Customer,5,0)</f>
        <v>Jammu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8870</v>
      </c>
      <c r="O4267" s="2">
        <v>77</v>
      </c>
      <c r="P4267" s="8">
        <f t="shared" si="332"/>
        <v>8947</v>
      </c>
      <c r="Q4267" s="8">
        <f t="shared" si="333"/>
        <v>660</v>
      </c>
      <c r="R4267" s="2" t="s">
        <v>28</v>
      </c>
      <c r="S4267" s="24">
        <f t="shared" si="334"/>
        <v>0.05</v>
      </c>
    </row>
    <row r="4268" spans="1:19" x14ac:dyDescent="0.25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>VLOOKUP(F4268,'Customer Info'!$A:$B,2,0)</f>
        <v>Craig</v>
      </c>
      <c r="H4268" s="6" t="str">
        <f>VLOOKUP(F4268,'Customer Info'!$A$1:$C$501,3,0)</f>
        <v>Carreira</v>
      </c>
      <c r="I4268" s="6" t="str">
        <f>VLOOKUP(F4268,Customer,5,0)</f>
        <v>Worms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10824</v>
      </c>
      <c r="O4268" s="2">
        <v>79</v>
      </c>
      <c r="P4268" s="8">
        <f t="shared" si="332"/>
        <v>10903</v>
      </c>
      <c r="Q4268" s="8">
        <f t="shared" si="333"/>
        <v>612</v>
      </c>
      <c r="R4268" s="2" t="s">
        <v>50</v>
      </c>
      <c r="S4268" s="24">
        <f t="shared" si="334"/>
        <v>0.05</v>
      </c>
    </row>
    <row r="4269" spans="1:19" x14ac:dyDescent="0.25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>VLOOKUP(F4269,'Customer Info'!$A:$B,2,0)</f>
        <v>Olvera</v>
      </c>
      <c r="H4269" s="6" t="str">
        <f>VLOOKUP(F4269,'Customer Info'!$A$1:$C$501,3,0)</f>
        <v>Toch</v>
      </c>
      <c r="I4269" s="6" t="str">
        <f>VLOOKUP(F4269,Customer,5,0)</f>
        <v>Wollongong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6224</v>
      </c>
      <c r="O4269" s="2">
        <v>87</v>
      </c>
      <c r="P4269" s="8">
        <f t="shared" si="332"/>
        <v>6311</v>
      </c>
      <c r="Q4269" s="8">
        <f t="shared" si="333"/>
        <v>568</v>
      </c>
      <c r="R4269" s="2" t="s">
        <v>28</v>
      </c>
      <c r="S4269" s="24">
        <f t="shared" si="334"/>
        <v>0.05</v>
      </c>
    </row>
    <row r="4270" spans="1:19" x14ac:dyDescent="0.25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>VLOOKUP(F4270,'Customer Info'!$A:$B,2,0)</f>
        <v>Bill</v>
      </c>
      <c r="H4270" s="6" t="str">
        <f>VLOOKUP(F4270,'Customer Info'!$A$1:$C$501,3,0)</f>
        <v>Stewart</v>
      </c>
      <c r="I4270" s="6" t="str">
        <f>VLOOKUP(F4270,Customer,5,0)</f>
        <v>Wenling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355</v>
      </c>
      <c r="O4270" s="2">
        <v>10</v>
      </c>
      <c r="P4270" s="8">
        <f t="shared" si="332"/>
        <v>365</v>
      </c>
      <c r="Q4270" s="8">
        <f t="shared" si="333"/>
        <v>35</v>
      </c>
      <c r="R4270" s="2" t="s">
        <v>28</v>
      </c>
      <c r="S4270" s="24">
        <f t="shared" si="334"/>
        <v>0.02</v>
      </c>
    </row>
    <row r="4271" spans="1:19" x14ac:dyDescent="0.25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>VLOOKUP(F4271,'Customer Info'!$A:$B,2,0)</f>
        <v>Magdelene</v>
      </c>
      <c r="H4271" s="6" t="str">
        <f>VLOOKUP(F4271,'Customer Info'!$A$1:$C$501,3,0)</f>
        <v>Morse</v>
      </c>
      <c r="I4271" s="6" t="str">
        <f>VLOOKUP(F4271,Customer,5,0)</f>
        <v>Berlin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73556</v>
      </c>
      <c r="O4271" s="2">
        <v>82</v>
      </c>
      <c r="P4271" s="8">
        <f t="shared" si="332"/>
        <v>73638</v>
      </c>
      <c r="Q4271" s="8">
        <f t="shared" si="333"/>
        <v>4138</v>
      </c>
      <c r="R4271" s="2" t="s">
        <v>28</v>
      </c>
      <c r="S4271" s="24">
        <f t="shared" si="334"/>
        <v>0.09</v>
      </c>
    </row>
    <row r="4272" spans="1:19" x14ac:dyDescent="0.25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>VLOOKUP(F4272,'Customer Info'!$A:$B,2,0)</f>
        <v>Kristina</v>
      </c>
      <c r="H4272" s="6" t="str">
        <f>VLOOKUP(F4272,'Customer Info'!$A$1:$C$501,3,0)</f>
        <v>Nunn</v>
      </c>
      <c r="I4272" s="6" t="str">
        <f>VLOOKUP(F4272,Customer,5,0)</f>
        <v>Sydney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6520</v>
      </c>
      <c r="O4272" s="2">
        <v>29</v>
      </c>
      <c r="P4272" s="8">
        <f t="shared" si="332"/>
        <v>6549</v>
      </c>
      <c r="Q4272" s="8">
        <f t="shared" si="333"/>
        <v>535</v>
      </c>
      <c r="R4272" s="2" t="s">
        <v>56</v>
      </c>
      <c r="S4272" s="24">
        <f t="shared" si="334"/>
        <v>0.05</v>
      </c>
    </row>
    <row r="4273" spans="1:19" x14ac:dyDescent="0.25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>VLOOKUP(F4273,'Customer Info'!$A:$B,2,0)</f>
        <v>Victor</v>
      </c>
      <c r="H4273" s="6" t="str">
        <f>VLOOKUP(F4273,'Customer Info'!$A$1:$C$501,3,0)</f>
        <v>Preis</v>
      </c>
      <c r="I4273" s="6" t="str">
        <f>VLOOKUP(F4273,Customer,5,0)</f>
        <v>Melbourne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2162</v>
      </c>
      <c r="O4273" s="2">
        <v>40</v>
      </c>
      <c r="P4273" s="8">
        <f t="shared" si="332"/>
        <v>2202</v>
      </c>
      <c r="Q4273" s="8">
        <f t="shared" si="333"/>
        <v>196</v>
      </c>
      <c r="R4273" s="2" t="s">
        <v>28</v>
      </c>
      <c r="S4273" s="24">
        <f t="shared" si="334"/>
        <v>0.02</v>
      </c>
    </row>
    <row r="4274" spans="1:19" x14ac:dyDescent="0.25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>VLOOKUP(F4274,'Customer Info'!$A:$B,2,0)</f>
        <v>Eileen</v>
      </c>
      <c r="H4274" s="6" t="str">
        <f>VLOOKUP(F4274,'Customer Info'!$A$1:$C$501,3,0)</f>
        <v>Kiefer</v>
      </c>
      <c r="I4274" s="6" t="str">
        <f>VLOOKUP(F4274,Customer,5,0)</f>
        <v>Hamm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7922</v>
      </c>
      <c r="O4274" s="2">
        <v>42</v>
      </c>
      <c r="P4274" s="8">
        <f t="shared" si="332"/>
        <v>7964</v>
      </c>
      <c r="Q4274" s="8">
        <f t="shared" si="333"/>
        <v>594</v>
      </c>
      <c r="R4274" s="2" t="s">
        <v>28</v>
      </c>
      <c r="S4274" s="24">
        <f t="shared" si="334"/>
        <v>0.05</v>
      </c>
    </row>
    <row r="4275" spans="1:19" x14ac:dyDescent="0.25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>VLOOKUP(F4275,'Customer Info'!$A:$B,2,0)</f>
        <v>Victoria</v>
      </c>
      <c r="H4275" s="6" t="str">
        <f>VLOOKUP(F4275,'Customer Info'!$A$1:$C$501,3,0)</f>
        <v>Brennan</v>
      </c>
      <c r="I4275" s="6" t="str">
        <f>VLOOKUP(F4275,Customer,5,0)</f>
        <v>Mangalore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173</v>
      </c>
      <c r="O4275" s="2">
        <v>30</v>
      </c>
      <c r="P4275" s="8">
        <f t="shared" si="332"/>
        <v>203</v>
      </c>
      <c r="Q4275" s="8">
        <f t="shared" si="333"/>
        <v>18</v>
      </c>
      <c r="R4275" s="2" t="s">
        <v>50</v>
      </c>
      <c r="S4275" s="24">
        <f t="shared" si="334"/>
        <v>0.02</v>
      </c>
    </row>
    <row r="4276" spans="1:19" x14ac:dyDescent="0.25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>VLOOKUP(F4276,'Customer Info'!$A:$B,2,0)</f>
        <v>Rick</v>
      </c>
      <c r="H4276" s="6" t="str">
        <f>VLOOKUP(F4276,'Customer Info'!$A$1:$C$501,3,0)</f>
        <v>Duston</v>
      </c>
      <c r="I4276" s="6" t="str">
        <f>VLOOKUP(F4276,Customer,5,0)</f>
        <v>Surakarta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1413</v>
      </c>
      <c r="O4276" s="2">
        <v>76</v>
      </c>
      <c r="P4276" s="8">
        <f t="shared" si="332"/>
        <v>1489</v>
      </c>
      <c r="Q4276" s="8">
        <f t="shared" si="333"/>
        <v>79</v>
      </c>
      <c r="R4276" s="2" t="s">
        <v>28</v>
      </c>
      <c r="S4276" s="24">
        <f t="shared" si="334"/>
        <v>0.02</v>
      </c>
    </row>
    <row r="4277" spans="1:19" x14ac:dyDescent="0.25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>VLOOKUP(F4277,'Customer Info'!$A:$B,2,0)</f>
        <v>Adam</v>
      </c>
      <c r="H4277" s="6" t="str">
        <f>VLOOKUP(F4277,'Customer Info'!$A$1:$C$501,3,0)</f>
        <v>Bellavance</v>
      </c>
      <c r="I4277" s="6" t="str">
        <f>VLOOKUP(F4277,Customer,5,0)</f>
        <v>Kwinana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1146</v>
      </c>
      <c r="O4277" s="2">
        <v>30</v>
      </c>
      <c r="P4277" s="8">
        <f t="shared" si="332"/>
        <v>1176</v>
      </c>
      <c r="Q4277" s="8">
        <f t="shared" si="333"/>
        <v>126</v>
      </c>
      <c r="R4277" s="2" t="s">
        <v>50</v>
      </c>
      <c r="S4277" s="24">
        <f t="shared" si="334"/>
        <v>0.02</v>
      </c>
    </row>
    <row r="4278" spans="1:19" x14ac:dyDescent="0.25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>VLOOKUP(F4278,'Customer Info'!$A:$B,2,0)</f>
        <v>Toby</v>
      </c>
      <c r="H4278" s="6" t="str">
        <f>VLOOKUP(F4278,'Customer Info'!$A$1:$C$501,3,0)</f>
        <v>Gnade</v>
      </c>
      <c r="I4278" s="6" t="str">
        <f>VLOOKUP(F4278,Customer,5,0)</f>
        <v>Bhopal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1452</v>
      </c>
      <c r="O4278" s="2">
        <v>68</v>
      </c>
      <c r="P4278" s="8">
        <f t="shared" si="332"/>
        <v>1520</v>
      </c>
      <c r="Q4278" s="8">
        <f t="shared" si="333"/>
        <v>160</v>
      </c>
      <c r="R4278" s="2" t="s">
        <v>28</v>
      </c>
      <c r="S4278" s="24">
        <f t="shared" si="334"/>
        <v>0.02</v>
      </c>
    </row>
    <row r="4279" spans="1:19" x14ac:dyDescent="0.25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>VLOOKUP(F4279,'Customer Info'!$A:$B,2,0)</f>
        <v>Dave</v>
      </c>
      <c r="H4279" s="6" t="str">
        <f>VLOOKUP(F4279,'Customer Info'!$A$1:$C$501,3,0)</f>
        <v>Hallsten</v>
      </c>
      <c r="I4279" s="6" t="str">
        <f>VLOOKUP(F4279,Customer,5,0)</f>
        <v>Coimbatore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78190</v>
      </c>
      <c r="O4279" s="2">
        <v>91</v>
      </c>
      <c r="P4279" s="8">
        <f t="shared" si="332"/>
        <v>78281</v>
      </c>
      <c r="Q4279" s="8">
        <f t="shared" si="333"/>
        <v>7158</v>
      </c>
      <c r="R4279" s="2" t="s">
        <v>28</v>
      </c>
      <c r="S4279" s="24">
        <f t="shared" si="334"/>
        <v>0.09</v>
      </c>
    </row>
    <row r="4280" spans="1:19" x14ac:dyDescent="0.25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>VLOOKUP(F4280,'Customer Info'!$A:$B,2,0)</f>
        <v>Dianna</v>
      </c>
      <c r="H4280" s="6" t="str">
        <f>VLOOKUP(F4280,'Customer Info'!$A$1:$C$501,3,0)</f>
        <v>Wilson</v>
      </c>
      <c r="I4280" s="6" t="str">
        <f>VLOOKUP(F4280,Customer,5,0)</f>
        <v>Gold Coast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14630</v>
      </c>
      <c r="O4280" s="2">
        <v>60</v>
      </c>
      <c r="P4280" s="8">
        <f t="shared" si="332"/>
        <v>14690</v>
      </c>
      <c r="Q4280" s="8">
        <f t="shared" si="333"/>
        <v>696</v>
      </c>
      <c r="R4280" s="2" t="s">
        <v>28</v>
      </c>
      <c r="S4280" s="24">
        <f t="shared" si="334"/>
        <v>0.05</v>
      </c>
    </row>
    <row r="4281" spans="1:19" x14ac:dyDescent="0.25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>VLOOKUP(F4281,'Customer Info'!$A:$B,2,0)</f>
        <v>Eugene</v>
      </c>
      <c r="H4281" s="6" t="str">
        <f>VLOOKUP(F4281,'Customer Info'!$A$1:$C$501,3,0)</f>
        <v>Moren</v>
      </c>
      <c r="I4281" s="6" t="str">
        <f>VLOOKUP(F4281,Customer,5,0)</f>
        <v>Patiala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1335</v>
      </c>
      <c r="O4281" s="2">
        <v>23</v>
      </c>
      <c r="P4281" s="8">
        <f t="shared" si="332"/>
        <v>1358</v>
      </c>
      <c r="Q4281" s="8">
        <f t="shared" si="333"/>
        <v>90</v>
      </c>
      <c r="R4281" s="2" t="s">
        <v>28</v>
      </c>
      <c r="S4281" s="24">
        <f t="shared" si="334"/>
        <v>0.02</v>
      </c>
    </row>
    <row r="4282" spans="1:19" x14ac:dyDescent="0.25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>VLOOKUP(F4282,'Customer Info'!$A:$B,2,0)</f>
        <v>Michael</v>
      </c>
      <c r="H4282" s="6" t="str">
        <f>VLOOKUP(F4282,'Customer Info'!$A$1:$C$501,3,0)</f>
        <v>Moore</v>
      </c>
      <c r="I4282" s="6" t="str">
        <f>VLOOKUP(F4282,Customer,5,0)</f>
        <v>Vadodara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29076</v>
      </c>
      <c r="O4282" s="2">
        <v>99</v>
      </c>
      <c r="P4282" s="8">
        <f t="shared" si="332"/>
        <v>29175</v>
      </c>
      <c r="Q4282" s="8">
        <f t="shared" si="333"/>
        <v>2124</v>
      </c>
      <c r="R4282" s="2" t="s">
        <v>56</v>
      </c>
      <c r="S4282" s="24">
        <f t="shared" si="334"/>
        <v>7.0000000000000007E-2</v>
      </c>
    </row>
    <row r="4283" spans="1:19" x14ac:dyDescent="0.25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>VLOOKUP(F4283,'Customer Info'!$A:$B,2,0)</f>
        <v>Susan</v>
      </c>
      <c r="H4283" s="6" t="str">
        <f>VLOOKUP(F4283,'Customer Info'!$A$1:$C$501,3,0)</f>
        <v>Pistek</v>
      </c>
      <c r="I4283" s="6" t="str">
        <f>VLOOKUP(F4283,Customer,5,0)</f>
        <v>Padang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12962</v>
      </c>
      <c r="O4283" s="2">
        <v>100</v>
      </c>
      <c r="P4283" s="8">
        <f t="shared" si="332"/>
        <v>13062</v>
      </c>
      <c r="Q4283" s="8">
        <f t="shared" si="333"/>
        <v>1194</v>
      </c>
      <c r="R4283" s="2" t="s">
        <v>28</v>
      </c>
      <c r="S4283" s="24">
        <f t="shared" si="334"/>
        <v>0.05</v>
      </c>
    </row>
    <row r="4284" spans="1:19" x14ac:dyDescent="0.25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>VLOOKUP(F4284,'Customer Info'!$A:$B,2,0)</f>
        <v>Tony</v>
      </c>
      <c r="H4284" s="6" t="str">
        <f>VLOOKUP(F4284,'Customer Info'!$A$1:$C$501,3,0)</f>
        <v>Sayre</v>
      </c>
      <c r="I4284" s="6" t="str">
        <f>VLOOKUP(F4284,Customer,5,0)</f>
        <v>Jakarta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2466</v>
      </c>
      <c r="O4284" s="2">
        <v>26</v>
      </c>
      <c r="P4284" s="8">
        <f t="shared" si="332"/>
        <v>2492</v>
      </c>
      <c r="Q4284" s="8">
        <f t="shared" si="333"/>
        <v>139</v>
      </c>
      <c r="R4284" s="2" t="s">
        <v>28</v>
      </c>
      <c r="S4284" s="24">
        <f t="shared" si="334"/>
        <v>0.02</v>
      </c>
    </row>
    <row r="4285" spans="1:19" x14ac:dyDescent="0.25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>VLOOKUP(F4285,'Customer Info'!$A:$B,2,0)</f>
        <v>Philisse</v>
      </c>
      <c r="H4285" s="6" t="str">
        <f>VLOOKUP(F4285,'Customer Info'!$A$1:$C$501,3,0)</f>
        <v>Overcash</v>
      </c>
      <c r="I4285" s="6" t="str">
        <f>VLOOKUP(F4285,Customer,5,0)</f>
        <v>Devonport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4014</v>
      </c>
      <c r="O4285" s="2">
        <v>39</v>
      </c>
      <c r="P4285" s="8">
        <f t="shared" si="332"/>
        <v>4053</v>
      </c>
      <c r="Q4285" s="8">
        <f t="shared" si="333"/>
        <v>336</v>
      </c>
      <c r="R4285" s="2" t="s">
        <v>50</v>
      </c>
      <c r="S4285" s="24">
        <f t="shared" si="334"/>
        <v>0.02</v>
      </c>
    </row>
    <row r="4286" spans="1:19" x14ac:dyDescent="0.25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>VLOOKUP(F4286,'Customer Info'!$A:$B,2,0)</f>
        <v>Anemone</v>
      </c>
      <c r="H4286" s="6" t="str">
        <f>VLOOKUP(F4286,'Customer Info'!$A$1:$C$501,3,0)</f>
        <v>Ratner</v>
      </c>
      <c r="I4286" s="6" t="str">
        <f>VLOOKUP(F4286,Customer,5,0)</f>
        <v>Pune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246</v>
      </c>
      <c r="O4286" s="2">
        <v>30</v>
      </c>
      <c r="P4286" s="8">
        <f t="shared" si="332"/>
        <v>276</v>
      </c>
      <c r="Q4286" s="8">
        <f t="shared" si="333"/>
        <v>16</v>
      </c>
      <c r="R4286" s="2" t="s">
        <v>28</v>
      </c>
      <c r="S4286" s="24">
        <f t="shared" si="334"/>
        <v>0.02</v>
      </c>
    </row>
    <row r="4287" spans="1:19" x14ac:dyDescent="0.25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>VLOOKUP(F4287,'Customer Info'!$A:$B,2,0)</f>
        <v>Jas</v>
      </c>
      <c r="H4287" s="6" t="str">
        <f>VLOOKUP(F4287,'Customer Info'!$A$1:$C$501,3,0)</f>
        <v>O'Carroll</v>
      </c>
      <c r="I4287" s="6" t="str">
        <f>VLOOKUP(F4287,Customer,5,0)</f>
        <v>Essen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1260</v>
      </c>
      <c r="O4287" s="2">
        <v>30</v>
      </c>
      <c r="P4287" s="8">
        <f t="shared" si="332"/>
        <v>1290</v>
      </c>
      <c r="Q4287" s="8">
        <f t="shared" si="333"/>
        <v>27</v>
      </c>
      <c r="R4287" s="2" t="s">
        <v>28</v>
      </c>
      <c r="S4287" s="24">
        <f t="shared" si="334"/>
        <v>0.02</v>
      </c>
    </row>
    <row r="4288" spans="1:19" x14ac:dyDescent="0.25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>VLOOKUP(F4288,'Customer Info'!$A:$B,2,0)</f>
        <v>Laurel</v>
      </c>
      <c r="H4288" s="6" t="str">
        <f>VLOOKUP(F4288,'Customer Info'!$A$1:$C$501,3,0)</f>
        <v>Beltran</v>
      </c>
      <c r="I4288" s="6" t="str">
        <f>VLOOKUP(F4288,Customer,5,0)</f>
        <v>Wuppertal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6234</v>
      </c>
      <c r="O4288" s="2">
        <v>45</v>
      </c>
      <c r="P4288" s="8">
        <f t="shared" si="332"/>
        <v>6279</v>
      </c>
      <c r="Q4288" s="8">
        <f t="shared" si="333"/>
        <v>621</v>
      </c>
      <c r="R4288" s="2" t="s">
        <v>50</v>
      </c>
      <c r="S4288" s="24">
        <f t="shared" si="334"/>
        <v>0.05</v>
      </c>
    </row>
    <row r="4289" spans="1:19" x14ac:dyDescent="0.25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>VLOOKUP(F4289,'Customer Info'!$A:$B,2,0)</f>
        <v>Rick</v>
      </c>
      <c r="H4289" s="6" t="str">
        <f>VLOOKUP(F4289,'Customer Info'!$A$1:$C$501,3,0)</f>
        <v>Reed</v>
      </c>
      <c r="I4289" s="6" t="str">
        <f>VLOOKUP(F4289,Customer,5,0)</f>
        <v>Lucknow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511</v>
      </c>
      <c r="O4289" s="2">
        <v>58</v>
      </c>
      <c r="P4289" s="8">
        <f t="shared" si="332"/>
        <v>569</v>
      </c>
      <c r="Q4289" s="8">
        <f t="shared" si="333"/>
        <v>43</v>
      </c>
      <c r="R4289" s="2" t="s">
        <v>28</v>
      </c>
      <c r="S4289" s="24">
        <f t="shared" si="334"/>
        <v>0.02</v>
      </c>
    </row>
    <row r="4290" spans="1:19" x14ac:dyDescent="0.25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>VLOOKUP(F4290,'Customer Info'!$A:$B,2,0)</f>
        <v>Darren</v>
      </c>
      <c r="H4290" s="6" t="str">
        <f>VLOOKUP(F4290,'Customer Info'!$A$1:$C$501,3,0)</f>
        <v>Koutras</v>
      </c>
      <c r="I4290" s="6" t="str">
        <f>VLOOKUP(F4290,Customer,5,0)</f>
        <v>Pune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5370</v>
      </c>
      <c r="O4290" s="2">
        <v>60</v>
      </c>
      <c r="P4290" s="8">
        <f t="shared" si="332"/>
        <v>5430</v>
      </c>
      <c r="Q4290" s="8">
        <f t="shared" si="333"/>
        <v>252</v>
      </c>
      <c r="R4290" s="2" t="s">
        <v>50</v>
      </c>
      <c r="S4290" s="24">
        <f t="shared" si="334"/>
        <v>0.05</v>
      </c>
    </row>
    <row r="4291" spans="1:19" x14ac:dyDescent="0.25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>VLOOKUP(F4291,'Customer Info'!$A:$B,2,0)</f>
        <v>Rick</v>
      </c>
      <c r="H4291" s="6" t="str">
        <f>VLOOKUP(F4291,'Customer Info'!$A$1:$C$501,3,0)</f>
        <v>Reed</v>
      </c>
      <c r="I4291" s="6" t="str">
        <f>VLOOKUP(F4291,Customer,5,0)</f>
        <v>Lucknow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511</v>
      </c>
      <c r="O4291" s="2">
        <v>77</v>
      </c>
      <c r="P4291" s="8">
        <f t="shared" si="332"/>
        <v>588</v>
      </c>
      <c r="Q4291" s="8">
        <f t="shared" si="333"/>
        <v>34</v>
      </c>
      <c r="R4291" s="2" t="s">
        <v>28</v>
      </c>
      <c r="S4291" s="24">
        <f t="shared" si="334"/>
        <v>0.02</v>
      </c>
    </row>
    <row r="4292" spans="1:19" x14ac:dyDescent="0.25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>VLOOKUP(F4292,'Customer Info'!$A:$B,2,0)</f>
        <v>Brad</v>
      </c>
      <c r="H4292" s="6" t="str">
        <f>VLOOKUP(F4292,'Customer Info'!$A$1:$C$501,3,0)</f>
        <v>Thomas</v>
      </c>
      <c r="I4292" s="6" t="str">
        <f>VLOOKUP(F4292,Customer,5,0)</f>
        <v>Udaipur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260</v>
      </c>
      <c r="O4292" s="2">
        <v>30</v>
      </c>
      <c r="P4292" s="8">
        <f t="shared" si="332"/>
        <v>290</v>
      </c>
      <c r="Q4292" s="8">
        <f t="shared" si="333"/>
        <v>16</v>
      </c>
      <c r="R4292" s="2" t="s">
        <v>50</v>
      </c>
      <c r="S4292" s="24">
        <f t="shared" si="334"/>
        <v>0.02</v>
      </c>
    </row>
    <row r="4293" spans="1:19" x14ac:dyDescent="0.25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>VLOOKUP(F4293,'Customer Info'!$A:$B,2,0)</f>
        <v>Fred</v>
      </c>
      <c r="H4293" s="6" t="str">
        <f>VLOOKUP(F4293,'Customer Info'!$A$1:$C$501,3,0)</f>
        <v>Wasserman</v>
      </c>
      <c r="I4293" s="6" t="str">
        <f>VLOOKUP(F4293,Customer,5,0)</f>
        <v>Willich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10129</v>
      </c>
      <c r="O4293" s="2">
        <v>34</v>
      </c>
      <c r="P4293" s="8">
        <f t="shared" si="332"/>
        <v>10163</v>
      </c>
      <c r="Q4293" s="8">
        <f t="shared" si="333"/>
        <v>847</v>
      </c>
      <c r="R4293" s="2" t="s">
        <v>28</v>
      </c>
      <c r="S4293" s="24">
        <f t="shared" si="334"/>
        <v>0.05</v>
      </c>
    </row>
    <row r="4294" spans="1:19" x14ac:dyDescent="0.25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>VLOOKUP(F4294,'Customer Info'!$A:$B,2,0)</f>
        <v>Andy</v>
      </c>
      <c r="H4294" s="6" t="str">
        <f>VLOOKUP(F4294,'Customer Info'!$A$1:$C$501,3,0)</f>
        <v>Yotov</v>
      </c>
      <c r="I4294" s="6" t="str">
        <f>VLOOKUP(F4294,Customer,5,0)</f>
        <v>Samarinda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18270</v>
      </c>
      <c r="O4294" s="2">
        <v>92</v>
      </c>
      <c r="P4294" s="8">
        <f t="shared" si="332"/>
        <v>18362</v>
      </c>
      <c r="Q4294" s="8">
        <f t="shared" si="333"/>
        <v>1984</v>
      </c>
      <c r="R4294" s="2" t="s">
        <v>28</v>
      </c>
      <c r="S4294" s="24">
        <f t="shared" si="334"/>
        <v>0.05</v>
      </c>
    </row>
    <row r="4295" spans="1:19" x14ac:dyDescent="0.25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>VLOOKUP(F4295,'Customer Info'!$A:$B,2,0)</f>
        <v>Bryan</v>
      </c>
      <c r="H4295" s="6" t="str">
        <f>VLOOKUP(F4295,'Customer Info'!$A$1:$C$501,3,0)</f>
        <v>Spruell</v>
      </c>
      <c r="I4295" s="6" t="str">
        <f>VLOOKUP(F4295,Customer,5,0)</f>
        <v>Bekasi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43905</v>
      </c>
      <c r="O4295" s="2">
        <v>44</v>
      </c>
      <c r="P4295" s="8">
        <f t="shared" si="332"/>
        <v>43949</v>
      </c>
      <c r="Q4295" s="8">
        <f t="shared" si="333"/>
        <v>4765</v>
      </c>
      <c r="R4295" s="2" t="s">
        <v>28</v>
      </c>
      <c r="S4295" s="24">
        <f t="shared" si="334"/>
        <v>7.0000000000000007E-2</v>
      </c>
    </row>
    <row r="4296" spans="1:19" x14ac:dyDescent="0.25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>VLOOKUP(F4296,'Customer Info'!$A:$B,2,0)</f>
        <v>David</v>
      </c>
      <c r="H4296" s="6" t="str">
        <f>VLOOKUP(F4296,'Customer Info'!$A$1:$C$501,3,0)</f>
        <v>Kendrick</v>
      </c>
      <c r="I4296" s="6" t="str">
        <f>VLOOKUP(F4296,Customer,5,0)</f>
        <v>Kunming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8870</v>
      </c>
      <c r="O4296" s="2">
        <v>58</v>
      </c>
      <c r="P4296" s="8">
        <f t="shared" si="332"/>
        <v>8928</v>
      </c>
      <c r="Q4296" s="8">
        <f t="shared" si="333"/>
        <v>660</v>
      </c>
      <c r="R4296" s="2" t="s">
        <v>28</v>
      </c>
      <c r="S4296" s="24">
        <f t="shared" si="334"/>
        <v>0.05</v>
      </c>
    </row>
    <row r="4297" spans="1:19" x14ac:dyDescent="0.25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>VLOOKUP(F4297,'Customer Info'!$A:$B,2,0)</f>
        <v>Sung</v>
      </c>
      <c r="H4297" s="6" t="str">
        <f>VLOOKUP(F4297,'Customer Info'!$A$1:$C$501,3,0)</f>
        <v>Shariari</v>
      </c>
      <c r="I4297" s="6" t="str">
        <f>VLOOKUP(F4297,Customer,5,0)</f>
        <v>Solapur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10440</v>
      </c>
      <c r="O4297" s="2">
        <v>56</v>
      </c>
      <c r="P4297" s="8">
        <f t="shared" si="332"/>
        <v>10496</v>
      </c>
      <c r="Q4297" s="8">
        <f t="shared" si="333"/>
        <v>590</v>
      </c>
      <c r="R4297" s="2" t="s">
        <v>50</v>
      </c>
      <c r="S4297" s="24">
        <f t="shared" si="334"/>
        <v>0.05</v>
      </c>
    </row>
    <row r="4298" spans="1:19" x14ac:dyDescent="0.25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>VLOOKUP(F4298,'Customer Info'!$A:$B,2,0)</f>
        <v>Michelle</v>
      </c>
      <c r="H4298" s="6" t="str">
        <f>VLOOKUP(F4298,'Customer Info'!$A$1:$C$501,3,0)</f>
        <v>Arnett</v>
      </c>
      <c r="I4298" s="6" t="str">
        <f>VLOOKUP(F4298,Customer,5,0)</f>
        <v>Yancheng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350</v>
      </c>
      <c r="O4298" s="2">
        <v>30</v>
      </c>
      <c r="P4298" s="8">
        <f t="shared" si="332"/>
        <v>380</v>
      </c>
      <c r="Q4298" s="8">
        <f t="shared" si="333"/>
        <v>26</v>
      </c>
      <c r="R4298" s="2" t="s">
        <v>26</v>
      </c>
      <c r="S4298" s="24">
        <f t="shared" si="334"/>
        <v>0.02</v>
      </c>
    </row>
    <row r="4299" spans="1:19" x14ac:dyDescent="0.25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>VLOOKUP(F4299,'Customer Info'!$A:$B,2,0)</f>
        <v>John</v>
      </c>
      <c r="H4299" s="6" t="str">
        <f>VLOOKUP(F4299,'Customer Info'!$A$1:$C$501,3,0)</f>
        <v>Lucas</v>
      </c>
      <c r="I4299" s="6" t="str">
        <f>VLOOKUP(F4299,Customer,5,0)</f>
        <v>Beijing</v>
      </c>
      <c r="J4299" s="2">
        <v>61</v>
      </c>
      <c r="K4299" s="2">
        <v>57</v>
      </c>
      <c r="L4299" s="2">
        <v>3</v>
      </c>
      <c r="M4299" s="7">
        <f t="shared" ref="M4299:M4362" si="335">K4299*L4299</f>
        <v>171</v>
      </c>
      <c r="N4299" s="7">
        <f t="shared" ref="N4299:N4362" si="336">J4299*L4299</f>
        <v>183</v>
      </c>
      <c r="O4299" s="2">
        <v>10</v>
      </c>
      <c r="P4299" s="8">
        <f t="shared" ref="P4299:P4362" si="337">N4299+O4299</f>
        <v>193</v>
      </c>
      <c r="Q4299" s="8">
        <f t="shared" ref="Q4299:Q4362" si="338">N4299-M4299</f>
        <v>12</v>
      </c>
      <c r="R4299" s="2" t="s">
        <v>26</v>
      </c>
      <c r="S4299" s="24">
        <f t="shared" ref="S4299:S4362" si="339">VLOOKUP(N4299,$T$1:$U$7,2,TRUE)</f>
        <v>0.02</v>
      </c>
    </row>
    <row r="4300" spans="1:19" x14ac:dyDescent="0.25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>VLOOKUP(F4300,'Customer Info'!$A:$B,2,0)</f>
        <v>Jack</v>
      </c>
      <c r="H4300" s="6" t="str">
        <f>VLOOKUP(F4300,'Customer Info'!$A$1:$C$501,3,0)</f>
        <v>Garza</v>
      </c>
      <c r="I4300" s="6" t="str">
        <f>VLOOKUP(F4300,Customer,5,0)</f>
        <v>Oldenburg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8">
        <f t="shared" si="337"/>
        <v>946</v>
      </c>
      <c r="Q4300" s="8">
        <f t="shared" si="338"/>
        <v>52</v>
      </c>
      <c r="R4300" s="2" t="s">
        <v>50</v>
      </c>
      <c r="S4300" s="24">
        <f t="shared" si="339"/>
        <v>0.02</v>
      </c>
    </row>
    <row r="4301" spans="1:19" x14ac:dyDescent="0.25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>VLOOKUP(F4301,'Customer Info'!$A:$B,2,0)</f>
        <v>Troy</v>
      </c>
      <c r="H4301" s="6" t="str">
        <f>VLOOKUP(F4301,'Customer Info'!$A$1:$C$501,3,0)</f>
        <v>Blackwell</v>
      </c>
      <c r="I4301" s="6" t="str">
        <f>VLOOKUP(F4301,Customer,5,0)</f>
        <v>Krefeld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8">
        <f t="shared" si="337"/>
        <v>14569</v>
      </c>
      <c r="Q4301" s="8">
        <f t="shared" si="338"/>
        <v>1062</v>
      </c>
      <c r="R4301" s="2" t="s">
        <v>50</v>
      </c>
      <c r="S4301" s="24">
        <f t="shared" si="339"/>
        <v>0.05</v>
      </c>
    </row>
    <row r="4302" spans="1:19" x14ac:dyDescent="0.25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>VLOOKUP(F4302,'Customer Info'!$A:$B,2,0)</f>
        <v>Stewart</v>
      </c>
      <c r="H4302" s="6" t="str">
        <f>VLOOKUP(F4302,'Customer Info'!$A$1:$C$501,3,0)</f>
        <v>Visinsky</v>
      </c>
      <c r="I4302" s="6" t="str">
        <f>VLOOKUP(F4302,Customer,5,0)</f>
        <v>Shenyang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8">
        <f t="shared" si="337"/>
        <v>6882</v>
      </c>
      <c r="Q4302" s="8">
        <f t="shared" si="338"/>
        <v>386</v>
      </c>
      <c r="R4302" s="2" t="s">
        <v>28</v>
      </c>
      <c r="S4302" s="24">
        <f t="shared" si="339"/>
        <v>0.05</v>
      </c>
    </row>
    <row r="4303" spans="1:19" x14ac:dyDescent="0.25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>VLOOKUP(F4303,'Customer Info'!$A:$B,2,0)</f>
        <v>Aaron</v>
      </c>
      <c r="H4303" s="6" t="str">
        <f>VLOOKUP(F4303,'Customer Info'!$A$1:$C$501,3,0)</f>
        <v>Smayling</v>
      </c>
      <c r="I4303" s="6" t="str">
        <f>VLOOKUP(F4303,Customer,5,0)</f>
        <v>Dresden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8">
        <f t="shared" si="337"/>
        <v>1747</v>
      </c>
      <c r="Q4303" s="8">
        <f t="shared" si="338"/>
        <v>32</v>
      </c>
      <c r="R4303" s="2" t="s">
        <v>28</v>
      </c>
      <c r="S4303" s="24">
        <f t="shared" si="339"/>
        <v>0.02</v>
      </c>
    </row>
    <row r="4304" spans="1:19" x14ac:dyDescent="0.25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>VLOOKUP(F4304,'Customer Info'!$A:$B,2,0)</f>
        <v>Anthony</v>
      </c>
      <c r="H4304" s="6" t="str">
        <f>VLOOKUP(F4304,'Customer Info'!$A$1:$C$501,3,0)</f>
        <v>O'Donnell</v>
      </c>
      <c r="I4304" s="6" t="str">
        <f>VLOOKUP(F4304,Customer,5,0)</f>
        <v>Berlin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4239</v>
      </c>
      <c r="O4304" s="2">
        <v>84</v>
      </c>
      <c r="P4304" s="8">
        <f t="shared" si="337"/>
        <v>4323</v>
      </c>
      <c r="Q4304" s="8">
        <f t="shared" si="338"/>
        <v>237</v>
      </c>
      <c r="R4304" s="2" t="s">
        <v>50</v>
      </c>
      <c r="S4304" s="24">
        <f t="shared" si="339"/>
        <v>0.02</v>
      </c>
    </row>
    <row r="4305" spans="1:19" x14ac:dyDescent="0.25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>VLOOKUP(F4305,'Customer Info'!$A:$B,2,0)</f>
        <v>Susan</v>
      </c>
      <c r="H4305" s="6" t="str">
        <f>VLOOKUP(F4305,'Customer Info'!$A$1:$C$501,3,0)</f>
        <v>MacKendrick</v>
      </c>
      <c r="I4305" s="6" t="str">
        <f>VLOOKUP(F4305,Customer,5,0)</f>
        <v>Brisbane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7644</v>
      </c>
      <c r="O4305" s="2">
        <v>37</v>
      </c>
      <c r="P4305" s="8">
        <f t="shared" si="337"/>
        <v>7681</v>
      </c>
      <c r="Q4305" s="8">
        <f t="shared" si="338"/>
        <v>504</v>
      </c>
      <c r="R4305" s="2" t="s">
        <v>26</v>
      </c>
      <c r="S4305" s="24">
        <f t="shared" si="339"/>
        <v>0.05</v>
      </c>
    </row>
    <row r="4306" spans="1:19" x14ac:dyDescent="0.25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>VLOOKUP(F4306,'Customer Info'!$A:$B,2,0)</f>
        <v>Tom</v>
      </c>
      <c r="H4306" s="6" t="str">
        <f>VLOOKUP(F4306,'Customer Info'!$A$1:$C$501,3,0)</f>
        <v>Prescott</v>
      </c>
      <c r="I4306" s="6" t="str">
        <f>VLOOKUP(F4306,Customer,5,0)</f>
        <v>Bokaro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1144</v>
      </c>
      <c r="O4306" s="2">
        <v>30</v>
      </c>
      <c r="P4306" s="8">
        <f t="shared" si="337"/>
        <v>1174</v>
      </c>
      <c r="Q4306" s="8">
        <f t="shared" si="338"/>
        <v>48</v>
      </c>
      <c r="R4306" s="2" t="s">
        <v>28</v>
      </c>
      <c r="S4306" s="24">
        <f t="shared" si="339"/>
        <v>0.02</v>
      </c>
    </row>
    <row r="4307" spans="1:19" x14ac:dyDescent="0.25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>VLOOKUP(F4307,'Customer Info'!$A:$B,2,0)</f>
        <v>Erin</v>
      </c>
      <c r="H4307" s="6" t="str">
        <f>VLOOKUP(F4307,'Customer Info'!$A$1:$C$501,3,0)</f>
        <v>Smith</v>
      </c>
      <c r="I4307" s="6" t="str">
        <f>VLOOKUP(F4307,Customer,5,0)</f>
        <v>Bremen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567</v>
      </c>
      <c r="O4307" s="2">
        <v>10</v>
      </c>
      <c r="P4307" s="8">
        <f t="shared" si="337"/>
        <v>577</v>
      </c>
      <c r="Q4307" s="8">
        <f t="shared" si="338"/>
        <v>45</v>
      </c>
      <c r="R4307" s="2" t="s">
        <v>28</v>
      </c>
      <c r="S4307" s="24">
        <f t="shared" si="339"/>
        <v>0.02</v>
      </c>
    </row>
    <row r="4308" spans="1:19" x14ac:dyDescent="0.25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>VLOOKUP(F4308,'Customer Info'!$A:$B,2,0)</f>
        <v>Kristina</v>
      </c>
      <c r="H4308" s="6" t="str">
        <f>VLOOKUP(F4308,'Customer Info'!$A$1:$C$501,3,0)</f>
        <v>Nunn</v>
      </c>
      <c r="I4308" s="6" t="str">
        <f>VLOOKUP(F4308,Customer,5,0)</f>
        <v>Sydney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12024</v>
      </c>
      <c r="O4308" s="2">
        <v>89</v>
      </c>
      <c r="P4308" s="8">
        <f t="shared" si="337"/>
        <v>12113</v>
      </c>
      <c r="Q4308" s="8">
        <f t="shared" si="338"/>
        <v>670</v>
      </c>
      <c r="R4308" s="2" t="s">
        <v>28</v>
      </c>
      <c r="S4308" s="24">
        <f t="shared" si="339"/>
        <v>0.05</v>
      </c>
    </row>
    <row r="4309" spans="1:19" x14ac:dyDescent="0.25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>VLOOKUP(F4309,'Customer Info'!$A:$B,2,0)</f>
        <v>Tim</v>
      </c>
      <c r="H4309" s="6" t="str">
        <f>VLOOKUP(F4309,'Customer Info'!$A$1:$C$501,3,0)</f>
        <v>Brockman</v>
      </c>
      <c r="I4309" s="6" t="str">
        <f>VLOOKUP(F4309,Customer,5,0)</f>
        <v>Toowoomba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69</v>
      </c>
      <c r="O4309" s="2">
        <v>10</v>
      </c>
      <c r="P4309" s="8">
        <f t="shared" si="337"/>
        <v>79</v>
      </c>
      <c r="Q4309" s="8">
        <f t="shared" si="338"/>
        <v>6</v>
      </c>
      <c r="R4309" s="2" t="s">
        <v>50</v>
      </c>
      <c r="S4309" s="24">
        <f t="shared" si="339"/>
        <v>0.02</v>
      </c>
    </row>
    <row r="4310" spans="1:19" x14ac:dyDescent="0.25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>VLOOKUP(F4310,'Customer Info'!$A:$B,2,0)</f>
        <v>Lindsay</v>
      </c>
      <c r="H4310" s="6" t="str">
        <f>VLOOKUP(F4310,'Customer Info'!$A$1:$C$501,3,0)</f>
        <v>Shagiari</v>
      </c>
      <c r="I4310" s="6" t="str">
        <f>VLOOKUP(F4310,Customer,5,0)</f>
        <v>Canberra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1882</v>
      </c>
      <c r="O4310" s="2">
        <v>36</v>
      </c>
      <c r="P4310" s="8">
        <f t="shared" si="337"/>
        <v>1918</v>
      </c>
      <c r="Q4310" s="8">
        <f t="shared" si="338"/>
        <v>90</v>
      </c>
      <c r="R4310" s="2" t="s">
        <v>28</v>
      </c>
      <c r="S4310" s="24">
        <f t="shared" si="339"/>
        <v>0.02</v>
      </c>
    </row>
    <row r="4311" spans="1:19" x14ac:dyDescent="0.25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>VLOOKUP(F4311,'Customer Info'!$A:$B,2,0)</f>
        <v>Toby</v>
      </c>
      <c r="H4311" s="6" t="str">
        <f>VLOOKUP(F4311,'Customer Info'!$A$1:$C$501,3,0)</f>
        <v>Braunhardt</v>
      </c>
      <c r="I4311" s="6" t="str">
        <f>VLOOKUP(F4311,Customer,5,0)</f>
        <v>Perth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20204</v>
      </c>
      <c r="O4311" s="2">
        <v>41</v>
      </c>
      <c r="P4311" s="8">
        <f t="shared" si="337"/>
        <v>20245</v>
      </c>
      <c r="Q4311" s="8">
        <f t="shared" si="338"/>
        <v>1668</v>
      </c>
      <c r="R4311" s="2" t="s">
        <v>28</v>
      </c>
      <c r="S4311" s="24">
        <f t="shared" si="339"/>
        <v>0.05</v>
      </c>
    </row>
    <row r="4312" spans="1:19" x14ac:dyDescent="0.25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>VLOOKUP(F4312,'Customer Info'!$A:$B,2,0)</f>
        <v>Emily</v>
      </c>
      <c r="H4312" s="6" t="str">
        <f>VLOOKUP(F4312,'Customer Info'!$A$1:$C$501,3,0)</f>
        <v>Burns</v>
      </c>
      <c r="I4312" s="6" t="str">
        <f>VLOOKUP(F4312,Customer,5,0)</f>
        <v>Adelaide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7474</v>
      </c>
      <c r="O4312" s="2">
        <v>39</v>
      </c>
      <c r="P4312" s="8">
        <f t="shared" si="337"/>
        <v>7513</v>
      </c>
      <c r="Q4312" s="8">
        <f t="shared" si="338"/>
        <v>616</v>
      </c>
      <c r="R4312" s="2" t="s">
        <v>28</v>
      </c>
      <c r="S4312" s="24">
        <f t="shared" si="339"/>
        <v>0.05</v>
      </c>
    </row>
    <row r="4313" spans="1:19" x14ac:dyDescent="0.25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>VLOOKUP(F4313,'Customer Info'!$A:$B,2,0)</f>
        <v>Evan</v>
      </c>
      <c r="H4313" s="6" t="str">
        <f>VLOOKUP(F4313,'Customer Info'!$A$1:$C$501,3,0)</f>
        <v>Bailliet</v>
      </c>
      <c r="I4313" s="6" t="str">
        <f>VLOOKUP(F4313,Customer,5,0)</f>
        <v>Sydney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5686</v>
      </c>
      <c r="O4313" s="2">
        <v>74</v>
      </c>
      <c r="P4313" s="8">
        <f t="shared" si="337"/>
        <v>5760</v>
      </c>
      <c r="Q4313" s="8">
        <f t="shared" si="338"/>
        <v>216</v>
      </c>
      <c r="R4313" s="2" t="s">
        <v>50</v>
      </c>
      <c r="S4313" s="24">
        <f t="shared" si="339"/>
        <v>0.05</v>
      </c>
    </row>
    <row r="4314" spans="1:19" x14ac:dyDescent="0.25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>VLOOKUP(F4314,'Customer Info'!$A:$B,2,0)</f>
        <v>Bradley</v>
      </c>
      <c r="H4314" s="6" t="str">
        <f>VLOOKUP(F4314,'Customer Info'!$A$1:$C$501,3,0)</f>
        <v>Nguyen</v>
      </c>
      <c r="I4314" s="6" t="str">
        <f>VLOOKUP(F4314,Customer,5,0)</f>
        <v>Shenzhen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1984</v>
      </c>
      <c r="O4314" s="2">
        <v>92</v>
      </c>
      <c r="P4314" s="8">
        <f t="shared" si="337"/>
        <v>2076</v>
      </c>
      <c r="Q4314" s="8">
        <f t="shared" si="338"/>
        <v>128</v>
      </c>
      <c r="R4314" s="2" t="s">
        <v>28</v>
      </c>
      <c r="S4314" s="24">
        <f t="shared" si="339"/>
        <v>0.02</v>
      </c>
    </row>
    <row r="4315" spans="1:19" x14ac:dyDescent="0.25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>VLOOKUP(F4315,'Customer Info'!$A:$B,2,0)</f>
        <v>Corey</v>
      </c>
      <c r="H4315" s="6" t="str">
        <f>VLOOKUP(F4315,'Customer Info'!$A$1:$C$501,3,0)</f>
        <v>Lock</v>
      </c>
      <c r="I4315" s="6" t="str">
        <f>VLOOKUP(F4315,Customer,5,0)</f>
        <v>Geelong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507</v>
      </c>
      <c r="O4315" s="2">
        <v>30</v>
      </c>
      <c r="P4315" s="8">
        <f t="shared" si="337"/>
        <v>537</v>
      </c>
      <c r="Q4315" s="8">
        <f t="shared" si="338"/>
        <v>45</v>
      </c>
      <c r="R4315" s="2" t="s">
        <v>28</v>
      </c>
      <c r="S4315" s="24">
        <f t="shared" si="339"/>
        <v>0.02</v>
      </c>
    </row>
    <row r="4316" spans="1:19" x14ac:dyDescent="0.25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>VLOOKUP(F4316,'Customer Info'!$A:$B,2,0)</f>
        <v>Erin</v>
      </c>
      <c r="H4316" s="6" t="str">
        <f>VLOOKUP(F4316,'Customer Info'!$A$1:$C$501,3,0)</f>
        <v>Smith</v>
      </c>
      <c r="I4316" s="6" t="str">
        <f>VLOOKUP(F4316,Customer,5,0)</f>
        <v>Yuci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9410</v>
      </c>
      <c r="O4316" s="2">
        <v>84</v>
      </c>
      <c r="P4316" s="8">
        <f t="shared" si="337"/>
        <v>9494</v>
      </c>
      <c r="Q4316" s="8">
        <f t="shared" si="338"/>
        <v>450</v>
      </c>
      <c r="R4316" s="2" t="s">
        <v>28</v>
      </c>
      <c r="S4316" s="24">
        <f t="shared" si="339"/>
        <v>0.05</v>
      </c>
    </row>
    <row r="4317" spans="1:19" x14ac:dyDescent="0.25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>VLOOKUP(F4317,'Customer Info'!$A:$B,2,0)</f>
        <v>Brooke</v>
      </c>
      <c r="H4317" s="6" t="str">
        <f>VLOOKUP(F4317,'Customer Info'!$A$1:$C$501,3,0)</f>
        <v>Gillingham</v>
      </c>
      <c r="I4317" s="6" t="str">
        <f>VLOOKUP(F4317,Customer,5,0)</f>
        <v>Geraldton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1316</v>
      </c>
      <c r="O4317" s="2">
        <v>68</v>
      </c>
      <c r="P4317" s="8">
        <f t="shared" si="337"/>
        <v>1384</v>
      </c>
      <c r="Q4317" s="8">
        <f t="shared" si="338"/>
        <v>86</v>
      </c>
      <c r="R4317" s="2" t="s">
        <v>50</v>
      </c>
      <c r="S4317" s="24">
        <f t="shared" si="339"/>
        <v>0.02</v>
      </c>
    </row>
    <row r="4318" spans="1:19" x14ac:dyDescent="0.25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>VLOOKUP(F4318,'Customer Info'!$A:$B,2,0)</f>
        <v>Bart</v>
      </c>
      <c r="H4318" s="6" t="str">
        <f>VLOOKUP(F4318,'Customer Info'!$A$1:$C$501,3,0)</f>
        <v>Folk</v>
      </c>
      <c r="I4318" s="6" t="str">
        <f>VLOOKUP(F4318,Customer,5,0)</f>
        <v>Melbourne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7922</v>
      </c>
      <c r="O4318" s="2">
        <v>100</v>
      </c>
      <c r="P4318" s="8">
        <f t="shared" si="337"/>
        <v>8022</v>
      </c>
      <c r="Q4318" s="8">
        <f t="shared" si="338"/>
        <v>594</v>
      </c>
      <c r="R4318" s="2" t="s">
        <v>28</v>
      </c>
      <c r="S4318" s="24">
        <f t="shared" si="339"/>
        <v>0.05</v>
      </c>
    </row>
    <row r="4319" spans="1:19" x14ac:dyDescent="0.25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>VLOOKUP(F4319,'Customer Info'!$A:$B,2,0)</f>
        <v>Gary</v>
      </c>
      <c r="H4319" s="6" t="str">
        <f>VLOOKUP(F4319,'Customer Info'!$A$1:$C$501,3,0)</f>
        <v>Mitchum</v>
      </c>
      <c r="I4319" s="6" t="str">
        <f>VLOOKUP(F4319,Customer,5,0)</f>
        <v>Mildura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1368</v>
      </c>
      <c r="O4319" s="2">
        <v>82</v>
      </c>
      <c r="P4319" s="8">
        <f t="shared" si="337"/>
        <v>1450</v>
      </c>
      <c r="Q4319" s="8">
        <f t="shared" si="338"/>
        <v>78</v>
      </c>
      <c r="R4319" s="2" t="s">
        <v>28</v>
      </c>
      <c r="S4319" s="24">
        <f t="shared" si="339"/>
        <v>0.02</v>
      </c>
    </row>
    <row r="4320" spans="1:19" x14ac:dyDescent="0.25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>VLOOKUP(F4320,'Customer Info'!$A:$B,2,0)</f>
        <v>Jennifer</v>
      </c>
      <c r="H4320" s="6" t="str">
        <f>VLOOKUP(F4320,'Customer Info'!$A$1:$C$501,3,0)</f>
        <v>Halladay</v>
      </c>
      <c r="I4320" s="6" t="str">
        <f>VLOOKUP(F4320,Customer,5,0)</f>
        <v>Bielefeld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564</v>
      </c>
      <c r="O4320" s="2">
        <v>30</v>
      </c>
      <c r="P4320" s="8">
        <f t="shared" si="337"/>
        <v>594</v>
      </c>
      <c r="Q4320" s="8">
        <f t="shared" si="338"/>
        <v>40</v>
      </c>
      <c r="R4320" s="2" t="s">
        <v>28</v>
      </c>
      <c r="S4320" s="24">
        <f t="shared" si="339"/>
        <v>0.02</v>
      </c>
    </row>
    <row r="4321" spans="1:19" x14ac:dyDescent="0.25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>VLOOKUP(F4321,'Customer Info'!$A:$B,2,0)</f>
        <v>Andy</v>
      </c>
      <c r="H4321" s="6" t="str">
        <f>VLOOKUP(F4321,'Customer Info'!$A$1:$C$501,3,0)</f>
        <v>Yotov</v>
      </c>
      <c r="I4321" s="6" t="str">
        <f>VLOOKUP(F4321,Customer,5,0)</f>
        <v>Samarinda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222</v>
      </c>
      <c r="O4321" s="2">
        <v>55</v>
      </c>
      <c r="P4321" s="8">
        <f t="shared" si="337"/>
        <v>277</v>
      </c>
      <c r="Q4321" s="8">
        <f t="shared" si="338"/>
        <v>18</v>
      </c>
      <c r="R4321" s="2" t="s">
        <v>28</v>
      </c>
      <c r="S4321" s="24">
        <f t="shared" si="339"/>
        <v>0.02</v>
      </c>
    </row>
    <row r="4322" spans="1:19" x14ac:dyDescent="0.25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>VLOOKUP(F4322,'Customer Info'!$A:$B,2,0)</f>
        <v>Ralph</v>
      </c>
      <c r="H4322" s="6" t="str">
        <f>VLOOKUP(F4322,'Customer Info'!$A$1:$C$501,3,0)</f>
        <v>Kennedy</v>
      </c>
      <c r="I4322" s="6" t="str">
        <f>VLOOKUP(F4322,Customer,5,0)</f>
        <v>Bundaberg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7512</v>
      </c>
      <c r="O4322" s="2">
        <v>72</v>
      </c>
      <c r="P4322" s="8">
        <f t="shared" si="337"/>
        <v>7584</v>
      </c>
      <c r="Q4322" s="8">
        <f t="shared" si="338"/>
        <v>352</v>
      </c>
      <c r="R4322" s="2" t="s">
        <v>28</v>
      </c>
      <c r="S4322" s="24">
        <f t="shared" si="339"/>
        <v>0.05</v>
      </c>
    </row>
    <row r="4323" spans="1:19" x14ac:dyDescent="0.25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>VLOOKUP(F4323,'Customer Info'!$A:$B,2,0)</f>
        <v>Bill</v>
      </c>
      <c r="H4323" s="6" t="str">
        <f>VLOOKUP(F4323,'Customer Info'!$A$1:$C$501,3,0)</f>
        <v>Donatelli</v>
      </c>
      <c r="I4323" s="6" t="str">
        <f>VLOOKUP(F4323,Customer,5,0)</f>
        <v>Kamarhati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6234</v>
      </c>
      <c r="O4323" s="2">
        <v>52</v>
      </c>
      <c r="P4323" s="8">
        <f t="shared" si="337"/>
        <v>6286</v>
      </c>
      <c r="Q4323" s="8">
        <f t="shared" si="338"/>
        <v>510</v>
      </c>
      <c r="R4323" s="2" t="s">
        <v>28</v>
      </c>
      <c r="S4323" s="24">
        <f t="shared" si="339"/>
        <v>0.05</v>
      </c>
    </row>
    <row r="4324" spans="1:19" x14ac:dyDescent="0.25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>VLOOKUP(F4324,'Customer Info'!$A:$B,2,0)</f>
        <v>Ionia</v>
      </c>
      <c r="H4324" s="6" t="str">
        <f>VLOOKUP(F4324,'Customer Info'!$A$1:$C$501,3,0)</f>
        <v>McGrath</v>
      </c>
      <c r="I4324" s="6" t="str">
        <f>VLOOKUP(F4324,Customer,5,0)</f>
        <v>Dormagen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4444</v>
      </c>
      <c r="O4324" s="2">
        <v>69</v>
      </c>
      <c r="P4324" s="8">
        <f t="shared" si="337"/>
        <v>4513</v>
      </c>
      <c r="Q4324" s="8">
        <f t="shared" si="338"/>
        <v>282</v>
      </c>
      <c r="R4324" s="2" t="s">
        <v>28</v>
      </c>
      <c r="S4324" s="24">
        <f t="shared" si="339"/>
        <v>0.02</v>
      </c>
    </row>
    <row r="4325" spans="1:19" x14ac:dyDescent="0.25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>VLOOKUP(F4325,'Customer Info'!$A:$B,2,0)</f>
        <v>Thomas</v>
      </c>
      <c r="H4325" s="6" t="str">
        <f>VLOOKUP(F4325,'Customer Info'!$A$1:$C$501,3,0)</f>
        <v>Brumley</v>
      </c>
      <c r="I4325" s="6" t="str">
        <f>VLOOKUP(F4325,Customer,5,0)</f>
        <v>Launceston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8886</v>
      </c>
      <c r="O4325" s="2">
        <v>76</v>
      </c>
      <c r="P4325" s="8">
        <f t="shared" si="337"/>
        <v>8962</v>
      </c>
      <c r="Q4325" s="8">
        <f t="shared" si="338"/>
        <v>728</v>
      </c>
      <c r="R4325" s="2" t="s">
        <v>28</v>
      </c>
      <c r="S4325" s="24">
        <f t="shared" si="339"/>
        <v>0.05</v>
      </c>
    </row>
    <row r="4326" spans="1:19" x14ac:dyDescent="0.25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>VLOOKUP(F4326,'Customer Info'!$A:$B,2,0)</f>
        <v>Nick</v>
      </c>
      <c r="H4326" s="6" t="str">
        <f>VLOOKUP(F4326,'Customer Info'!$A$1:$C$501,3,0)</f>
        <v>Radford</v>
      </c>
      <c r="I4326" s="6" t="str">
        <f>VLOOKUP(F4326,Customer,5,0)</f>
        <v>Lucknow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1780</v>
      </c>
      <c r="O4326" s="2">
        <v>48</v>
      </c>
      <c r="P4326" s="8">
        <f t="shared" si="337"/>
        <v>1828</v>
      </c>
      <c r="Q4326" s="8">
        <f t="shared" si="338"/>
        <v>120</v>
      </c>
      <c r="R4326" s="2" t="s">
        <v>26</v>
      </c>
      <c r="S4326" s="24">
        <f t="shared" si="339"/>
        <v>0.02</v>
      </c>
    </row>
    <row r="4327" spans="1:19" x14ac:dyDescent="0.25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>VLOOKUP(F4327,'Customer Info'!$A:$B,2,0)</f>
        <v>Troy</v>
      </c>
      <c r="H4327" s="6" t="str">
        <f>VLOOKUP(F4327,'Customer Info'!$A$1:$C$501,3,0)</f>
        <v>Blackwell</v>
      </c>
      <c r="I4327" s="6" t="str">
        <f>VLOOKUP(F4327,Customer,5,0)</f>
        <v>Akola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9808</v>
      </c>
      <c r="O4327" s="2">
        <v>74</v>
      </c>
      <c r="P4327" s="8">
        <f t="shared" si="337"/>
        <v>9882</v>
      </c>
      <c r="Q4327" s="8">
        <f t="shared" si="338"/>
        <v>810</v>
      </c>
      <c r="R4327" s="2" t="s">
        <v>50</v>
      </c>
      <c r="S4327" s="24">
        <f t="shared" si="339"/>
        <v>0.05</v>
      </c>
    </row>
    <row r="4328" spans="1:19" x14ac:dyDescent="0.25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>VLOOKUP(F4328,'Customer Info'!$A:$B,2,0)</f>
        <v>Tony</v>
      </c>
      <c r="H4328" s="6" t="str">
        <f>VLOOKUP(F4328,'Customer Info'!$A$1:$C$501,3,0)</f>
        <v>Sayre</v>
      </c>
      <c r="I4328" s="6" t="str">
        <f>VLOOKUP(F4328,Customer,5,0)</f>
        <v>Bharatpur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5163</v>
      </c>
      <c r="O4328" s="2">
        <v>81</v>
      </c>
      <c r="P4328" s="8">
        <f t="shared" si="337"/>
        <v>5244</v>
      </c>
      <c r="Q4328" s="8">
        <f t="shared" si="338"/>
        <v>243</v>
      </c>
      <c r="R4328" s="2" t="s">
        <v>28</v>
      </c>
      <c r="S4328" s="24">
        <f t="shared" si="339"/>
        <v>0.05</v>
      </c>
    </row>
    <row r="4329" spans="1:19" x14ac:dyDescent="0.25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>VLOOKUP(F4329,'Customer Info'!$A:$B,2,0)</f>
        <v>Victoria</v>
      </c>
      <c r="H4329" s="6" t="str">
        <f>VLOOKUP(F4329,'Customer Info'!$A$1:$C$501,3,0)</f>
        <v>Pisteka</v>
      </c>
      <c r="I4329" s="6" t="str">
        <f>VLOOKUP(F4329,Customer,5,0)</f>
        <v>Bokaro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3300</v>
      </c>
      <c r="O4329" s="2">
        <v>45</v>
      </c>
      <c r="P4329" s="8">
        <f t="shared" si="337"/>
        <v>3345</v>
      </c>
      <c r="Q4329" s="8">
        <f t="shared" si="338"/>
        <v>128</v>
      </c>
      <c r="R4329" s="2" t="s">
        <v>28</v>
      </c>
      <c r="S4329" s="24">
        <f t="shared" si="339"/>
        <v>0.02</v>
      </c>
    </row>
    <row r="4330" spans="1:19" x14ac:dyDescent="0.25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>VLOOKUP(F4330,'Customer Info'!$A:$B,2,0)</f>
        <v>Sonia</v>
      </c>
      <c r="H4330" s="6" t="str">
        <f>VLOOKUP(F4330,'Customer Info'!$A$1:$C$501,3,0)</f>
        <v>Sunley</v>
      </c>
      <c r="I4330" s="6" t="str">
        <f>VLOOKUP(F4330,Customer,5,0)</f>
        <v>Canberra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56</v>
      </c>
      <c r="O4330" s="2">
        <v>10</v>
      </c>
      <c r="P4330" s="8">
        <f t="shared" si="337"/>
        <v>66</v>
      </c>
      <c r="Q4330" s="8">
        <f t="shared" si="338"/>
        <v>2</v>
      </c>
      <c r="R4330" s="2" t="s">
        <v>26</v>
      </c>
      <c r="S4330" s="24">
        <f t="shared" si="339"/>
        <v>0.02</v>
      </c>
    </row>
    <row r="4331" spans="1:19" x14ac:dyDescent="0.25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>VLOOKUP(F4331,'Customer Info'!$A:$B,2,0)</f>
        <v>Brad</v>
      </c>
      <c r="H4331" s="6" t="str">
        <f>VLOOKUP(F4331,'Customer Info'!$A$1:$C$501,3,0)</f>
        <v>Thomas</v>
      </c>
      <c r="I4331" s="6" t="str">
        <f>VLOOKUP(F4331,Customer,5,0)</f>
        <v>Udaipur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346</v>
      </c>
      <c r="O4331" s="2">
        <v>30</v>
      </c>
      <c r="P4331" s="8">
        <f t="shared" si="337"/>
        <v>376</v>
      </c>
      <c r="Q4331" s="8">
        <f t="shared" si="338"/>
        <v>36</v>
      </c>
      <c r="R4331" s="2" t="s">
        <v>56</v>
      </c>
      <c r="S4331" s="24">
        <f t="shared" si="339"/>
        <v>0.02</v>
      </c>
    </row>
    <row r="4332" spans="1:19" x14ac:dyDescent="0.25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>VLOOKUP(F4332,'Customer Info'!$A:$B,2,0)</f>
        <v>Ryan</v>
      </c>
      <c r="H4332" s="6" t="str">
        <f>VLOOKUP(F4332,'Customer Info'!$A$1:$C$501,3,0)</f>
        <v>Akin</v>
      </c>
      <c r="I4332" s="6" t="str">
        <f>VLOOKUP(F4332,Customer,5,0)</f>
        <v>Bayreuth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8738</v>
      </c>
      <c r="O4332" s="2">
        <v>41</v>
      </c>
      <c r="P4332" s="8">
        <f t="shared" si="337"/>
        <v>8779</v>
      </c>
      <c r="Q4332" s="8">
        <f t="shared" si="338"/>
        <v>576</v>
      </c>
      <c r="R4332" s="2" t="s">
        <v>26</v>
      </c>
      <c r="S4332" s="24">
        <f t="shared" si="339"/>
        <v>0.05</v>
      </c>
    </row>
    <row r="4333" spans="1:19" x14ac:dyDescent="0.25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>VLOOKUP(F4333,'Customer Info'!$A:$B,2,0)</f>
        <v>Ralph</v>
      </c>
      <c r="H4333" s="6" t="str">
        <f>VLOOKUP(F4333,'Customer Info'!$A$1:$C$501,3,0)</f>
        <v>Kennedy</v>
      </c>
      <c r="I4333" s="6" t="str">
        <f>VLOOKUP(F4333,Customer,5,0)</f>
        <v>Bundaberg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1342</v>
      </c>
      <c r="O4333" s="2">
        <v>28</v>
      </c>
      <c r="P4333" s="8">
        <f t="shared" si="337"/>
        <v>1370</v>
      </c>
      <c r="Q4333" s="8">
        <f t="shared" si="338"/>
        <v>88</v>
      </c>
      <c r="R4333" s="2" t="s">
        <v>28</v>
      </c>
      <c r="S4333" s="24">
        <f t="shared" si="339"/>
        <v>0.02</v>
      </c>
    </row>
    <row r="4334" spans="1:19" x14ac:dyDescent="0.25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>VLOOKUP(F4334,'Customer Info'!$A:$B,2,0)</f>
        <v>Darren</v>
      </c>
      <c r="H4334" s="6" t="str">
        <f>VLOOKUP(F4334,'Customer Info'!$A$1:$C$501,3,0)</f>
        <v>Budd</v>
      </c>
      <c r="I4334" s="6" t="str">
        <f>VLOOKUP(F4334,Customer,5,0)</f>
        <v>Regensburg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9153</v>
      </c>
      <c r="O4334" s="2">
        <v>47</v>
      </c>
      <c r="P4334" s="8">
        <f t="shared" si="337"/>
        <v>9200</v>
      </c>
      <c r="Q4334" s="8">
        <f t="shared" si="338"/>
        <v>603</v>
      </c>
      <c r="R4334" s="2" t="s">
        <v>28</v>
      </c>
      <c r="S4334" s="24">
        <f t="shared" si="339"/>
        <v>0.05</v>
      </c>
    </row>
    <row r="4335" spans="1:19" x14ac:dyDescent="0.25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>VLOOKUP(F4335,'Customer Info'!$A:$B,2,0)</f>
        <v>Brad</v>
      </c>
      <c r="H4335" s="6" t="str">
        <f>VLOOKUP(F4335,'Customer Info'!$A$1:$C$501,3,0)</f>
        <v>Eason</v>
      </c>
      <c r="I4335" s="6" t="str">
        <f>VLOOKUP(F4335,Customer,5,0)</f>
        <v>Oberhausen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13890</v>
      </c>
      <c r="O4335" s="2">
        <v>59</v>
      </c>
      <c r="P4335" s="8">
        <f t="shared" si="337"/>
        <v>13949</v>
      </c>
      <c r="Q4335" s="8">
        <f t="shared" si="338"/>
        <v>1025</v>
      </c>
      <c r="R4335" s="2" t="s">
        <v>28</v>
      </c>
      <c r="S4335" s="24">
        <f t="shared" si="339"/>
        <v>0.05</v>
      </c>
    </row>
    <row r="4336" spans="1:19" x14ac:dyDescent="0.25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>VLOOKUP(F4336,'Customer Info'!$A:$B,2,0)</f>
        <v>Linda</v>
      </c>
      <c r="H4336" s="6" t="str">
        <f>VLOOKUP(F4336,'Customer Info'!$A$1:$C$501,3,0)</f>
        <v>Southworth</v>
      </c>
      <c r="I4336" s="6" t="str">
        <f>VLOOKUP(F4336,Customer,5,0)</f>
        <v>Brisbane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2724</v>
      </c>
      <c r="O4336" s="2">
        <v>89</v>
      </c>
      <c r="P4336" s="8">
        <f t="shared" si="337"/>
        <v>2813</v>
      </c>
      <c r="Q4336" s="8">
        <f t="shared" si="338"/>
        <v>156</v>
      </c>
      <c r="R4336" s="2" t="s">
        <v>28</v>
      </c>
      <c r="S4336" s="24">
        <f t="shared" si="339"/>
        <v>0.02</v>
      </c>
    </row>
    <row r="4337" spans="1:19" x14ac:dyDescent="0.25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>VLOOKUP(F4337,'Customer Info'!$A:$B,2,0)</f>
        <v>Neoma</v>
      </c>
      <c r="H4337" s="6" t="str">
        <f>VLOOKUP(F4337,'Customer Info'!$A$1:$C$501,3,0)</f>
        <v>Murray</v>
      </c>
      <c r="I4337" s="6" t="str">
        <f>VLOOKUP(F4337,Customer,5,0)</f>
        <v>Guwahati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2187</v>
      </c>
      <c r="O4337" s="2">
        <v>37</v>
      </c>
      <c r="P4337" s="8">
        <f t="shared" si="337"/>
        <v>2224</v>
      </c>
      <c r="Q4337" s="8">
        <f t="shared" si="338"/>
        <v>120</v>
      </c>
      <c r="R4337" s="2" t="s">
        <v>50</v>
      </c>
      <c r="S4337" s="24">
        <f t="shared" si="339"/>
        <v>0.02</v>
      </c>
    </row>
    <row r="4338" spans="1:19" x14ac:dyDescent="0.25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>VLOOKUP(F4338,'Customer Info'!$A:$B,2,0)</f>
        <v>Steven</v>
      </c>
      <c r="H4338" s="6" t="str">
        <f>VLOOKUP(F4338,'Customer Info'!$A$1:$C$501,3,0)</f>
        <v>Cartwright</v>
      </c>
      <c r="I4338" s="6" t="str">
        <f>VLOOKUP(F4338,Customer,5,0)</f>
        <v>Newcastle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13364</v>
      </c>
      <c r="O4338" s="2">
        <v>20</v>
      </c>
      <c r="P4338" s="8">
        <f t="shared" si="337"/>
        <v>13384</v>
      </c>
      <c r="Q4338" s="8">
        <f t="shared" si="338"/>
        <v>756</v>
      </c>
      <c r="R4338" s="2" t="s">
        <v>28</v>
      </c>
      <c r="S4338" s="24">
        <f t="shared" si="339"/>
        <v>0.05</v>
      </c>
    </row>
    <row r="4339" spans="1:19" x14ac:dyDescent="0.25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>VLOOKUP(F4339,'Customer Info'!$A:$B,2,0)</f>
        <v>Annie</v>
      </c>
      <c r="H4339" s="6" t="str">
        <f>VLOOKUP(F4339,'Customer Info'!$A$1:$C$501,3,0)</f>
        <v>Zypern</v>
      </c>
      <c r="I4339" s="6" t="str">
        <f>VLOOKUP(F4339,Customer,5,0)</f>
        <v>Brisbane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12738</v>
      </c>
      <c r="O4339" s="2">
        <v>48</v>
      </c>
      <c r="P4339" s="8">
        <f t="shared" si="337"/>
        <v>12786</v>
      </c>
      <c r="Q4339" s="8">
        <f t="shared" si="338"/>
        <v>1167</v>
      </c>
      <c r="R4339" s="2" t="s">
        <v>28</v>
      </c>
      <c r="S4339" s="24">
        <f t="shared" si="339"/>
        <v>0.05</v>
      </c>
    </row>
    <row r="4340" spans="1:19" x14ac:dyDescent="0.25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>VLOOKUP(F4340,'Customer Info'!$A:$B,2,0)</f>
        <v>Fred</v>
      </c>
      <c r="H4340" s="6" t="str">
        <f>VLOOKUP(F4340,'Customer Info'!$A$1:$C$501,3,0)</f>
        <v>Wasserman</v>
      </c>
      <c r="I4340" s="6" t="str">
        <f>VLOOKUP(F4340,Customer,5,0)</f>
        <v>Willich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666</v>
      </c>
      <c r="O4340" s="2">
        <v>68</v>
      </c>
      <c r="P4340" s="8">
        <f t="shared" si="337"/>
        <v>734</v>
      </c>
      <c r="Q4340" s="8">
        <f t="shared" si="338"/>
        <v>54</v>
      </c>
      <c r="R4340" s="2" t="s">
        <v>26</v>
      </c>
      <c r="S4340" s="24">
        <f t="shared" si="339"/>
        <v>0.02</v>
      </c>
    </row>
    <row r="4341" spans="1:19" x14ac:dyDescent="0.25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>VLOOKUP(F4341,'Customer Info'!$A:$B,2,0)</f>
        <v>David</v>
      </c>
      <c r="H4341" s="6" t="str">
        <f>VLOOKUP(F4341,'Customer Info'!$A$1:$C$501,3,0)</f>
        <v>Smith</v>
      </c>
      <c r="I4341" s="6" t="str">
        <f>VLOOKUP(F4341,Customer,5,0)</f>
        <v>Surat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370</v>
      </c>
      <c r="O4341" s="2">
        <v>30</v>
      </c>
      <c r="P4341" s="8">
        <f t="shared" si="337"/>
        <v>400</v>
      </c>
      <c r="Q4341" s="8">
        <f t="shared" si="338"/>
        <v>28</v>
      </c>
      <c r="R4341" s="2" t="s">
        <v>28</v>
      </c>
      <c r="S4341" s="24">
        <f t="shared" si="339"/>
        <v>0.02</v>
      </c>
    </row>
    <row r="4342" spans="1:19" x14ac:dyDescent="0.25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>VLOOKUP(F4342,'Customer Info'!$A:$B,2,0)</f>
        <v>Quincy</v>
      </c>
      <c r="H4342" s="6" t="str">
        <f>VLOOKUP(F4342,'Customer Info'!$A$1:$C$501,3,0)</f>
        <v>Jones</v>
      </c>
      <c r="I4342" s="6" t="str">
        <f>VLOOKUP(F4342,Customer,5,0)</f>
        <v>Gold Coast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954</v>
      </c>
      <c r="O4342" s="2">
        <v>94</v>
      </c>
      <c r="P4342" s="8">
        <f t="shared" si="337"/>
        <v>1048</v>
      </c>
      <c r="Q4342" s="8">
        <f t="shared" si="338"/>
        <v>53</v>
      </c>
      <c r="R4342" s="2" t="s">
        <v>28</v>
      </c>
      <c r="S4342" s="24">
        <f t="shared" si="339"/>
        <v>0.02</v>
      </c>
    </row>
    <row r="4343" spans="1:19" x14ac:dyDescent="0.25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>VLOOKUP(F4343,'Customer Info'!$A:$B,2,0)</f>
        <v>Ted</v>
      </c>
      <c r="H4343" s="6" t="str">
        <f>VLOOKUP(F4343,'Customer Info'!$A$1:$C$501,3,0)</f>
        <v>Trevino</v>
      </c>
      <c r="I4343" s="6" t="str">
        <f>VLOOKUP(F4343,Customer,5,0)</f>
        <v>Bendigo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615</v>
      </c>
      <c r="O4343" s="2">
        <v>30</v>
      </c>
      <c r="P4343" s="8">
        <f t="shared" si="337"/>
        <v>645</v>
      </c>
      <c r="Q4343" s="8">
        <f t="shared" si="338"/>
        <v>40</v>
      </c>
      <c r="R4343" s="2" t="s">
        <v>28</v>
      </c>
      <c r="S4343" s="24">
        <f t="shared" si="339"/>
        <v>0.02</v>
      </c>
    </row>
    <row r="4344" spans="1:19" x14ac:dyDescent="0.25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>VLOOKUP(F4344,'Customer Info'!$A:$B,2,0)</f>
        <v>Eugene</v>
      </c>
      <c r="H4344" s="6" t="str">
        <f>VLOOKUP(F4344,'Customer Info'!$A$1:$C$501,3,0)</f>
        <v>Hildebrand</v>
      </c>
      <c r="I4344" s="6" t="str">
        <f>VLOOKUP(F4344,Customer,5,0)</f>
        <v>Sindelfingen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916</v>
      </c>
      <c r="O4344" s="2">
        <v>27</v>
      </c>
      <c r="P4344" s="8">
        <f t="shared" si="337"/>
        <v>943</v>
      </c>
      <c r="Q4344" s="8">
        <f t="shared" si="338"/>
        <v>78</v>
      </c>
      <c r="R4344" s="2" t="s">
        <v>50</v>
      </c>
      <c r="S4344" s="24">
        <f t="shared" si="339"/>
        <v>0.02</v>
      </c>
    </row>
    <row r="4345" spans="1:19" x14ac:dyDescent="0.25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>VLOOKUP(F4345,'Customer Info'!$A:$B,2,0)</f>
        <v>Darrin</v>
      </c>
      <c r="H4345" s="6" t="str">
        <f>VLOOKUP(F4345,'Customer Info'!$A$1:$C$501,3,0)</f>
        <v>Sayre</v>
      </c>
      <c r="I4345" s="6" t="str">
        <f>VLOOKUP(F4345,Customer,5,0)</f>
        <v>Duisburg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8878</v>
      </c>
      <c r="O4345" s="2">
        <v>23</v>
      </c>
      <c r="P4345" s="8">
        <f t="shared" si="337"/>
        <v>8901</v>
      </c>
      <c r="Q4345" s="8">
        <f t="shared" si="338"/>
        <v>964</v>
      </c>
      <c r="R4345" s="2" t="s">
        <v>28</v>
      </c>
      <c r="S4345" s="24">
        <f t="shared" si="339"/>
        <v>0.05</v>
      </c>
    </row>
    <row r="4346" spans="1:19" x14ac:dyDescent="0.25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>VLOOKUP(F4346,'Customer Info'!$A:$B,2,0)</f>
        <v>Deirdre</v>
      </c>
      <c r="H4346" s="6" t="str">
        <f>VLOOKUP(F4346,'Customer Info'!$A$1:$C$501,3,0)</f>
        <v>Greer</v>
      </c>
      <c r="I4346" s="6" t="str">
        <f>VLOOKUP(F4346,Customer,5,0)</f>
        <v>Perth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5775</v>
      </c>
      <c r="O4346" s="2">
        <v>66</v>
      </c>
      <c r="P4346" s="8">
        <f t="shared" si="337"/>
        <v>5841</v>
      </c>
      <c r="Q4346" s="8">
        <f t="shared" si="338"/>
        <v>273</v>
      </c>
      <c r="R4346" s="2" t="s">
        <v>50</v>
      </c>
      <c r="S4346" s="24">
        <f t="shared" si="339"/>
        <v>0.05</v>
      </c>
    </row>
    <row r="4347" spans="1:19" x14ac:dyDescent="0.25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>VLOOKUP(F4347,'Customer Info'!$A:$B,2,0)</f>
        <v>Logan</v>
      </c>
      <c r="H4347" s="6" t="str">
        <f>VLOOKUP(F4347,'Customer Info'!$A$1:$C$501,3,0)</f>
        <v>Currie</v>
      </c>
      <c r="I4347" s="6" t="str">
        <f>VLOOKUP(F4347,Customer,5,0)</f>
        <v>Gold Coast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60</v>
      </c>
      <c r="O4347" s="2">
        <v>10</v>
      </c>
      <c r="P4347" s="8">
        <f t="shared" si="337"/>
        <v>70</v>
      </c>
      <c r="Q4347" s="8">
        <f t="shared" si="338"/>
        <v>4</v>
      </c>
      <c r="R4347" s="2" t="s">
        <v>50</v>
      </c>
      <c r="S4347" s="24">
        <f t="shared" si="339"/>
        <v>0.02</v>
      </c>
    </row>
    <row r="4348" spans="1:19" x14ac:dyDescent="0.25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>VLOOKUP(F4348,'Customer Info'!$A:$B,2,0)</f>
        <v>Shahid</v>
      </c>
      <c r="H4348" s="6" t="str">
        <f>VLOOKUP(F4348,'Customer Info'!$A$1:$C$501,3,0)</f>
        <v>Collister</v>
      </c>
      <c r="I4348" s="6" t="str">
        <f>VLOOKUP(F4348,Customer,5,0)</f>
        <v>Solapur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7398</v>
      </c>
      <c r="O4348" s="2">
        <v>28</v>
      </c>
      <c r="P4348" s="8">
        <f t="shared" si="337"/>
        <v>7426</v>
      </c>
      <c r="Q4348" s="8">
        <f t="shared" si="338"/>
        <v>417</v>
      </c>
      <c r="R4348" s="2" t="s">
        <v>28</v>
      </c>
      <c r="S4348" s="24">
        <f t="shared" si="339"/>
        <v>0.05</v>
      </c>
    </row>
    <row r="4349" spans="1:19" x14ac:dyDescent="0.25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>VLOOKUP(F4349,'Customer Info'!$A:$B,2,0)</f>
        <v>Shaun</v>
      </c>
      <c r="H4349" s="6" t="str">
        <f>VLOOKUP(F4349,'Customer Info'!$A$1:$C$501,3,0)</f>
        <v>Weien</v>
      </c>
      <c r="I4349" s="6" t="str">
        <f>VLOOKUP(F4349,Customer,5,0)</f>
        <v>Medan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6531</v>
      </c>
      <c r="O4349" s="2">
        <v>79</v>
      </c>
      <c r="P4349" s="8">
        <f t="shared" si="337"/>
        <v>6610</v>
      </c>
      <c r="Q4349" s="8">
        <f t="shared" si="338"/>
        <v>369</v>
      </c>
      <c r="R4349" s="2" t="s">
        <v>28</v>
      </c>
      <c r="S4349" s="24">
        <f t="shared" si="339"/>
        <v>0.05</v>
      </c>
    </row>
    <row r="4350" spans="1:19" x14ac:dyDescent="0.25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>VLOOKUP(F4350,'Customer Info'!$A:$B,2,0)</f>
        <v>Nicole</v>
      </c>
      <c r="H4350" s="6" t="str">
        <f>VLOOKUP(F4350,'Customer Info'!$A$1:$C$501,3,0)</f>
        <v>Fjeld</v>
      </c>
      <c r="I4350" s="6" t="str">
        <f>VLOOKUP(F4350,Customer,5,0)</f>
        <v>Berlin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1026</v>
      </c>
      <c r="O4350" s="2">
        <v>30</v>
      </c>
      <c r="P4350" s="8">
        <f t="shared" si="337"/>
        <v>1056</v>
      </c>
      <c r="Q4350" s="8">
        <f t="shared" si="338"/>
        <v>108</v>
      </c>
      <c r="R4350" s="2" t="s">
        <v>28</v>
      </c>
      <c r="S4350" s="24">
        <f t="shared" si="339"/>
        <v>0.02</v>
      </c>
    </row>
    <row r="4351" spans="1:19" x14ac:dyDescent="0.25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>VLOOKUP(F4351,'Customer Info'!$A:$B,2,0)</f>
        <v>Becky</v>
      </c>
      <c r="H4351" s="6" t="str">
        <f>VLOOKUP(F4351,'Customer Info'!$A$1:$C$501,3,0)</f>
        <v>Pak</v>
      </c>
      <c r="I4351" s="6" t="str">
        <f>VLOOKUP(F4351,Customer,5,0)</f>
        <v>Geelong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2688</v>
      </c>
      <c r="O4351" s="2">
        <v>92</v>
      </c>
      <c r="P4351" s="8">
        <f t="shared" si="337"/>
        <v>2780</v>
      </c>
      <c r="Q4351" s="8">
        <f t="shared" si="338"/>
        <v>78</v>
      </c>
      <c r="R4351" s="2" t="s">
        <v>50</v>
      </c>
      <c r="S4351" s="24">
        <f t="shared" si="339"/>
        <v>0.02</v>
      </c>
    </row>
    <row r="4352" spans="1:19" x14ac:dyDescent="0.25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>VLOOKUP(F4352,'Customer Info'!$A:$B,2,0)</f>
        <v>Larry</v>
      </c>
      <c r="H4352" s="6" t="str">
        <f>VLOOKUP(F4352,'Customer Info'!$A$1:$C$501,3,0)</f>
        <v>Blacks</v>
      </c>
      <c r="I4352" s="6" t="str">
        <f>VLOOKUP(F4352,Customer,5,0)</f>
        <v>Shangyu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6027</v>
      </c>
      <c r="O4352" s="2">
        <v>41</v>
      </c>
      <c r="P4352" s="8">
        <f t="shared" si="337"/>
        <v>6068</v>
      </c>
      <c r="Q4352" s="8">
        <f t="shared" si="338"/>
        <v>333</v>
      </c>
      <c r="R4352" s="2" t="s">
        <v>28</v>
      </c>
      <c r="S4352" s="24">
        <f t="shared" si="339"/>
        <v>0.05</v>
      </c>
    </row>
    <row r="4353" spans="1:19" x14ac:dyDescent="0.25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>VLOOKUP(F4353,'Customer Info'!$A:$B,2,0)</f>
        <v>Resi</v>
      </c>
      <c r="H4353" s="6" t="str">
        <f>VLOOKUP(F4353,'Customer Info'!$A$1:$C$501,3,0)</f>
        <v>Pšlking</v>
      </c>
      <c r="I4353" s="6" t="str">
        <f>VLOOKUP(F4353,Customer,5,0)</f>
        <v>Gelsenkirchen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4962</v>
      </c>
      <c r="O4353" s="2">
        <v>37</v>
      </c>
      <c r="P4353" s="8">
        <f t="shared" si="337"/>
        <v>4999</v>
      </c>
      <c r="Q4353" s="8">
        <f t="shared" si="338"/>
        <v>231</v>
      </c>
      <c r="R4353" s="2" t="s">
        <v>28</v>
      </c>
      <c r="S4353" s="24">
        <f t="shared" si="339"/>
        <v>0.02</v>
      </c>
    </row>
    <row r="4354" spans="1:19" x14ac:dyDescent="0.25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>VLOOKUP(F4354,'Customer Info'!$A:$B,2,0)</f>
        <v>Becky</v>
      </c>
      <c r="H4354" s="6" t="str">
        <f>VLOOKUP(F4354,'Customer Info'!$A$1:$C$501,3,0)</f>
        <v>Castell</v>
      </c>
      <c r="I4354" s="6" t="str">
        <f>VLOOKUP(F4354,Customer,5,0)</f>
        <v>Berlin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32750</v>
      </c>
      <c r="O4354" s="2">
        <v>82</v>
      </c>
      <c r="P4354" s="8">
        <f t="shared" si="337"/>
        <v>32832</v>
      </c>
      <c r="Q4354" s="8">
        <f t="shared" si="338"/>
        <v>1850</v>
      </c>
      <c r="R4354" s="2" t="s">
        <v>28</v>
      </c>
      <c r="S4354" s="24">
        <f t="shared" si="339"/>
        <v>7.0000000000000007E-2</v>
      </c>
    </row>
    <row r="4355" spans="1:19" x14ac:dyDescent="0.25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>VLOOKUP(F4355,'Customer Info'!$A:$B,2,0)</f>
        <v>Duane</v>
      </c>
      <c r="H4355" s="6" t="str">
        <f>VLOOKUP(F4355,'Customer Info'!$A$1:$C$501,3,0)</f>
        <v>Noonan</v>
      </c>
      <c r="I4355" s="6" t="str">
        <f>VLOOKUP(F4355,Customer,5,0)</f>
        <v>Durg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7932</v>
      </c>
      <c r="O4355" s="2">
        <v>70</v>
      </c>
      <c r="P4355" s="8">
        <f t="shared" si="337"/>
        <v>8002</v>
      </c>
      <c r="Q4355" s="8">
        <f t="shared" si="338"/>
        <v>657</v>
      </c>
      <c r="R4355" s="2" t="s">
        <v>28</v>
      </c>
      <c r="S4355" s="24">
        <f t="shared" si="339"/>
        <v>0.05</v>
      </c>
    </row>
    <row r="4356" spans="1:19" x14ac:dyDescent="0.25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>VLOOKUP(F4356,'Customer Info'!$A:$B,2,0)</f>
        <v>Shui</v>
      </c>
      <c r="H4356" s="6" t="str">
        <f>VLOOKUP(F4356,'Customer Info'!$A$1:$C$501,3,0)</f>
        <v>Tom</v>
      </c>
      <c r="I4356" s="6" t="str">
        <f>VLOOKUP(F4356,Customer,5,0)</f>
        <v>Melbourne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14630</v>
      </c>
      <c r="O4356" s="2">
        <v>100</v>
      </c>
      <c r="P4356" s="8">
        <f t="shared" si="337"/>
        <v>14730</v>
      </c>
      <c r="Q4356" s="8">
        <f t="shared" si="338"/>
        <v>696</v>
      </c>
      <c r="R4356" s="2" t="s">
        <v>26</v>
      </c>
      <c r="S4356" s="24">
        <f t="shared" si="339"/>
        <v>0.05</v>
      </c>
    </row>
    <row r="4357" spans="1:19" x14ac:dyDescent="0.25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>VLOOKUP(F4357,'Customer Info'!$A:$B,2,0)</f>
        <v>Georgia</v>
      </c>
      <c r="H4357" s="6" t="str">
        <f>VLOOKUP(F4357,'Customer Info'!$A$1:$C$501,3,0)</f>
        <v>Rosenberg</v>
      </c>
      <c r="I4357" s="6" t="str">
        <f>VLOOKUP(F4357,Customer,5,0)</f>
        <v>Srinagar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17718</v>
      </c>
      <c r="O4357" s="2">
        <v>93</v>
      </c>
      <c r="P4357" s="8">
        <f t="shared" si="337"/>
        <v>17811</v>
      </c>
      <c r="Q4357" s="8">
        <f t="shared" si="338"/>
        <v>1920</v>
      </c>
      <c r="R4357" s="2" t="s">
        <v>50</v>
      </c>
      <c r="S4357" s="24">
        <f t="shared" si="339"/>
        <v>0.05</v>
      </c>
    </row>
    <row r="4358" spans="1:19" x14ac:dyDescent="0.25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>VLOOKUP(F4358,'Customer Info'!$A:$B,2,0)</f>
        <v>Fred</v>
      </c>
      <c r="H4358" s="6" t="str">
        <f>VLOOKUP(F4358,'Customer Info'!$A$1:$C$501,3,0)</f>
        <v>Wasserman</v>
      </c>
      <c r="I4358" s="6" t="str">
        <f>VLOOKUP(F4358,Customer,5,0)</f>
        <v>Willich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16052</v>
      </c>
      <c r="O4358" s="2">
        <v>61</v>
      </c>
      <c r="P4358" s="8">
        <f t="shared" si="337"/>
        <v>16113</v>
      </c>
      <c r="Q4358" s="8">
        <f t="shared" si="338"/>
        <v>908</v>
      </c>
      <c r="R4358" s="2" t="s">
        <v>50</v>
      </c>
      <c r="S4358" s="24">
        <f t="shared" si="339"/>
        <v>0.05</v>
      </c>
    </row>
    <row r="4359" spans="1:19" x14ac:dyDescent="0.25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>VLOOKUP(F4359,'Customer Info'!$A:$B,2,0)</f>
        <v>Ralph</v>
      </c>
      <c r="H4359" s="6" t="str">
        <f>VLOOKUP(F4359,'Customer Info'!$A$1:$C$501,3,0)</f>
        <v>Arnett</v>
      </c>
      <c r="I4359" s="6" t="str">
        <f>VLOOKUP(F4359,Customer,5,0)</f>
        <v>Jhansi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1368</v>
      </c>
      <c r="O4359" s="2">
        <v>74</v>
      </c>
      <c r="P4359" s="8">
        <f t="shared" si="337"/>
        <v>1442</v>
      </c>
      <c r="Q4359" s="8">
        <f t="shared" si="338"/>
        <v>78</v>
      </c>
      <c r="R4359" s="2" t="s">
        <v>50</v>
      </c>
      <c r="S4359" s="24">
        <f t="shared" si="339"/>
        <v>0.02</v>
      </c>
    </row>
    <row r="4360" spans="1:19" x14ac:dyDescent="0.25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>VLOOKUP(F4360,'Customer Info'!$A:$B,2,0)</f>
        <v>Brooke</v>
      </c>
      <c r="H4360" s="6" t="str">
        <f>VLOOKUP(F4360,'Customer Info'!$A$1:$C$501,3,0)</f>
        <v>Gillingham</v>
      </c>
      <c r="I4360" s="6" t="str">
        <f>VLOOKUP(F4360,Customer,5,0)</f>
        <v>Sunbury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276</v>
      </c>
      <c r="O4360" s="2">
        <v>10</v>
      </c>
      <c r="P4360" s="8">
        <f t="shared" si="337"/>
        <v>286</v>
      </c>
      <c r="Q4360" s="8">
        <f t="shared" si="338"/>
        <v>24</v>
      </c>
      <c r="R4360" s="2" t="s">
        <v>28</v>
      </c>
      <c r="S4360" s="24">
        <f t="shared" si="339"/>
        <v>0.02</v>
      </c>
    </row>
    <row r="4361" spans="1:19" x14ac:dyDescent="0.25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>VLOOKUP(F4361,'Customer Info'!$A:$B,2,0)</f>
        <v>Aaron</v>
      </c>
      <c r="H4361" s="6" t="str">
        <f>VLOOKUP(F4361,'Customer Info'!$A$1:$C$501,3,0)</f>
        <v>Hawkins</v>
      </c>
      <c r="I4361" s="6" t="str">
        <f>VLOOKUP(F4361,Customer,5,0)</f>
        <v>Minden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16280</v>
      </c>
      <c r="O4361" s="2">
        <v>82</v>
      </c>
      <c r="P4361" s="8">
        <f t="shared" si="337"/>
        <v>16362</v>
      </c>
      <c r="Q4361" s="8">
        <f t="shared" si="338"/>
        <v>1485</v>
      </c>
      <c r="R4361" s="2" t="s">
        <v>50</v>
      </c>
      <c r="S4361" s="24">
        <f t="shared" si="339"/>
        <v>0.05</v>
      </c>
    </row>
    <row r="4362" spans="1:19" x14ac:dyDescent="0.25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>VLOOKUP(F4362,'Customer Info'!$A:$B,2,0)</f>
        <v>James</v>
      </c>
      <c r="H4362" s="6" t="str">
        <f>VLOOKUP(F4362,'Customer Info'!$A$1:$C$501,3,0)</f>
        <v>Lanier</v>
      </c>
      <c r="I4362" s="6" t="str">
        <f>VLOOKUP(F4362,Customer,5,0)</f>
        <v>Dortmund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4074</v>
      </c>
      <c r="O4362" s="2">
        <v>23</v>
      </c>
      <c r="P4362" s="8">
        <f t="shared" si="337"/>
        <v>4097</v>
      </c>
      <c r="Q4362" s="8">
        <f t="shared" si="338"/>
        <v>264</v>
      </c>
      <c r="R4362" s="2" t="s">
        <v>28</v>
      </c>
      <c r="S4362" s="24">
        <f t="shared" si="339"/>
        <v>0.02</v>
      </c>
    </row>
    <row r="4363" spans="1:19" x14ac:dyDescent="0.25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>VLOOKUP(F4363,'Customer Info'!$A:$B,2,0)</f>
        <v>Caroline</v>
      </c>
      <c r="H4363" s="6" t="str">
        <f>VLOOKUP(F4363,'Customer Info'!$A$1:$C$501,3,0)</f>
        <v>Jumper</v>
      </c>
      <c r="I4363" s="6" t="str">
        <f>VLOOKUP(F4363,Customer,5,0)</f>
        <v>Xuzhou</v>
      </c>
      <c r="J4363" s="2">
        <v>8967</v>
      </c>
      <c r="K4363" s="2">
        <v>8151</v>
      </c>
      <c r="L4363" s="2">
        <v>2</v>
      </c>
      <c r="M4363" s="7">
        <f t="shared" ref="M4363:M4426" si="340">K4363*L4363</f>
        <v>16302</v>
      </c>
      <c r="N4363" s="7">
        <f t="shared" ref="N4363:N4426" si="341">J4363*L4363</f>
        <v>17934</v>
      </c>
      <c r="O4363" s="2">
        <v>88</v>
      </c>
      <c r="P4363" s="8">
        <f t="shared" ref="P4363:P4426" si="342">N4363+O4363</f>
        <v>18022</v>
      </c>
      <c r="Q4363" s="8">
        <f t="shared" ref="Q4363:Q4426" si="343">N4363-M4363</f>
        <v>1632</v>
      </c>
      <c r="R4363" s="2" t="s">
        <v>50</v>
      </c>
      <c r="S4363" s="24">
        <f t="shared" ref="S4363:S4426" si="344">VLOOKUP(N4363,$T$1:$U$7,2,TRUE)</f>
        <v>0.05</v>
      </c>
    </row>
    <row r="4364" spans="1:19" x14ac:dyDescent="0.25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>VLOOKUP(F4364,'Customer Info'!$A:$B,2,0)</f>
        <v>Roger</v>
      </c>
      <c r="H4364" s="6" t="str">
        <f>VLOOKUP(F4364,'Customer Info'!$A$1:$C$501,3,0)</f>
        <v>Barcio</v>
      </c>
      <c r="I4364" s="6" t="str">
        <f>VLOOKUP(F4364,Customer,5,0)</f>
        <v>Celle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8">
        <f t="shared" si="342"/>
        <v>1329</v>
      </c>
      <c r="Q4364" s="8">
        <f t="shared" si="343"/>
        <v>82</v>
      </c>
      <c r="R4364" s="2" t="s">
        <v>28</v>
      </c>
      <c r="S4364" s="24">
        <f t="shared" si="344"/>
        <v>0.02</v>
      </c>
    </row>
    <row r="4365" spans="1:19" x14ac:dyDescent="0.25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>VLOOKUP(F4365,'Customer Info'!$A:$B,2,0)</f>
        <v>Tom</v>
      </c>
      <c r="H4365" s="6" t="str">
        <f>VLOOKUP(F4365,'Customer Info'!$A$1:$C$501,3,0)</f>
        <v>Boeckenhauer</v>
      </c>
      <c r="I4365" s="6" t="str">
        <f>VLOOKUP(F4365,Customer,5,0)</f>
        <v>Neunkirchen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8">
        <f t="shared" si="342"/>
        <v>6339</v>
      </c>
      <c r="Q4365" s="8">
        <f t="shared" si="343"/>
        <v>182</v>
      </c>
      <c r="R4365" s="2" t="s">
        <v>26</v>
      </c>
      <c r="S4365" s="24">
        <f t="shared" si="344"/>
        <v>0.05</v>
      </c>
    </row>
    <row r="4366" spans="1:19" x14ac:dyDescent="0.25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>VLOOKUP(F4366,'Customer Info'!$A:$B,2,0)</f>
        <v>Carl</v>
      </c>
      <c r="H4366" s="6" t="str">
        <f>VLOOKUP(F4366,'Customer Info'!$A$1:$C$501,3,0)</f>
        <v>Weiss</v>
      </c>
      <c r="I4366" s="6" t="str">
        <f>VLOOKUP(F4366,Customer,5,0)</f>
        <v>Delhi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8">
        <f t="shared" si="342"/>
        <v>780</v>
      </c>
      <c r="Q4366" s="8">
        <f t="shared" si="343"/>
        <v>40</v>
      </c>
      <c r="R4366" s="2" t="s">
        <v>50</v>
      </c>
      <c r="S4366" s="24">
        <f t="shared" si="344"/>
        <v>0.02</v>
      </c>
    </row>
    <row r="4367" spans="1:19" x14ac:dyDescent="0.25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>VLOOKUP(F4367,'Customer Info'!$A:$B,2,0)</f>
        <v>Shaun</v>
      </c>
      <c r="H4367" s="6" t="str">
        <f>VLOOKUP(F4367,'Customer Info'!$A$1:$C$501,3,0)</f>
        <v>Weien</v>
      </c>
      <c r="I4367" s="6" t="str">
        <f>VLOOKUP(F4367,Customer,5,0)</f>
        <v>Medan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8">
        <f t="shared" si="342"/>
        <v>809</v>
      </c>
      <c r="Q4367" s="8">
        <f t="shared" si="343"/>
        <v>64</v>
      </c>
      <c r="R4367" s="2" t="s">
        <v>28</v>
      </c>
      <c r="S4367" s="24">
        <f t="shared" si="344"/>
        <v>0.02</v>
      </c>
    </row>
    <row r="4368" spans="1:19" x14ac:dyDescent="0.25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>VLOOKUP(F4368,'Customer Info'!$A:$B,2,0)</f>
        <v>Keith</v>
      </c>
      <c r="H4368" s="6" t="str">
        <f>VLOOKUP(F4368,'Customer Info'!$A$1:$C$501,3,0)</f>
        <v>Herrera</v>
      </c>
      <c r="I4368" s="6" t="str">
        <f>VLOOKUP(F4368,Customer,5,0)</f>
        <v>Jakarta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435</v>
      </c>
      <c r="O4368" s="2">
        <v>10</v>
      </c>
      <c r="P4368" s="8">
        <f t="shared" si="342"/>
        <v>445</v>
      </c>
      <c r="Q4368" s="8">
        <f t="shared" si="343"/>
        <v>35</v>
      </c>
      <c r="R4368" s="2" t="s">
        <v>28</v>
      </c>
      <c r="S4368" s="24">
        <f t="shared" si="344"/>
        <v>0.02</v>
      </c>
    </row>
    <row r="4369" spans="1:19" x14ac:dyDescent="0.25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>VLOOKUP(F4369,'Customer Info'!$A:$B,2,0)</f>
        <v>Emily</v>
      </c>
      <c r="H4369" s="6" t="str">
        <f>VLOOKUP(F4369,'Customer Info'!$A$1:$C$501,3,0)</f>
        <v>Burns</v>
      </c>
      <c r="I4369" s="6" t="str">
        <f>VLOOKUP(F4369,Customer,5,0)</f>
        <v>Chennai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2580</v>
      </c>
      <c r="O4369" s="2">
        <v>20</v>
      </c>
      <c r="P4369" s="8">
        <f t="shared" si="342"/>
        <v>2600</v>
      </c>
      <c r="Q4369" s="8">
        <f t="shared" si="343"/>
        <v>320</v>
      </c>
      <c r="R4369" s="2" t="s">
        <v>28</v>
      </c>
      <c r="S4369" s="24">
        <f t="shared" si="344"/>
        <v>0.02</v>
      </c>
    </row>
    <row r="4370" spans="1:19" x14ac:dyDescent="0.25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>VLOOKUP(F4370,'Customer Info'!$A:$B,2,0)</f>
        <v>Roland</v>
      </c>
      <c r="H4370" s="6" t="str">
        <f>VLOOKUP(F4370,'Customer Info'!$A$1:$C$501,3,0)</f>
        <v>Fjeld</v>
      </c>
      <c r="I4370" s="6" t="str">
        <f>VLOOKUP(F4370,Customer,5,0)</f>
        <v>Caloundra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16758</v>
      </c>
      <c r="O4370" s="2">
        <v>82</v>
      </c>
      <c r="P4370" s="8">
        <f t="shared" si="342"/>
        <v>16840</v>
      </c>
      <c r="Q4370" s="8">
        <f t="shared" si="343"/>
        <v>636</v>
      </c>
      <c r="R4370" s="2" t="s">
        <v>50</v>
      </c>
      <c r="S4370" s="24">
        <f t="shared" si="344"/>
        <v>0.05</v>
      </c>
    </row>
    <row r="4371" spans="1:19" x14ac:dyDescent="0.25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>VLOOKUP(F4371,'Customer Info'!$A:$B,2,0)</f>
        <v>Neoma</v>
      </c>
      <c r="H4371" s="6" t="str">
        <f>VLOOKUP(F4371,'Customer Info'!$A$1:$C$501,3,0)</f>
        <v>Murray</v>
      </c>
      <c r="I4371" s="6" t="str">
        <f>VLOOKUP(F4371,Customer,5,0)</f>
        <v>Guwahati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13500</v>
      </c>
      <c r="O4371" s="2">
        <v>44</v>
      </c>
      <c r="P4371" s="8">
        <f t="shared" si="342"/>
        <v>13544</v>
      </c>
      <c r="Q4371" s="8">
        <f t="shared" si="343"/>
        <v>258</v>
      </c>
      <c r="R4371" s="2" t="s">
        <v>50</v>
      </c>
      <c r="S4371" s="24">
        <f t="shared" si="344"/>
        <v>0.05</v>
      </c>
    </row>
    <row r="4372" spans="1:19" x14ac:dyDescent="0.25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>VLOOKUP(F4372,'Customer Info'!$A:$B,2,0)</f>
        <v>Duane</v>
      </c>
      <c r="H4372" s="6" t="str">
        <f>VLOOKUP(F4372,'Customer Info'!$A$1:$C$501,3,0)</f>
        <v>Noonan</v>
      </c>
      <c r="I4372" s="6" t="str">
        <f>VLOOKUP(F4372,Customer,5,0)</f>
        <v>Durg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17372</v>
      </c>
      <c r="O4372" s="2">
        <v>99</v>
      </c>
      <c r="P4372" s="8">
        <f t="shared" si="342"/>
        <v>17471</v>
      </c>
      <c r="Q4372" s="8">
        <f t="shared" si="343"/>
        <v>1302</v>
      </c>
      <c r="R4372" s="2" t="s">
        <v>50</v>
      </c>
      <c r="S4372" s="24">
        <f t="shared" si="344"/>
        <v>0.05</v>
      </c>
    </row>
    <row r="4373" spans="1:19" x14ac:dyDescent="0.25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>VLOOKUP(F4373,'Customer Info'!$A:$B,2,0)</f>
        <v>Liz</v>
      </c>
      <c r="H4373" s="6" t="str">
        <f>VLOOKUP(F4373,'Customer Info'!$A$1:$C$501,3,0)</f>
        <v>Carlisle</v>
      </c>
      <c r="I4373" s="6" t="str">
        <f>VLOOKUP(F4373,Customer,5,0)</f>
        <v>Luoyang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18063</v>
      </c>
      <c r="O4373" s="2">
        <v>63</v>
      </c>
      <c r="P4373" s="8">
        <f t="shared" si="342"/>
        <v>18126</v>
      </c>
      <c r="Q4373" s="8">
        <f t="shared" si="343"/>
        <v>1512</v>
      </c>
      <c r="R4373" s="2" t="s">
        <v>50</v>
      </c>
      <c r="S4373" s="24">
        <f t="shared" si="344"/>
        <v>0.05</v>
      </c>
    </row>
    <row r="4374" spans="1:19" x14ac:dyDescent="0.25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>VLOOKUP(F4374,'Customer Info'!$A:$B,2,0)</f>
        <v>Greg</v>
      </c>
      <c r="H4374" s="6" t="str">
        <f>VLOOKUP(F4374,'Customer Info'!$A$1:$C$501,3,0)</f>
        <v>Hansen</v>
      </c>
      <c r="I4374" s="6" t="str">
        <f>VLOOKUP(F4374,Customer,5,0)</f>
        <v>Canberra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2632</v>
      </c>
      <c r="O4374" s="2">
        <v>66</v>
      </c>
      <c r="P4374" s="8">
        <f t="shared" si="342"/>
        <v>2698</v>
      </c>
      <c r="Q4374" s="8">
        <f t="shared" si="343"/>
        <v>172</v>
      </c>
      <c r="R4374" s="2" t="s">
        <v>28</v>
      </c>
      <c r="S4374" s="24">
        <f t="shared" si="344"/>
        <v>0.02</v>
      </c>
    </row>
    <row r="4375" spans="1:19" x14ac:dyDescent="0.25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>VLOOKUP(F4375,'Customer Info'!$A:$B,2,0)</f>
        <v>Sung</v>
      </c>
      <c r="H4375" s="6" t="str">
        <f>VLOOKUP(F4375,'Customer Info'!$A$1:$C$501,3,0)</f>
        <v>Shariari</v>
      </c>
      <c r="I4375" s="6" t="str">
        <f>VLOOKUP(F4375,Customer,5,0)</f>
        <v>Solapur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174</v>
      </c>
      <c r="O4375" s="2">
        <v>10</v>
      </c>
      <c r="P4375" s="8">
        <f t="shared" si="342"/>
        <v>184</v>
      </c>
      <c r="Q4375" s="8">
        <f t="shared" si="343"/>
        <v>14</v>
      </c>
      <c r="R4375" s="2" t="s">
        <v>28</v>
      </c>
      <c r="S4375" s="24">
        <f t="shared" si="344"/>
        <v>0.02</v>
      </c>
    </row>
    <row r="4376" spans="1:19" x14ac:dyDescent="0.25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>VLOOKUP(F4376,'Customer Info'!$A:$B,2,0)</f>
        <v>Tamara</v>
      </c>
      <c r="H4376" s="6" t="str">
        <f>VLOOKUP(F4376,'Customer Info'!$A$1:$C$501,3,0)</f>
        <v>Chand</v>
      </c>
      <c r="I4376" s="6" t="str">
        <f>VLOOKUP(F4376,Customer,5,0)</f>
        <v>Canberra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32796</v>
      </c>
      <c r="O4376" s="2">
        <v>65</v>
      </c>
      <c r="P4376" s="8">
        <f t="shared" si="342"/>
        <v>32861</v>
      </c>
      <c r="Q4376" s="8">
        <f t="shared" si="343"/>
        <v>2704</v>
      </c>
      <c r="R4376" s="2" t="s">
        <v>28</v>
      </c>
      <c r="S4376" s="24">
        <f t="shared" si="344"/>
        <v>7.0000000000000007E-2</v>
      </c>
    </row>
    <row r="4377" spans="1:19" x14ac:dyDescent="0.25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>VLOOKUP(F4377,'Customer Info'!$A:$B,2,0)</f>
        <v>Darren</v>
      </c>
      <c r="H4377" s="6" t="str">
        <f>VLOOKUP(F4377,'Customer Info'!$A$1:$C$501,3,0)</f>
        <v>Budd</v>
      </c>
      <c r="I4377" s="6" t="str">
        <f>VLOOKUP(F4377,Customer,5,0)</f>
        <v>Regensburg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428</v>
      </c>
      <c r="O4377" s="2">
        <v>25</v>
      </c>
      <c r="P4377" s="8">
        <f t="shared" si="342"/>
        <v>453</v>
      </c>
      <c r="Q4377" s="8">
        <f t="shared" si="343"/>
        <v>30</v>
      </c>
      <c r="R4377" s="2" t="s">
        <v>26</v>
      </c>
      <c r="S4377" s="24">
        <f t="shared" si="344"/>
        <v>0.02</v>
      </c>
    </row>
    <row r="4378" spans="1:19" x14ac:dyDescent="0.25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>VLOOKUP(F4378,'Customer Info'!$A:$B,2,0)</f>
        <v>Brooke</v>
      </c>
      <c r="H4378" s="6" t="str">
        <f>VLOOKUP(F4378,'Customer Info'!$A$1:$C$501,3,0)</f>
        <v>Gillingham</v>
      </c>
      <c r="I4378" s="6" t="str">
        <f>VLOOKUP(F4378,Customer,5,0)</f>
        <v>Weimar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404</v>
      </c>
      <c r="O4378" s="2">
        <v>34</v>
      </c>
      <c r="P4378" s="8">
        <f t="shared" si="342"/>
        <v>438</v>
      </c>
      <c r="Q4378" s="8">
        <f t="shared" si="343"/>
        <v>33</v>
      </c>
      <c r="R4378" s="2" t="s">
        <v>28</v>
      </c>
      <c r="S4378" s="24">
        <f t="shared" si="344"/>
        <v>0.02</v>
      </c>
    </row>
    <row r="4379" spans="1:19" x14ac:dyDescent="0.25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>VLOOKUP(F4379,'Customer Info'!$A:$B,2,0)</f>
        <v>Robert</v>
      </c>
      <c r="H4379" s="6" t="str">
        <f>VLOOKUP(F4379,'Customer Info'!$A$1:$C$501,3,0)</f>
        <v>Dilbeck</v>
      </c>
      <c r="I4379" s="6" t="str">
        <f>VLOOKUP(F4379,Customer,5,0)</f>
        <v>Sydney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29545</v>
      </c>
      <c r="O4379" s="2">
        <v>99</v>
      </c>
      <c r="P4379" s="8">
        <f t="shared" si="342"/>
        <v>29644</v>
      </c>
      <c r="Q4379" s="8">
        <f t="shared" si="343"/>
        <v>1905</v>
      </c>
      <c r="R4379" s="2" t="s">
        <v>28</v>
      </c>
      <c r="S4379" s="24">
        <f t="shared" si="344"/>
        <v>7.0000000000000007E-2</v>
      </c>
    </row>
    <row r="4380" spans="1:19" x14ac:dyDescent="0.25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>VLOOKUP(F4380,'Customer Info'!$A:$B,2,0)</f>
        <v>Mike</v>
      </c>
      <c r="H4380" s="6" t="str">
        <f>VLOOKUP(F4380,'Customer Info'!$A$1:$C$501,3,0)</f>
        <v>Pelletier</v>
      </c>
      <c r="I4380" s="6" t="str">
        <f>VLOOKUP(F4380,Customer,5,0)</f>
        <v>Gorakhpur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4239</v>
      </c>
      <c r="O4380" s="2">
        <v>35</v>
      </c>
      <c r="P4380" s="8">
        <f t="shared" si="342"/>
        <v>4274</v>
      </c>
      <c r="Q4380" s="8">
        <f t="shared" si="343"/>
        <v>237</v>
      </c>
      <c r="R4380" s="2" t="s">
        <v>50</v>
      </c>
      <c r="S4380" s="24">
        <f t="shared" si="344"/>
        <v>0.02</v>
      </c>
    </row>
    <row r="4381" spans="1:19" x14ac:dyDescent="0.25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>VLOOKUP(F4381,'Customer Info'!$A:$B,2,0)</f>
        <v>Shahid</v>
      </c>
      <c r="H4381" s="6" t="str">
        <f>VLOOKUP(F4381,'Customer Info'!$A$1:$C$501,3,0)</f>
        <v>Collister</v>
      </c>
      <c r="I4381" s="6" t="str">
        <f>VLOOKUP(F4381,Customer,5,0)</f>
        <v>Leipzig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2226</v>
      </c>
      <c r="O4381" s="2">
        <v>35</v>
      </c>
      <c r="P4381" s="8">
        <f t="shared" si="342"/>
        <v>2261</v>
      </c>
      <c r="Q4381" s="8">
        <f t="shared" si="343"/>
        <v>146</v>
      </c>
      <c r="R4381" s="2" t="s">
        <v>50</v>
      </c>
      <c r="S4381" s="24">
        <f t="shared" si="344"/>
        <v>0.02</v>
      </c>
    </row>
    <row r="4382" spans="1:19" x14ac:dyDescent="0.25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>VLOOKUP(F4382,'Customer Info'!$A:$B,2,0)</f>
        <v>Michelle</v>
      </c>
      <c r="H4382" s="6" t="str">
        <f>VLOOKUP(F4382,'Customer Info'!$A$1:$C$501,3,0)</f>
        <v>Arnett</v>
      </c>
      <c r="I4382" s="6" t="str">
        <f>VLOOKUP(F4382,Customer,5,0)</f>
        <v>Palembang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24597</v>
      </c>
      <c r="O4382" s="2">
        <v>99</v>
      </c>
      <c r="P4382" s="8">
        <f t="shared" si="342"/>
        <v>24696</v>
      </c>
      <c r="Q4382" s="8">
        <f t="shared" si="343"/>
        <v>2028</v>
      </c>
      <c r="R4382" s="2" t="s">
        <v>28</v>
      </c>
      <c r="S4382" s="24">
        <f t="shared" si="344"/>
        <v>0.05</v>
      </c>
    </row>
    <row r="4383" spans="1:19" x14ac:dyDescent="0.25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>VLOOKUP(F4383,'Customer Info'!$A:$B,2,0)</f>
        <v>Allen</v>
      </c>
      <c r="H4383" s="6" t="str">
        <f>VLOOKUP(F4383,'Customer Info'!$A$1:$C$501,3,0)</f>
        <v>Armold</v>
      </c>
      <c r="I4383" s="6" t="str">
        <f>VLOOKUP(F4383,Customer,5,0)</f>
        <v>Wuchuan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5764</v>
      </c>
      <c r="O4383" s="2">
        <v>21</v>
      </c>
      <c r="P4383" s="8">
        <f t="shared" si="342"/>
        <v>5785</v>
      </c>
      <c r="Q4383" s="8">
        <f t="shared" si="343"/>
        <v>324</v>
      </c>
      <c r="R4383" s="2" t="s">
        <v>50</v>
      </c>
      <c r="S4383" s="24">
        <f t="shared" si="344"/>
        <v>0.05</v>
      </c>
    </row>
    <row r="4384" spans="1:19" x14ac:dyDescent="0.25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>VLOOKUP(F4384,'Customer Info'!$A:$B,2,0)</f>
        <v>Kristen</v>
      </c>
      <c r="H4384" s="6" t="str">
        <f>VLOOKUP(F4384,'Customer Info'!$A$1:$C$501,3,0)</f>
        <v>Hastings</v>
      </c>
      <c r="I4384" s="6" t="str">
        <f>VLOOKUP(F4384,Customer,5,0)</f>
        <v>Shihezi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7141</v>
      </c>
      <c r="O4384" s="2">
        <v>38</v>
      </c>
      <c r="P4384" s="8">
        <f t="shared" si="342"/>
        <v>7179</v>
      </c>
      <c r="Q4384" s="8">
        <f t="shared" si="343"/>
        <v>600</v>
      </c>
      <c r="R4384" s="2" t="s">
        <v>56</v>
      </c>
      <c r="S4384" s="24">
        <f t="shared" si="344"/>
        <v>0.05</v>
      </c>
    </row>
    <row r="4385" spans="1:19" x14ac:dyDescent="0.25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>VLOOKUP(F4385,'Customer Info'!$A:$B,2,0)</f>
        <v>Dave</v>
      </c>
      <c r="H4385" s="6" t="str">
        <f>VLOOKUP(F4385,'Customer Info'!$A$1:$C$501,3,0)</f>
        <v>Poirier</v>
      </c>
      <c r="I4385" s="6" t="str">
        <f>VLOOKUP(F4385,Customer,5,0)</f>
        <v>Changchun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5262</v>
      </c>
      <c r="O4385" s="2">
        <v>79</v>
      </c>
      <c r="P4385" s="8">
        <f t="shared" si="342"/>
        <v>5341</v>
      </c>
      <c r="Q4385" s="8">
        <f t="shared" si="343"/>
        <v>534</v>
      </c>
      <c r="R4385" s="2" t="s">
        <v>50</v>
      </c>
      <c r="S4385" s="24">
        <f t="shared" si="344"/>
        <v>0.05</v>
      </c>
    </row>
    <row r="4386" spans="1:19" x14ac:dyDescent="0.25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>VLOOKUP(F4386,'Customer Info'!$A:$B,2,0)</f>
        <v>Tracy</v>
      </c>
      <c r="H4386" s="6" t="str">
        <f>VLOOKUP(F4386,'Customer Info'!$A$1:$C$501,3,0)</f>
        <v>Blumstein</v>
      </c>
      <c r="I4386" s="6" t="str">
        <f>VLOOKUP(F4386,Customer,5,0)</f>
        <v>Guangzhou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992</v>
      </c>
      <c r="O4386" s="2">
        <v>94</v>
      </c>
      <c r="P4386" s="8">
        <f t="shared" si="342"/>
        <v>1086</v>
      </c>
      <c r="Q4386" s="8">
        <f t="shared" si="343"/>
        <v>64</v>
      </c>
      <c r="R4386" s="2" t="s">
        <v>50</v>
      </c>
      <c r="S4386" s="24">
        <f t="shared" si="344"/>
        <v>0.02</v>
      </c>
    </row>
    <row r="4387" spans="1:19" x14ac:dyDescent="0.25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>VLOOKUP(F4387,'Customer Info'!$A:$B,2,0)</f>
        <v>Cyra</v>
      </c>
      <c r="H4387" s="6" t="str">
        <f>VLOOKUP(F4387,'Customer Info'!$A$1:$C$501,3,0)</f>
        <v>Reiten</v>
      </c>
      <c r="I4387" s="6" t="str">
        <f>VLOOKUP(F4387,Customer,5,0)</f>
        <v>Samarinda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6550</v>
      </c>
      <c r="O4387" s="2">
        <v>61</v>
      </c>
      <c r="P4387" s="8">
        <f t="shared" si="342"/>
        <v>6611</v>
      </c>
      <c r="Q4387" s="8">
        <f t="shared" si="343"/>
        <v>370</v>
      </c>
      <c r="R4387" s="2" t="s">
        <v>28</v>
      </c>
      <c r="S4387" s="24">
        <f t="shared" si="344"/>
        <v>0.05</v>
      </c>
    </row>
    <row r="4388" spans="1:19" x14ac:dyDescent="0.25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>VLOOKUP(F4388,'Customer Info'!$A:$B,2,0)</f>
        <v>Logan</v>
      </c>
      <c r="H4388" s="6" t="str">
        <f>VLOOKUP(F4388,'Customer Info'!$A$1:$C$501,3,0)</f>
        <v>Currie</v>
      </c>
      <c r="I4388" s="6" t="str">
        <f>VLOOKUP(F4388,Customer,5,0)</f>
        <v>Anshan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33696</v>
      </c>
      <c r="O4388" s="2">
        <v>32</v>
      </c>
      <c r="P4388" s="8">
        <f t="shared" si="342"/>
        <v>33728</v>
      </c>
      <c r="Q4388" s="8">
        <f t="shared" si="343"/>
        <v>1608</v>
      </c>
      <c r="R4388" s="2" t="s">
        <v>50</v>
      </c>
      <c r="S4388" s="24">
        <f t="shared" si="344"/>
        <v>7.0000000000000007E-2</v>
      </c>
    </row>
    <row r="4389" spans="1:19" x14ac:dyDescent="0.25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>VLOOKUP(F4389,'Customer Info'!$A:$B,2,0)</f>
        <v>Trudy</v>
      </c>
      <c r="H4389" s="6" t="str">
        <f>VLOOKUP(F4389,'Customer Info'!$A$1:$C$501,3,0)</f>
        <v>Glocke</v>
      </c>
      <c r="I4389" s="6" t="str">
        <f>VLOOKUP(F4389,Customer,5,0)</f>
        <v>Brisbane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392</v>
      </c>
      <c r="O4389" s="2">
        <v>27</v>
      </c>
      <c r="P4389" s="8">
        <f t="shared" si="342"/>
        <v>419</v>
      </c>
      <c r="Q4389" s="8">
        <f t="shared" si="343"/>
        <v>36</v>
      </c>
      <c r="R4389" s="2" t="s">
        <v>50</v>
      </c>
      <c r="S4389" s="24">
        <f t="shared" si="344"/>
        <v>0.02</v>
      </c>
    </row>
    <row r="4390" spans="1:19" x14ac:dyDescent="0.25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>VLOOKUP(F4390,'Customer Info'!$A:$B,2,0)</f>
        <v>Damala</v>
      </c>
      <c r="H4390" s="6" t="str">
        <f>VLOOKUP(F4390,'Customer Info'!$A$1:$C$501,3,0)</f>
        <v>Kotsonis</v>
      </c>
      <c r="I4390" s="6" t="str">
        <f>VLOOKUP(F4390,Customer,5,0)</f>
        <v>Berlin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28544</v>
      </c>
      <c r="O4390" s="2">
        <v>92</v>
      </c>
      <c r="P4390" s="8">
        <f t="shared" si="342"/>
        <v>28636</v>
      </c>
      <c r="Q4390" s="8">
        <f t="shared" si="343"/>
        <v>1840</v>
      </c>
      <c r="R4390" s="2" t="s">
        <v>28</v>
      </c>
      <c r="S4390" s="24">
        <f t="shared" si="344"/>
        <v>7.0000000000000007E-2</v>
      </c>
    </row>
    <row r="4391" spans="1:19" x14ac:dyDescent="0.25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>VLOOKUP(F4391,'Customer Info'!$A:$B,2,0)</f>
        <v>Roy</v>
      </c>
      <c r="H4391" s="6" t="str">
        <f>VLOOKUP(F4391,'Customer Info'!$A$1:$C$501,3,0)</f>
        <v>Phan</v>
      </c>
      <c r="I4391" s="6" t="str">
        <f>VLOOKUP(F4391,Customer,5,0)</f>
        <v>Melbourne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5456</v>
      </c>
      <c r="O4391" s="2">
        <v>96</v>
      </c>
      <c r="P4391" s="8">
        <f t="shared" si="342"/>
        <v>5552</v>
      </c>
      <c r="Q4391" s="8">
        <f t="shared" si="343"/>
        <v>360</v>
      </c>
      <c r="R4391" s="2" t="s">
        <v>50</v>
      </c>
      <c r="S4391" s="24">
        <f t="shared" si="344"/>
        <v>0.05</v>
      </c>
    </row>
    <row r="4392" spans="1:19" x14ac:dyDescent="0.25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>VLOOKUP(F4392,'Customer Info'!$A:$B,2,0)</f>
        <v>Lynn</v>
      </c>
      <c r="H4392" s="6" t="str">
        <f>VLOOKUP(F4392,'Customer Info'!$A$1:$C$501,3,0)</f>
        <v>Smith</v>
      </c>
      <c r="I4392" s="6" t="str">
        <f>VLOOKUP(F4392,Customer,5,0)</f>
        <v>Kanpur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1098</v>
      </c>
      <c r="O4392" s="2">
        <v>30</v>
      </c>
      <c r="P4392" s="8">
        <f t="shared" si="342"/>
        <v>1128</v>
      </c>
      <c r="Q4392" s="8">
        <f t="shared" si="343"/>
        <v>90</v>
      </c>
      <c r="R4392" s="2" t="s">
        <v>50</v>
      </c>
      <c r="S4392" s="24">
        <f t="shared" si="344"/>
        <v>0.02</v>
      </c>
    </row>
    <row r="4393" spans="1:19" x14ac:dyDescent="0.25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>VLOOKUP(F4393,'Customer Info'!$A:$B,2,0)</f>
        <v>Alex</v>
      </c>
      <c r="H4393" s="6" t="str">
        <f>VLOOKUP(F4393,'Customer Info'!$A$1:$C$501,3,0)</f>
        <v>Avila</v>
      </c>
      <c r="I4393" s="6" t="str">
        <f>VLOOKUP(F4393,Customer,5,0)</f>
        <v>Newcastle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8622</v>
      </c>
      <c r="O4393" s="2">
        <v>38</v>
      </c>
      <c r="P4393" s="8">
        <f t="shared" si="342"/>
        <v>8660</v>
      </c>
      <c r="Q4393" s="8">
        <f t="shared" si="343"/>
        <v>873</v>
      </c>
      <c r="R4393" s="2" t="s">
        <v>56</v>
      </c>
      <c r="S4393" s="24">
        <f t="shared" si="344"/>
        <v>0.05</v>
      </c>
    </row>
    <row r="4394" spans="1:19" x14ac:dyDescent="0.25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>VLOOKUP(F4394,'Customer Info'!$A:$B,2,0)</f>
        <v>Nick</v>
      </c>
      <c r="H4394" s="6" t="str">
        <f>VLOOKUP(F4394,'Customer Info'!$A$1:$C$501,3,0)</f>
        <v>Zandusky</v>
      </c>
      <c r="I4394" s="6" t="str">
        <f>VLOOKUP(F4394,Customer,5,0)</f>
        <v>Surabaya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5949</v>
      </c>
      <c r="O4394" s="2">
        <v>74</v>
      </c>
      <c r="P4394" s="8">
        <f t="shared" si="342"/>
        <v>6023</v>
      </c>
      <c r="Q4394" s="8">
        <f t="shared" si="343"/>
        <v>225</v>
      </c>
      <c r="R4394" s="2" t="s">
        <v>28</v>
      </c>
      <c r="S4394" s="24">
        <f t="shared" si="344"/>
        <v>0.05</v>
      </c>
    </row>
    <row r="4395" spans="1:19" x14ac:dyDescent="0.25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>VLOOKUP(F4395,'Customer Info'!$A:$B,2,0)</f>
        <v>Jas</v>
      </c>
      <c r="H4395" s="6" t="str">
        <f>VLOOKUP(F4395,'Customer Info'!$A$1:$C$501,3,0)</f>
        <v>O'Carroll</v>
      </c>
      <c r="I4395" s="6" t="str">
        <f>VLOOKUP(F4395,Customer,5,0)</f>
        <v>Essen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184</v>
      </c>
      <c r="O4395" s="2">
        <v>10</v>
      </c>
      <c r="P4395" s="8">
        <f t="shared" si="342"/>
        <v>194</v>
      </c>
      <c r="Q4395" s="8">
        <f t="shared" si="343"/>
        <v>20</v>
      </c>
      <c r="R4395" s="2" t="s">
        <v>50</v>
      </c>
      <c r="S4395" s="24">
        <f t="shared" si="344"/>
        <v>0.02</v>
      </c>
    </row>
    <row r="4396" spans="1:19" x14ac:dyDescent="0.25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>VLOOKUP(F4396,'Customer Info'!$A:$B,2,0)</f>
        <v>Ken</v>
      </c>
      <c r="H4396" s="6" t="str">
        <f>VLOOKUP(F4396,'Customer Info'!$A$1:$C$501,3,0)</f>
        <v>Heidel</v>
      </c>
      <c r="I4396" s="6" t="str">
        <f>VLOOKUP(F4396,Customer,5,0)</f>
        <v>Tegal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193</v>
      </c>
      <c r="O4396" s="2">
        <v>30</v>
      </c>
      <c r="P4396" s="8">
        <f t="shared" si="342"/>
        <v>223</v>
      </c>
      <c r="Q4396" s="8">
        <f t="shared" si="343"/>
        <v>20</v>
      </c>
      <c r="R4396" s="2" t="s">
        <v>28</v>
      </c>
      <c r="S4396" s="24">
        <f t="shared" si="344"/>
        <v>0.02</v>
      </c>
    </row>
    <row r="4397" spans="1:19" x14ac:dyDescent="0.25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>VLOOKUP(F4397,'Customer Info'!$A:$B,2,0)</f>
        <v>Bryan</v>
      </c>
      <c r="H4397" s="6" t="str">
        <f>VLOOKUP(F4397,'Customer Info'!$A$1:$C$501,3,0)</f>
        <v>Spruell</v>
      </c>
      <c r="I4397" s="6" t="str">
        <f>VLOOKUP(F4397,Customer,5,0)</f>
        <v>Bekasi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286</v>
      </c>
      <c r="O4397" s="2">
        <v>30</v>
      </c>
      <c r="P4397" s="8">
        <f t="shared" si="342"/>
        <v>316</v>
      </c>
      <c r="Q4397" s="8">
        <f t="shared" si="343"/>
        <v>12</v>
      </c>
      <c r="R4397" s="2" t="s">
        <v>50</v>
      </c>
      <c r="S4397" s="24">
        <f t="shared" si="344"/>
        <v>0.02</v>
      </c>
    </row>
    <row r="4398" spans="1:19" x14ac:dyDescent="0.25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>VLOOKUP(F4398,'Customer Info'!$A:$B,2,0)</f>
        <v>Filia</v>
      </c>
      <c r="H4398" s="6" t="str">
        <f>VLOOKUP(F4398,'Customer Info'!$A$1:$C$501,3,0)</f>
        <v>McAdams</v>
      </c>
      <c r="I4398" s="6" t="str">
        <f>VLOOKUP(F4398,Customer,5,0)</f>
        <v>Lucknow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1763</v>
      </c>
      <c r="O4398" s="2">
        <v>75</v>
      </c>
      <c r="P4398" s="8">
        <f t="shared" si="342"/>
        <v>1838</v>
      </c>
      <c r="Q4398" s="8">
        <f t="shared" si="343"/>
        <v>161</v>
      </c>
      <c r="R4398" s="2" t="s">
        <v>28</v>
      </c>
      <c r="S4398" s="24">
        <f t="shared" si="344"/>
        <v>0.02</v>
      </c>
    </row>
    <row r="4399" spans="1:19" x14ac:dyDescent="0.25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>VLOOKUP(F4399,'Customer Info'!$A:$B,2,0)</f>
        <v>Yana</v>
      </c>
      <c r="H4399" s="6" t="str">
        <f>VLOOKUP(F4399,'Customer Info'!$A$1:$C$501,3,0)</f>
        <v>Sorensen</v>
      </c>
      <c r="I4399" s="6" t="str">
        <f>VLOOKUP(F4399,Customer,5,0)</f>
        <v>Bottrop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55561</v>
      </c>
      <c r="O4399" s="2">
        <v>44</v>
      </c>
      <c r="P4399" s="8">
        <f t="shared" si="342"/>
        <v>55605</v>
      </c>
      <c r="Q4399" s="8">
        <f t="shared" si="343"/>
        <v>4587</v>
      </c>
      <c r="R4399" s="2" t="s">
        <v>26</v>
      </c>
      <c r="S4399" s="24">
        <f t="shared" si="344"/>
        <v>0.09</v>
      </c>
    </row>
    <row r="4400" spans="1:19" x14ac:dyDescent="0.25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>VLOOKUP(F4400,'Customer Info'!$A:$B,2,0)</f>
        <v>Ben</v>
      </c>
      <c r="H4400" s="6" t="str">
        <f>VLOOKUP(F4400,'Customer Info'!$A$1:$C$501,3,0)</f>
        <v>Peterman</v>
      </c>
      <c r="I4400" s="6" t="str">
        <f>VLOOKUP(F4400,Customer,5,0)</f>
        <v>Bielefeld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13270</v>
      </c>
      <c r="O4400" s="2">
        <v>60</v>
      </c>
      <c r="P4400" s="8">
        <f t="shared" si="342"/>
        <v>13330</v>
      </c>
      <c r="Q4400" s="8">
        <f t="shared" si="343"/>
        <v>628</v>
      </c>
      <c r="R4400" s="2" t="s">
        <v>28</v>
      </c>
      <c r="S4400" s="24">
        <f t="shared" si="344"/>
        <v>0.05</v>
      </c>
    </row>
    <row r="4401" spans="1:19" x14ac:dyDescent="0.25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>VLOOKUP(F4401,'Customer Info'!$A:$B,2,0)</f>
        <v>Ruben</v>
      </c>
      <c r="H4401" s="6" t="str">
        <f>VLOOKUP(F4401,'Customer Info'!$A$1:$C$501,3,0)</f>
        <v>Ausman</v>
      </c>
      <c r="I4401" s="6" t="str">
        <f>VLOOKUP(F4401,Customer,5,0)</f>
        <v>Sonneberg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5202</v>
      </c>
      <c r="O4401" s="2">
        <v>32</v>
      </c>
      <c r="P4401" s="8">
        <f t="shared" si="342"/>
        <v>5234</v>
      </c>
      <c r="Q4401" s="8">
        <f t="shared" si="343"/>
        <v>96</v>
      </c>
      <c r="R4401" s="2" t="s">
        <v>50</v>
      </c>
      <c r="S4401" s="24">
        <f t="shared" si="344"/>
        <v>0.05</v>
      </c>
    </row>
    <row r="4402" spans="1:19" x14ac:dyDescent="0.25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>VLOOKUP(F4402,'Customer Info'!$A:$B,2,0)</f>
        <v>Fred</v>
      </c>
      <c r="H4402" s="6" t="str">
        <f>VLOOKUP(F4402,'Customer Info'!$A$1:$C$501,3,0)</f>
        <v>Hopkins</v>
      </c>
      <c r="I4402" s="6" t="str">
        <f>VLOOKUP(F4402,Customer,5,0)</f>
        <v>Sydney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549</v>
      </c>
      <c r="O4402" s="2">
        <v>30</v>
      </c>
      <c r="P4402" s="8">
        <f t="shared" si="342"/>
        <v>579</v>
      </c>
      <c r="Q4402" s="8">
        <f t="shared" si="343"/>
        <v>45</v>
      </c>
      <c r="R4402" s="2" t="s">
        <v>28</v>
      </c>
      <c r="S4402" s="24">
        <f t="shared" si="344"/>
        <v>0.02</v>
      </c>
    </row>
    <row r="4403" spans="1:19" x14ac:dyDescent="0.25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>VLOOKUP(F4403,'Customer Info'!$A:$B,2,0)</f>
        <v>Christy</v>
      </c>
      <c r="H4403" s="6" t="str">
        <f>VLOOKUP(F4403,'Customer Info'!$A$1:$C$501,3,0)</f>
        <v>Brittain</v>
      </c>
      <c r="I4403" s="6" t="str">
        <f>VLOOKUP(F4403,Customer,5,0)</f>
        <v>Ajmer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3596</v>
      </c>
      <c r="O4403" s="2">
        <v>71</v>
      </c>
      <c r="P4403" s="8">
        <f t="shared" si="342"/>
        <v>3667</v>
      </c>
      <c r="Q4403" s="8">
        <f t="shared" si="343"/>
        <v>296</v>
      </c>
      <c r="R4403" s="2" t="s">
        <v>28</v>
      </c>
      <c r="S4403" s="24">
        <f t="shared" si="344"/>
        <v>0.02</v>
      </c>
    </row>
    <row r="4404" spans="1:19" x14ac:dyDescent="0.25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>VLOOKUP(F4404,'Customer Info'!$A:$B,2,0)</f>
        <v>Dave</v>
      </c>
      <c r="H4404" s="6" t="str">
        <f>VLOOKUP(F4404,'Customer Info'!$A$1:$C$501,3,0)</f>
        <v>Poirier</v>
      </c>
      <c r="I4404" s="6" t="str">
        <f>VLOOKUP(F4404,Customer,5,0)</f>
        <v>Changchun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9924</v>
      </c>
      <c r="O4404" s="2">
        <v>90</v>
      </c>
      <c r="P4404" s="8">
        <f t="shared" si="342"/>
        <v>10014</v>
      </c>
      <c r="Q4404" s="8">
        <f t="shared" si="343"/>
        <v>462</v>
      </c>
      <c r="R4404" s="2" t="s">
        <v>28</v>
      </c>
      <c r="S4404" s="24">
        <f t="shared" si="344"/>
        <v>0.05</v>
      </c>
    </row>
    <row r="4405" spans="1:19" x14ac:dyDescent="0.25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>VLOOKUP(F4405,'Customer Info'!$A:$B,2,0)</f>
        <v>Craig</v>
      </c>
      <c r="H4405" s="6" t="str">
        <f>VLOOKUP(F4405,'Customer Info'!$A$1:$C$501,3,0)</f>
        <v>Carroll</v>
      </c>
      <c r="I4405" s="6" t="str">
        <f>VLOOKUP(F4405,Customer,5,0)</f>
        <v>Augsburg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3017</v>
      </c>
      <c r="O4405" s="2">
        <v>45</v>
      </c>
      <c r="P4405" s="8">
        <f t="shared" si="342"/>
        <v>3062</v>
      </c>
      <c r="Q4405" s="8">
        <f t="shared" si="343"/>
        <v>192</v>
      </c>
      <c r="R4405" s="2" t="s">
        <v>28</v>
      </c>
      <c r="S4405" s="24">
        <f t="shared" si="344"/>
        <v>0.02</v>
      </c>
    </row>
    <row r="4406" spans="1:19" x14ac:dyDescent="0.25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>VLOOKUP(F4406,'Customer Info'!$A:$B,2,0)</f>
        <v>Corinna</v>
      </c>
      <c r="H4406" s="6" t="str">
        <f>VLOOKUP(F4406,'Customer Info'!$A$1:$C$501,3,0)</f>
        <v>Mitchell</v>
      </c>
      <c r="I4406" s="6" t="str">
        <f>VLOOKUP(F4406,Customer,5,0)</f>
        <v>Augsburg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635</v>
      </c>
      <c r="O4406" s="2">
        <v>30</v>
      </c>
      <c r="P4406" s="8">
        <f t="shared" si="342"/>
        <v>665</v>
      </c>
      <c r="Q4406" s="8">
        <f t="shared" si="343"/>
        <v>55</v>
      </c>
      <c r="R4406" s="2" t="s">
        <v>50</v>
      </c>
      <c r="S4406" s="24">
        <f t="shared" si="344"/>
        <v>0.02</v>
      </c>
    </row>
    <row r="4407" spans="1:19" x14ac:dyDescent="0.25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>VLOOKUP(F4407,'Customer Info'!$A:$B,2,0)</f>
        <v>Dave</v>
      </c>
      <c r="H4407" s="6" t="str">
        <f>VLOOKUP(F4407,'Customer Info'!$A$1:$C$501,3,0)</f>
        <v>Hallsten</v>
      </c>
      <c r="I4407" s="6" t="str">
        <f>VLOOKUP(F4407,Customer,5,0)</f>
        <v>Melbourne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2787</v>
      </c>
      <c r="O4407" s="2">
        <v>76</v>
      </c>
      <c r="P4407" s="8">
        <f t="shared" si="342"/>
        <v>2863</v>
      </c>
      <c r="Q4407" s="8">
        <f t="shared" si="343"/>
        <v>106</v>
      </c>
      <c r="R4407" s="2" t="s">
        <v>50</v>
      </c>
      <c r="S4407" s="24">
        <f t="shared" si="344"/>
        <v>0.02</v>
      </c>
    </row>
    <row r="4408" spans="1:19" x14ac:dyDescent="0.25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>VLOOKUP(F4408,'Customer Info'!$A:$B,2,0)</f>
        <v>Deirdre</v>
      </c>
      <c r="H4408" s="6" t="str">
        <f>VLOOKUP(F4408,'Customer Info'!$A$1:$C$501,3,0)</f>
        <v>Greer</v>
      </c>
      <c r="I4408" s="6" t="str">
        <f>VLOOKUP(F4408,Customer,5,0)</f>
        <v>Bandung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2964</v>
      </c>
      <c r="O4408" s="2">
        <v>34</v>
      </c>
      <c r="P4408" s="8">
        <f t="shared" si="342"/>
        <v>2998</v>
      </c>
      <c r="Q4408" s="8">
        <f t="shared" si="343"/>
        <v>58</v>
      </c>
      <c r="R4408" s="2" t="s">
        <v>28</v>
      </c>
      <c r="S4408" s="24">
        <f t="shared" si="344"/>
        <v>0.02</v>
      </c>
    </row>
    <row r="4409" spans="1:19" x14ac:dyDescent="0.25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>VLOOKUP(F4409,'Customer Info'!$A:$B,2,0)</f>
        <v>Shui</v>
      </c>
      <c r="H4409" s="6" t="str">
        <f>VLOOKUP(F4409,'Customer Info'!$A$1:$C$501,3,0)</f>
        <v>Tom</v>
      </c>
      <c r="I4409" s="6" t="str">
        <f>VLOOKUP(F4409,Customer,5,0)</f>
        <v>Melbourne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2958</v>
      </c>
      <c r="O4409" s="2">
        <v>56</v>
      </c>
      <c r="P4409" s="8">
        <f t="shared" si="342"/>
        <v>3014</v>
      </c>
      <c r="Q4409" s="8">
        <f t="shared" si="343"/>
        <v>215</v>
      </c>
      <c r="R4409" s="2" t="s">
        <v>28</v>
      </c>
      <c r="S4409" s="24">
        <f t="shared" si="344"/>
        <v>0.02</v>
      </c>
    </row>
    <row r="4410" spans="1:19" x14ac:dyDescent="0.25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>VLOOKUP(F4410,'Customer Info'!$A:$B,2,0)</f>
        <v>Hunter</v>
      </c>
      <c r="H4410" s="6" t="str">
        <f>VLOOKUP(F4410,'Customer Info'!$A$1:$C$501,3,0)</f>
        <v>Glantz</v>
      </c>
      <c r="I4410" s="6" t="str">
        <f>VLOOKUP(F4410,Customer,5,0)</f>
        <v>Panihati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21003</v>
      </c>
      <c r="O4410" s="2">
        <v>89</v>
      </c>
      <c r="P4410" s="8">
        <f t="shared" si="342"/>
        <v>21092</v>
      </c>
      <c r="Q4410" s="8">
        <f t="shared" si="343"/>
        <v>1575</v>
      </c>
      <c r="R4410" s="2" t="s">
        <v>50</v>
      </c>
      <c r="S4410" s="24">
        <f t="shared" si="344"/>
        <v>0.05</v>
      </c>
    </row>
    <row r="4411" spans="1:19" x14ac:dyDescent="0.25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>VLOOKUP(F4411,'Customer Info'!$A:$B,2,0)</f>
        <v>Deirdre</v>
      </c>
      <c r="H4411" s="6" t="str">
        <f>VLOOKUP(F4411,'Customer Info'!$A$1:$C$501,3,0)</f>
        <v>Greer</v>
      </c>
      <c r="I4411" s="6" t="str">
        <f>VLOOKUP(F4411,Customer,5,0)</f>
        <v>Bandung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2965</v>
      </c>
      <c r="O4411" s="2">
        <v>43</v>
      </c>
      <c r="P4411" s="8">
        <f t="shared" si="342"/>
        <v>3008</v>
      </c>
      <c r="Q4411" s="8">
        <f t="shared" si="343"/>
        <v>271</v>
      </c>
      <c r="R4411" s="2" t="s">
        <v>50</v>
      </c>
      <c r="S4411" s="24">
        <f t="shared" si="344"/>
        <v>0.02</v>
      </c>
    </row>
    <row r="4412" spans="1:19" x14ac:dyDescent="0.25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>VLOOKUP(F4412,'Customer Info'!$A:$B,2,0)</f>
        <v>Shui</v>
      </c>
      <c r="H4412" s="6" t="str">
        <f>VLOOKUP(F4412,'Customer Info'!$A$1:$C$501,3,0)</f>
        <v>Tom</v>
      </c>
      <c r="I4412" s="6" t="str">
        <f>VLOOKUP(F4412,Customer,5,0)</f>
        <v>Jakarta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1544</v>
      </c>
      <c r="O4412" s="2">
        <v>30</v>
      </c>
      <c r="P4412" s="8">
        <f t="shared" si="342"/>
        <v>1574</v>
      </c>
      <c r="Q4412" s="8">
        <f t="shared" si="343"/>
        <v>160</v>
      </c>
      <c r="R4412" s="2" t="s">
        <v>28</v>
      </c>
      <c r="S4412" s="24">
        <f t="shared" si="344"/>
        <v>0.02</v>
      </c>
    </row>
    <row r="4413" spans="1:19" x14ac:dyDescent="0.25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>VLOOKUP(F4413,'Customer Info'!$A:$B,2,0)</f>
        <v>Lindsay</v>
      </c>
      <c r="H4413" s="6" t="str">
        <f>VLOOKUP(F4413,'Customer Info'!$A$1:$C$501,3,0)</f>
        <v>Shagiari</v>
      </c>
      <c r="I4413" s="6" t="str">
        <f>VLOOKUP(F4413,Customer,5,0)</f>
        <v>Canberra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2442</v>
      </c>
      <c r="O4413" s="2">
        <v>88</v>
      </c>
      <c r="P4413" s="8">
        <f t="shared" si="342"/>
        <v>2530</v>
      </c>
      <c r="Q4413" s="8">
        <f t="shared" si="343"/>
        <v>138</v>
      </c>
      <c r="R4413" s="2" t="s">
        <v>28</v>
      </c>
      <c r="S4413" s="24">
        <f t="shared" si="344"/>
        <v>0.02</v>
      </c>
    </row>
    <row r="4414" spans="1:19" x14ac:dyDescent="0.25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>VLOOKUP(F4414,'Customer Info'!$A:$B,2,0)</f>
        <v>Justin</v>
      </c>
      <c r="H4414" s="6" t="str">
        <f>VLOOKUP(F4414,'Customer Info'!$A$1:$C$501,3,0)</f>
        <v>Hirsh</v>
      </c>
      <c r="I4414" s="6" t="str">
        <f>VLOOKUP(F4414,Customer,5,0)</f>
        <v>Shangzhi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2862</v>
      </c>
      <c r="O4414" s="2">
        <v>77</v>
      </c>
      <c r="P4414" s="8">
        <f t="shared" si="342"/>
        <v>2939</v>
      </c>
      <c r="Q4414" s="8">
        <f t="shared" si="343"/>
        <v>159</v>
      </c>
      <c r="R4414" s="2" t="s">
        <v>50</v>
      </c>
      <c r="S4414" s="24">
        <f t="shared" si="344"/>
        <v>0.02</v>
      </c>
    </row>
    <row r="4415" spans="1:19" x14ac:dyDescent="0.25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>VLOOKUP(F4415,'Customer Info'!$A:$B,2,0)</f>
        <v>Mark</v>
      </c>
      <c r="H4415" s="6" t="str">
        <f>VLOOKUP(F4415,'Customer Info'!$A$1:$C$501,3,0)</f>
        <v>Packer</v>
      </c>
      <c r="I4415" s="6" t="str">
        <f>VLOOKUP(F4415,Customer,5,0)</f>
        <v>Perth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524</v>
      </c>
      <c r="O4415" s="2">
        <v>30</v>
      </c>
      <c r="P4415" s="8">
        <f t="shared" si="342"/>
        <v>554</v>
      </c>
      <c r="Q4415" s="8">
        <f t="shared" si="343"/>
        <v>28</v>
      </c>
      <c r="R4415" s="2" t="s">
        <v>28</v>
      </c>
      <c r="S4415" s="24">
        <f t="shared" si="344"/>
        <v>0.02</v>
      </c>
    </row>
    <row r="4416" spans="1:19" x14ac:dyDescent="0.25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>VLOOKUP(F4416,'Customer Info'!$A:$B,2,0)</f>
        <v>Michael</v>
      </c>
      <c r="H4416" s="6" t="str">
        <f>VLOOKUP(F4416,'Customer Info'!$A$1:$C$501,3,0)</f>
        <v>Moore</v>
      </c>
      <c r="I4416" s="6" t="str">
        <f>VLOOKUP(F4416,Customer,5,0)</f>
        <v>Medan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25416</v>
      </c>
      <c r="O4416" s="2">
        <v>66</v>
      </c>
      <c r="P4416" s="8">
        <f t="shared" si="342"/>
        <v>25482</v>
      </c>
      <c r="Q4416" s="8">
        <f t="shared" si="343"/>
        <v>2340</v>
      </c>
      <c r="R4416" s="2" t="s">
        <v>28</v>
      </c>
      <c r="S4416" s="24">
        <f t="shared" si="344"/>
        <v>7.0000000000000007E-2</v>
      </c>
    </row>
    <row r="4417" spans="1:19" x14ac:dyDescent="0.25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>VLOOKUP(F4417,'Customer Info'!$A:$B,2,0)</f>
        <v>Ryan</v>
      </c>
      <c r="H4417" s="6" t="str">
        <f>VLOOKUP(F4417,'Customer Info'!$A$1:$C$501,3,0)</f>
        <v>Akin</v>
      </c>
      <c r="I4417" s="6" t="str">
        <f>VLOOKUP(F4417,Customer,5,0)</f>
        <v>Bayreuth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2206</v>
      </c>
      <c r="O4417" s="2">
        <v>24</v>
      </c>
      <c r="P4417" s="8">
        <f t="shared" si="342"/>
        <v>2230</v>
      </c>
      <c r="Q4417" s="8">
        <f t="shared" si="343"/>
        <v>146</v>
      </c>
      <c r="R4417" s="2" t="s">
        <v>56</v>
      </c>
      <c r="S4417" s="24">
        <f t="shared" si="344"/>
        <v>0.02</v>
      </c>
    </row>
    <row r="4418" spans="1:19" x14ac:dyDescent="0.25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>VLOOKUP(F4418,'Customer Info'!$A:$B,2,0)</f>
        <v>Rachel</v>
      </c>
      <c r="H4418" s="6" t="str">
        <f>VLOOKUP(F4418,'Customer Info'!$A$1:$C$501,3,0)</f>
        <v>Payne</v>
      </c>
      <c r="I4418" s="6" t="str">
        <f>VLOOKUP(F4418,Customer,5,0)</f>
        <v>Nagercoil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1798</v>
      </c>
      <c r="O4418" s="2">
        <v>46</v>
      </c>
      <c r="P4418" s="8">
        <f t="shared" si="342"/>
        <v>1844</v>
      </c>
      <c r="Q4418" s="8">
        <f t="shared" si="343"/>
        <v>148</v>
      </c>
      <c r="R4418" s="2" t="s">
        <v>50</v>
      </c>
      <c r="S4418" s="24">
        <f t="shared" si="344"/>
        <v>0.02</v>
      </c>
    </row>
    <row r="4419" spans="1:19" x14ac:dyDescent="0.25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>VLOOKUP(F4419,'Customer Info'!$A:$B,2,0)</f>
        <v>Peter</v>
      </c>
      <c r="H4419" s="6" t="str">
        <f>VLOOKUP(F4419,'Customer Info'!$A$1:$C$501,3,0)</f>
        <v>McVee</v>
      </c>
      <c r="I4419" s="6" t="str">
        <f>VLOOKUP(F4419,Customer,5,0)</f>
        <v>Hamburg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5204</v>
      </c>
      <c r="O4419" s="2">
        <v>31</v>
      </c>
      <c r="P4419" s="8">
        <f t="shared" si="342"/>
        <v>5235</v>
      </c>
      <c r="Q4419" s="8">
        <f t="shared" si="343"/>
        <v>478</v>
      </c>
      <c r="R4419" s="2" t="s">
        <v>50</v>
      </c>
      <c r="S4419" s="24">
        <f t="shared" si="344"/>
        <v>0.05</v>
      </c>
    </row>
    <row r="4420" spans="1:19" x14ac:dyDescent="0.25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>VLOOKUP(F4420,'Customer Info'!$A:$B,2,0)</f>
        <v>Jennifer</v>
      </c>
      <c r="H4420" s="6" t="str">
        <f>VLOOKUP(F4420,'Customer Info'!$A$1:$C$501,3,0)</f>
        <v>Halladay</v>
      </c>
      <c r="I4420" s="6" t="str">
        <f>VLOOKUP(F4420,Customer,5,0)</f>
        <v>Krefeld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1572</v>
      </c>
      <c r="O4420" s="2">
        <v>66</v>
      </c>
      <c r="P4420" s="8">
        <f t="shared" si="342"/>
        <v>1638</v>
      </c>
      <c r="Q4420" s="8">
        <f t="shared" si="343"/>
        <v>76</v>
      </c>
      <c r="R4420" s="2" t="s">
        <v>56</v>
      </c>
      <c r="S4420" s="24">
        <f t="shared" si="344"/>
        <v>0.02</v>
      </c>
    </row>
    <row r="4421" spans="1:19" x14ac:dyDescent="0.25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>VLOOKUP(F4421,'Customer Info'!$A:$B,2,0)</f>
        <v>Hunter</v>
      </c>
      <c r="H4421" s="6" t="str">
        <f>VLOOKUP(F4421,'Customer Info'!$A$1:$C$501,3,0)</f>
        <v>Lopez</v>
      </c>
      <c r="I4421" s="6" t="str">
        <f>VLOOKUP(F4421,Customer,5,0)</f>
        <v>Pekanbaru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374</v>
      </c>
      <c r="O4421" s="2">
        <v>30</v>
      </c>
      <c r="P4421" s="8">
        <f t="shared" si="342"/>
        <v>404</v>
      </c>
      <c r="Q4421" s="8">
        <f t="shared" si="343"/>
        <v>22</v>
      </c>
      <c r="R4421" s="2" t="s">
        <v>28</v>
      </c>
      <c r="S4421" s="24">
        <f t="shared" si="344"/>
        <v>0.02</v>
      </c>
    </row>
    <row r="4422" spans="1:19" x14ac:dyDescent="0.25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>VLOOKUP(F4422,'Customer Info'!$A:$B,2,0)</f>
        <v>Robert</v>
      </c>
      <c r="H4422" s="6" t="str">
        <f>VLOOKUP(F4422,'Customer Info'!$A$1:$C$501,3,0)</f>
        <v>Dilbeck</v>
      </c>
      <c r="I4422" s="6" t="str">
        <f>VLOOKUP(F4422,Customer,5,0)</f>
        <v>Melton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6726</v>
      </c>
      <c r="O4422" s="2">
        <v>82</v>
      </c>
      <c r="P4422" s="8">
        <f t="shared" si="342"/>
        <v>6808</v>
      </c>
      <c r="Q4422" s="8">
        <f t="shared" si="343"/>
        <v>501</v>
      </c>
      <c r="R4422" s="2" t="s">
        <v>28</v>
      </c>
      <c r="S4422" s="24">
        <f t="shared" si="344"/>
        <v>0.05</v>
      </c>
    </row>
    <row r="4423" spans="1:19" x14ac:dyDescent="0.25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>VLOOKUP(F4423,'Customer Info'!$A:$B,2,0)</f>
        <v>Rob</v>
      </c>
      <c r="H4423" s="6" t="str">
        <f>VLOOKUP(F4423,'Customer Info'!$A$1:$C$501,3,0)</f>
        <v>Williams</v>
      </c>
      <c r="I4423" s="6" t="str">
        <f>VLOOKUP(F4423,Customer,5,0)</f>
        <v>Wodonga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691</v>
      </c>
      <c r="O4423" s="2">
        <v>63</v>
      </c>
      <c r="P4423" s="8">
        <f t="shared" si="342"/>
        <v>754</v>
      </c>
      <c r="Q4423" s="8">
        <f t="shared" si="343"/>
        <v>45</v>
      </c>
      <c r="R4423" s="2" t="s">
        <v>28</v>
      </c>
      <c r="S4423" s="24">
        <f t="shared" si="344"/>
        <v>0.02</v>
      </c>
    </row>
    <row r="4424" spans="1:19" x14ac:dyDescent="0.25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>VLOOKUP(F4424,'Customer Info'!$A:$B,2,0)</f>
        <v>Cassandra</v>
      </c>
      <c r="H4424" s="6" t="str">
        <f>VLOOKUP(F4424,'Customer Info'!$A$1:$C$501,3,0)</f>
        <v>Brandow</v>
      </c>
      <c r="I4424" s="6" t="str">
        <f>VLOOKUP(F4424,Customer,5,0)</f>
        <v>Hamburg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984</v>
      </c>
      <c r="O4424" s="2">
        <v>30</v>
      </c>
      <c r="P4424" s="8">
        <f t="shared" si="342"/>
        <v>1014</v>
      </c>
      <c r="Q4424" s="8">
        <f t="shared" si="343"/>
        <v>72</v>
      </c>
      <c r="R4424" s="2" t="s">
        <v>26</v>
      </c>
      <c r="S4424" s="24">
        <f t="shared" si="344"/>
        <v>0.02</v>
      </c>
    </row>
    <row r="4425" spans="1:19" x14ac:dyDescent="0.25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>VLOOKUP(F4425,'Customer Info'!$A:$B,2,0)</f>
        <v>Pamela</v>
      </c>
      <c r="H4425" s="6" t="str">
        <f>VLOOKUP(F4425,'Customer Info'!$A$1:$C$501,3,0)</f>
        <v>Stobb</v>
      </c>
      <c r="I4425" s="6" t="str">
        <f>VLOOKUP(F4425,Customer,5,0)</f>
        <v>Berlin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498</v>
      </c>
      <c r="O4425" s="2">
        <v>30</v>
      </c>
      <c r="P4425" s="8">
        <f t="shared" si="342"/>
        <v>528</v>
      </c>
      <c r="Q4425" s="8">
        <f t="shared" si="343"/>
        <v>51</v>
      </c>
      <c r="R4425" s="2" t="s">
        <v>28</v>
      </c>
      <c r="S4425" s="24">
        <f t="shared" si="344"/>
        <v>0.02</v>
      </c>
    </row>
    <row r="4426" spans="1:19" x14ac:dyDescent="0.25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>VLOOKUP(F4426,'Customer Info'!$A:$B,2,0)</f>
        <v>Brooke</v>
      </c>
      <c r="H4426" s="6" t="str">
        <f>VLOOKUP(F4426,'Customer Info'!$A$1:$C$501,3,0)</f>
        <v>Gillingham</v>
      </c>
      <c r="I4426" s="6" t="str">
        <f>VLOOKUP(F4426,Customer,5,0)</f>
        <v>Mysore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3632</v>
      </c>
      <c r="O4426" s="2">
        <v>58</v>
      </c>
      <c r="P4426" s="8">
        <f t="shared" si="342"/>
        <v>3690</v>
      </c>
      <c r="Q4426" s="8">
        <f t="shared" si="343"/>
        <v>232</v>
      </c>
      <c r="R4426" s="2" t="s">
        <v>50</v>
      </c>
      <c r="S4426" s="24">
        <f t="shared" si="344"/>
        <v>0.02</v>
      </c>
    </row>
    <row r="4427" spans="1:19" x14ac:dyDescent="0.25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>VLOOKUP(F4427,'Customer Info'!$A:$B,2,0)</f>
        <v>Vivek</v>
      </c>
      <c r="H4427" s="6" t="str">
        <f>VLOOKUP(F4427,'Customer Info'!$A$1:$C$501,3,0)</f>
        <v>Grady</v>
      </c>
      <c r="I4427" s="6" t="str">
        <f>VLOOKUP(F4427,Customer,5,0)</f>
        <v>Shantou</v>
      </c>
      <c r="J4427" s="2">
        <v>1332</v>
      </c>
      <c r="K4427" s="2">
        <v>1209</v>
      </c>
      <c r="L4427" s="2">
        <v>5</v>
      </c>
      <c r="M4427" s="7">
        <f t="shared" ref="M4427:M4490" si="345">K4427*L4427</f>
        <v>6045</v>
      </c>
      <c r="N4427" s="7">
        <f t="shared" ref="N4427:N4490" si="346">J4427*L4427</f>
        <v>6660</v>
      </c>
      <c r="O4427" s="2">
        <v>43</v>
      </c>
      <c r="P4427" s="8">
        <f t="shared" ref="P4427:P4490" si="347">N4427+O4427</f>
        <v>6703</v>
      </c>
      <c r="Q4427" s="8">
        <f t="shared" ref="Q4427:Q4490" si="348">N4427-M4427</f>
        <v>615</v>
      </c>
      <c r="R4427" s="2" t="s">
        <v>28</v>
      </c>
      <c r="S4427" s="24">
        <f t="shared" ref="S4427:S4490" si="349">VLOOKUP(N4427,$T$1:$U$7,2,TRUE)</f>
        <v>0.05</v>
      </c>
    </row>
    <row r="4428" spans="1:19" x14ac:dyDescent="0.25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>VLOOKUP(F4428,'Customer Info'!$A:$B,2,0)</f>
        <v>Sanjit</v>
      </c>
      <c r="H4428" s="6" t="str">
        <f>VLOOKUP(F4428,'Customer Info'!$A$1:$C$501,3,0)</f>
        <v>Jacobs</v>
      </c>
      <c r="I4428" s="6" t="str">
        <f>VLOOKUP(F4428,Customer,5,0)</f>
        <v>Munich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8">
        <f t="shared" si="347"/>
        <v>470</v>
      </c>
      <c r="Q4428" s="8">
        <f t="shared" si="348"/>
        <v>50</v>
      </c>
      <c r="R4428" s="2" t="s">
        <v>28</v>
      </c>
      <c r="S4428" s="24">
        <f t="shared" si="349"/>
        <v>0.02</v>
      </c>
    </row>
    <row r="4429" spans="1:19" x14ac:dyDescent="0.25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>VLOOKUP(F4429,'Customer Info'!$A:$B,2,0)</f>
        <v>Steve</v>
      </c>
      <c r="H4429" s="6" t="str">
        <f>VLOOKUP(F4429,'Customer Info'!$A$1:$C$501,3,0)</f>
        <v>Nguyen</v>
      </c>
      <c r="I4429" s="6" t="str">
        <f>VLOOKUP(F4429,Customer,5,0)</f>
        <v>Delhi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8">
        <f t="shared" si="347"/>
        <v>3146</v>
      </c>
      <c r="Q4429" s="8">
        <f t="shared" si="348"/>
        <v>256</v>
      </c>
      <c r="R4429" s="2" t="s">
        <v>26</v>
      </c>
      <c r="S4429" s="24">
        <f t="shared" si="349"/>
        <v>0.02</v>
      </c>
    </row>
    <row r="4430" spans="1:19" x14ac:dyDescent="0.25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>VLOOKUP(F4430,'Customer Info'!$A:$B,2,0)</f>
        <v>Erica</v>
      </c>
      <c r="H4430" s="6" t="str">
        <f>VLOOKUP(F4430,'Customer Info'!$A$1:$C$501,3,0)</f>
        <v>Hackney</v>
      </c>
      <c r="I4430" s="6" t="str">
        <f>VLOOKUP(F4430,Customer,5,0)</f>
        <v>Perth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8">
        <f t="shared" si="347"/>
        <v>5720</v>
      </c>
      <c r="Q4430" s="8">
        <f t="shared" si="348"/>
        <v>216</v>
      </c>
      <c r="R4430" s="2" t="s">
        <v>28</v>
      </c>
      <c r="S4430" s="24">
        <f t="shared" si="349"/>
        <v>0.05</v>
      </c>
    </row>
    <row r="4431" spans="1:19" x14ac:dyDescent="0.25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>VLOOKUP(F4431,'Customer Info'!$A:$B,2,0)</f>
        <v>William</v>
      </c>
      <c r="H4431" s="6" t="str">
        <f>VLOOKUP(F4431,'Customer Info'!$A$1:$C$501,3,0)</f>
        <v>Brown</v>
      </c>
      <c r="I4431" s="6" t="str">
        <f>VLOOKUP(F4431,Customer,5,0)</f>
        <v>Denpasar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8">
        <f t="shared" si="347"/>
        <v>3402</v>
      </c>
      <c r="Q4431" s="8">
        <f t="shared" si="348"/>
        <v>186</v>
      </c>
      <c r="R4431" s="2" t="s">
        <v>28</v>
      </c>
      <c r="S4431" s="24">
        <f t="shared" si="349"/>
        <v>0.02</v>
      </c>
    </row>
    <row r="4432" spans="1:19" x14ac:dyDescent="0.25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>VLOOKUP(F4432,'Customer Info'!$A:$B,2,0)</f>
        <v>Max</v>
      </c>
      <c r="H4432" s="6" t="str">
        <f>VLOOKUP(F4432,'Customer Info'!$A$1:$C$501,3,0)</f>
        <v>Ludwig</v>
      </c>
      <c r="I4432" s="6" t="str">
        <f>VLOOKUP(F4432,Customer,5,0)</f>
        <v>Cirebon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417</v>
      </c>
      <c r="O4432" s="2">
        <v>30</v>
      </c>
      <c r="P4432" s="8">
        <f t="shared" si="347"/>
        <v>447</v>
      </c>
      <c r="Q4432" s="8">
        <f t="shared" si="348"/>
        <v>18</v>
      </c>
      <c r="R4432" s="2" t="s">
        <v>28</v>
      </c>
      <c r="S4432" s="24">
        <f t="shared" si="349"/>
        <v>0.02</v>
      </c>
    </row>
    <row r="4433" spans="1:19" x14ac:dyDescent="0.25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>VLOOKUP(F4433,'Customer Info'!$A:$B,2,0)</f>
        <v>Michael</v>
      </c>
      <c r="H4433" s="6" t="str">
        <f>VLOOKUP(F4433,'Customer Info'!$A$1:$C$501,3,0)</f>
        <v>Nguyen</v>
      </c>
      <c r="I4433" s="6" t="str">
        <f>VLOOKUP(F4433,Customer,5,0)</f>
        <v>Berlin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15068</v>
      </c>
      <c r="O4433" s="2">
        <v>78</v>
      </c>
      <c r="P4433" s="8">
        <f t="shared" si="347"/>
        <v>15146</v>
      </c>
      <c r="Q4433" s="8">
        <f t="shared" si="348"/>
        <v>856</v>
      </c>
      <c r="R4433" s="2" t="s">
        <v>50</v>
      </c>
      <c r="S4433" s="24">
        <f t="shared" si="349"/>
        <v>0.05</v>
      </c>
    </row>
    <row r="4434" spans="1:19" x14ac:dyDescent="0.25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>VLOOKUP(F4434,'Customer Info'!$A:$B,2,0)</f>
        <v>Rachel</v>
      </c>
      <c r="H4434" s="6" t="str">
        <f>VLOOKUP(F4434,'Customer Info'!$A$1:$C$501,3,0)</f>
        <v>Payne</v>
      </c>
      <c r="I4434" s="6" t="str">
        <f>VLOOKUP(F4434,Customer,5,0)</f>
        <v>Raipur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36856</v>
      </c>
      <c r="O4434" s="2">
        <v>20</v>
      </c>
      <c r="P4434" s="8">
        <f t="shared" si="347"/>
        <v>36876</v>
      </c>
      <c r="Q4434" s="8">
        <f t="shared" si="348"/>
        <v>3676</v>
      </c>
      <c r="R4434" s="2" t="s">
        <v>28</v>
      </c>
      <c r="S4434" s="24">
        <f t="shared" si="349"/>
        <v>7.0000000000000007E-2</v>
      </c>
    </row>
    <row r="4435" spans="1:19" x14ac:dyDescent="0.25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>VLOOKUP(F4435,'Customer Info'!$A:$B,2,0)</f>
        <v>Becky</v>
      </c>
      <c r="H4435" s="6" t="str">
        <f>VLOOKUP(F4435,'Customer Info'!$A$1:$C$501,3,0)</f>
        <v>Pak</v>
      </c>
      <c r="I4435" s="6" t="str">
        <f>VLOOKUP(F4435,Customer,5,0)</f>
        <v>Mandurah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7410</v>
      </c>
      <c r="O4435" s="2">
        <v>70</v>
      </c>
      <c r="P4435" s="8">
        <f t="shared" si="347"/>
        <v>7480</v>
      </c>
      <c r="Q4435" s="8">
        <f t="shared" si="348"/>
        <v>145</v>
      </c>
      <c r="R4435" s="2" t="s">
        <v>50</v>
      </c>
      <c r="S4435" s="24">
        <f t="shared" si="349"/>
        <v>0.05</v>
      </c>
    </row>
    <row r="4436" spans="1:19" x14ac:dyDescent="0.25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>VLOOKUP(F4436,'Customer Info'!$A:$B,2,0)</f>
        <v>Allen</v>
      </c>
      <c r="H4436" s="6" t="str">
        <f>VLOOKUP(F4436,'Customer Info'!$A$1:$C$501,3,0)</f>
        <v>Rosenblatt</v>
      </c>
      <c r="I4436" s="6" t="str">
        <f>VLOOKUP(F4436,Customer,5,0)</f>
        <v>Chaozhou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505</v>
      </c>
      <c r="O4436" s="2">
        <v>46</v>
      </c>
      <c r="P4436" s="8">
        <f t="shared" si="347"/>
        <v>551</v>
      </c>
      <c r="Q4436" s="8">
        <f t="shared" si="348"/>
        <v>42</v>
      </c>
      <c r="R4436" s="2" t="s">
        <v>28</v>
      </c>
      <c r="S4436" s="24">
        <f t="shared" si="349"/>
        <v>0.02</v>
      </c>
    </row>
    <row r="4437" spans="1:19" x14ac:dyDescent="0.25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>VLOOKUP(F4437,'Customer Info'!$A:$B,2,0)</f>
        <v>Max</v>
      </c>
      <c r="H4437" s="6" t="str">
        <f>VLOOKUP(F4437,'Customer Info'!$A$1:$C$501,3,0)</f>
        <v>Ludwig</v>
      </c>
      <c r="I4437" s="6" t="str">
        <f>VLOOKUP(F4437,Customer,5,0)</f>
        <v>Newcastle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5288</v>
      </c>
      <c r="O4437" s="2">
        <v>66</v>
      </c>
      <c r="P4437" s="8">
        <f t="shared" si="347"/>
        <v>5354</v>
      </c>
      <c r="Q4437" s="8">
        <f t="shared" si="348"/>
        <v>438</v>
      </c>
      <c r="R4437" s="2" t="s">
        <v>26</v>
      </c>
      <c r="S4437" s="24">
        <f t="shared" si="349"/>
        <v>0.05</v>
      </c>
    </row>
    <row r="4438" spans="1:19" x14ac:dyDescent="0.25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>VLOOKUP(F4438,'Customer Info'!$A:$B,2,0)</f>
        <v>Jennifer</v>
      </c>
      <c r="H4438" s="6" t="str">
        <f>VLOOKUP(F4438,'Customer Info'!$A$1:$C$501,3,0)</f>
        <v>Halladay</v>
      </c>
      <c r="I4438" s="6" t="str">
        <f>VLOOKUP(F4438,Customer,5,0)</f>
        <v>Krefeld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16320</v>
      </c>
      <c r="O4438" s="2">
        <v>37</v>
      </c>
      <c r="P4438" s="8">
        <f t="shared" si="347"/>
        <v>16357</v>
      </c>
      <c r="Q4438" s="8">
        <f t="shared" si="348"/>
        <v>1370</v>
      </c>
      <c r="R4438" s="2" t="s">
        <v>28</v>
      </c>
      <c r="S4438" s="24">
        <f t="shared" si="349"/>
        <v>0.05</v>
      </c>
    </row>
    <row r="4439" spans="1:19" x14ac:dyDescent="0.25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>VLOOKUP(F4439,'Customer Info'!$A:$B,2,0)</f>
        <v>Craig</v>
      </c>
      <c r="H4439" s="6" t="str">
        <f>VLOOKUP(F4439,'Customer Info'!$A$1:$C$501,3,0)</f>
        <v>Carroll</v>
      </c>
      <c r="I4439" s="6" t="str">
        <f>VLOOKUP(F4439,Customer,5,0)</f>
        <v>Augsburg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537</v>
      </c>
      <c r="O4439" s="2">
        <v>30</v>
      </c>
      <c r="P4439" s="8">
        <f t="shared" si="347"/>
        <v>567</v>
      </c>
      <c r="Q4439" s="8">
        <f t="shared" si="348"/>
        <v>24</v>
      </c>
      <c r="R4439" s="2" t="s">
        <v>50</v>
      </c>
      <c r="S4439" s="24">
        <f t="shared" si="349"/>
        <v>0.02</v>
      </c>
    </row>
    <row r="4440" spans="1:19" x14ac:dyDescent="0.25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>VLOOKUP(F4440,'Customer Info'!$A:$B,2,0)</f>
        <v>Helen</v>
      </c>
      <c r="H4440" s="6" t="str">
        <f>VLOOKUP(F4440,'Customer Info'!$A$1:$C$501,3,0)</f>
        <v>Abelman</v>
      </c>
      <c r="I4440" s="6" t="str">
        <f>VLOOKUP(F4440,Customer,5,0)</f>
        <v>Mangalore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165</v>
      </c>
      <c r="O4440" s="2">
        <v>30</v>
      </c>
      <c r="P4440" s="8">
        <f t="shared" si="347"/>
        <v>195</v>
      </c>
      <c r="Q4440" s="8">
        <f t="shared" si="348"/>
        <v>16</v>
      </c>
      <c r="R4440" s="2" t="s">
        <v>50</v>
      </c>
      <c r="S4440" s="24">
        <f t="shared" si="349"/>
        <v>0.02</v>
      </c>
    </row>
    <row r="4441" spans="1:19" x14ac:dyDescent="0.25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>VLOOKUP(F4441,'Customer Info'!$A:$B,2,0)</f>
        <v>Art</v>
      </c>
      <c r="H4441" s="6" t="str">
        <f>VLOOKUP(F4441,'Customer Info'!$A$1:$C$501,3,0)</f>
        <v>Foster</v>
      </c>
      <c r="I4441" s="6" t="str">
        <f>VLOOKUP(F4441,Customer,5,0)</f>
        <v>Devonport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5775</v>
      </c>
      <c r="O4441" s="2">
        <v>80</v>
      </c>
      <c r="P4441" s="8">
        <f t="shared" si="347"/>
        <v>5855</v>
      </c>
      <c r="Q4441" s="8">
        <f t="shared" si="348"/>
        <v>273</v>
      </c>
      <c r="R4441" s="2" t="s">
        <v>28</v>
      </c>
      <c r="S4441" s="24">
        <f t="shared" si="349"/>
        <v>0.05</v>
      </c>
    </row>
    <row r="4442" spans="1:19" x14ac:dyDescent="0.25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>VLOOKUP(F4442,'Customer Info'!$A:$B,2,0)</f>
        <v>Toby</v>
      </c>
      <c r="H4442" s="6" t="str">
        <f>VLOOKUP(F4442,'Customer Info'!$A$1:$C$501,3,0)</f>
        <v>Braunhardt</v>
      </c>
      <c r="I4442" s="6" t="str">
        <f>VLOOKUP(F4442,Customer,5,0)</f>
        <v>Jiangyan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5518</v>
      </c>
      <c r="O4442" s="2">
        <v>82</v>
      </c>
      <c r="P4442" s="8">
        <f t="shared" si="347"/>
        <v>5600</v>
      </c>
      <c r="Q4442" s="8">
        <f t="shared" si="348"/>
        <v>262</v>
      </c>
      <c r="R4442" s="2" t="s">
        <v>28</v>
      </c>
      <c r="S4442" s="24">
        <f t="shared" si="349"/>
        <v>0.05</v>
      </c>
    </row>
    <row r="4443" spans="1:19" x14ac:dyDescent="0.25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>VLOOKUP(F4443,'Customer Info'!$A:$B,2,0)</f>
        <v>Nick</v>
      </c>
      <c r="H4443" s="6" t="str">
        <f>VLOOKUP(F4443,'Customer Info'!$A$1:$C$501,3,0)</f>
        <v>Zandusky</v>
      </c>
      <c r="I4443" s="6" t="str">
        <f>VLOOKUP(F4443,Customer,5,0)</f>
        <v>Surabaya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7623</v>
      </c>
      <c r="O4443" s="2">
        <v>98</v>
      </c>
      <c r="P4443" s="8">
        <f t="shared" si="347"/>
        <v>7721</v>
      </c>
      <c r="Q4443" s="8">
        <f t="shared" si="348"/>
        <v>286</v>
      </c>
      <c r="R4443" s="2" t="s">
        <v>28</v>
      </c>
      <c r="S4443" s="24">
        <f t="shared" si="349"/>
        <v>0.05</v>
      </c>
    </row>
    <row r="4444" spans="1:19" x14ac:dyDescent="0.25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>VLOOKUP(F4444,'Customer Info'!$A:$B,2,0)</f>
        <v>Shirley</v>
      </c>
      <c r="H4444" s="6" t="str">
        <f>VLOOKUP(F4444,'Customer Info'!$A$1:$C$501,3,0)</f>
        <v>Jackson</v>
      </c>
      <c r="I4444" s="6" t="str">
        <f>VLOOKUP(F4444,Customer,5,0)</f>
        <v>Gold Coast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17718</v>
      </c>
      <c r="O4444" s="2">
        <v>30</v>
      </c>
      <c r="P4444" s="8">
        <f t="shared" si="347"/>
        <v>17748</v>
      </c>
      <c r="Q4444" s="8">
        <f t="shared" si="348"/>
        <v>1920</v>
      </c>
      <c r="R4444" s="2" t="s">
        <v>50</v>
      </c>
      <c r="S4444" s="24">
        <f t="shared" si="349"/>
        <v>0.05</v>
      </c>
    </row>
    <row r="4445" spans="1:19" x14ac:dyDescent="0.25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>VLOOKUP(F4445,'Customer Info'!$A:$B,2,0)</f>
        <v>Brian</v>
      </c>
      <c r="H4445" s="6" t="str">
        <f>VLOOKUP(F4445,'Customer Info'!$A$1:$C$501,3,0)</f>
        <v>Stugart</v>
      </c>
      <c r="I4445" s="6" t="str">
        <f>VLOOKUP(F4445,Customer,5,0)</f>
        <v>Jakarta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1498</v>
      </c>
      <c r="O4445" s="2">
        <v>86</v>
      </c>
      <c r="P4445" s="8">
        <f t="shared" si="347"/>
        <v>1584</v>
      </c>
      <c r="Q4445" s="8">
        <f t="shared" si="348"/>
        <v>163</v>
      </c>
      <c r="R4445" s="2" t="s">
        <v>28</v>
      </c>
      <c r="S4445" s="24">
        <f t="shared" si="349"/>
        <v>0.02</v>
      </c>
    </row>
    <row r="4446" spans="1:19" x14ac:dyDescent="0.25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>VLOOKUP(F4446,'Customer Info'!$A:$B,2,0)</f>
        <v>Brad</v>
      </c>
      <c r="H4446" s="6" t="str">
        <f>VLOOKUP(F4446,'Customer Info'!$A$1:$C$501,3,0)</f>
        <v>Thomas</v>
      </c>
      <c r="I4446" s="6" t="str">
        <f>VLOOKUP(F4446,Customer,5,0)</f>
        <v>Udaipur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11070</v>
      </c>
      <c r="O4446" s="2">
        <v>77</v>
      </c>
      <c r="P4446" s="8">
        <f t="shared" si="347"/>
        <v>11147</v>
      </c>
      <c r="Q4446" s="8">
        <f t="shared" si="348"/>
        <v>618</v>
      </c>
      <c r="R4446" s="2" t="s">
        <v>50</v>
      </c>
      <c r="S4446" s="24">
        <f t="shared" si="349"/>
        <v>0.05</v>
      </c>
    </row>
    <row r="4447" spans="1:19" x14ac:dyDescent="0.25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>VLOOKUP(F4447,'Customer Info'!$A:$B,2,0)</f>
        <v>Brendan</v>
      </c>
      <c r="H4447" s="6" t="str">
        <f>VLOOKUP(F4447,'Customer Info'!$A$1:$C$501,3,0)</f>
        <v>Dodson</v>
      </c>
      <c r="I4447" s="6" t="str">
        <f>VLOOKUP(F4447,Customer,5,0)</f>
        <v>Adelaide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70700</v>
      </c>
      <c r="O4447" s="2">
        <v>51</v>
      </c>
      <c r="P4447" s="8">
        <f t="shared" si="347"/>
        <v>70751</v>
      </c>
      <c r="Q4447" s="8">
        <f t="shared" si="348"/>
        <v>4626</v>
      </c>
      <c r="R4447" s="2" t="s">
        <v>28</v>
      </c>
      <c r="S4447" s="24">
        <f t="shared" si="349"/>
        <v>0.09</v>
      </c>
    </row>
    <row r="4448" spans="1:19" x14ac:dyDescent="0.25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>VLOOKUP(F4448,'Customer Info'!$A:$B,2,0)</f>
        <v>Erica</v>
      </c>
      <c r="H4448" s="6" t="str">
        <f>VLOOKUP(F4448,'Customer Info'!$A$1:$C$501,3,0)</f>
        <v>Hackney</v>
      </c>
      <c r="I4448" s="6" t="str">
        <f>VLOOKUP(F4448,Customer,5,0)</f>
        <v>Perth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2882</v>
      </c>
      <c r="O4448" s="2">
        <v>42</v>
      </c>
      <c r="P4448" s="8">
        <f t="shared" si="347"/>
        <v>2924</v>
      </c>
      <c r="Q4448" s="8">
        <f t="shared" si="348"/>
        <v>162</v>
      </c>
      <c r="R4448" s="2" t="s">
        <v>28</v>
      </c>
      <c r="S4448" s="24">
        <f t="shared" si="349"/>
        <v>0.02</v>
      </c>
    </row>
    <row r="4449" spans="1:19" x14ac:dyDescent="0.25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>VLOOKUP(F4449,'Customer Info'!$A:$B,2,0)</f>
        <v>Clay</v>
      </c>
      <c r="H4449" s="6" t="str">
        <f>VLOOKUP(F4449,'Customer Info'!$A$1:$C$501,3,0)</f>
        <v>Cheatham</v>
      </c>
      <c r="I4449" s="6" t="str">
        <f>VLOOKUP(F4449,Customer,5,0)</f>
        <v>Freiburg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3406</v>
      </c>
      <c r="O4449" s="2">
        <v>72</v>
      </c>
      <c r="P4449" s="8">
        <f t="shared" si="347"/>
        <v>3478</v>
      </c>
      <c r="Q4449" s="8">
        <f t="shared" si="348"/>
        <v>128</v>
      </c>
      <c r="R4449" s="2" t="s">
        <v>28</v>
      </c>
      <c r="S4449" s="24">
        <f t="shared" si="349"/>
        <v>0.02</v>
      </c>
    </row>
    <row r="4450" spans="1:19" x14ac:dyDescent="0.25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>VLOOKUP(F4450,'Customer Info'!$A:$B,2,0)</f>
        <v>Neoma</v>
      </c>
      <c r="H4450" s="6" t="str">
        <f>VLOOKUP(F4450,'Customer Info'!$A$1:$C$501,3,0)</f>
        <v>Murray</v>
      </c>
      <c r="I4450" s="6" t="str">
        <f>VLOOKUP(F4450,Customer,5,0)</f>
        <v>Guwahati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12580</v>
      </c>
      <c r="O4450" s="2">
        <v>81</v>
      </c>
      <c r="P4450" s="8">
        <f t="shared" si="347"/>
        <v>12661</v>
      </c>
      <c r="Q4450" s="8">
        <f t="shared" si="348"/>
        <v>480</v>
      </c>
      <c r="R4450" s="2" t="s">
        <v>28</v>
      </c>
      <c r="S4450" s="24">
        <f t="shared" si="349"/>
        <v>0.05</v>
      </c>
    </row>
    <row r="4451" spans="1:19" x14ac:dyDescent="0.25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>VLOOKUP(F4451,'Customer Info'!$A:$B,2,0)</f>
        <v>Julia</v>
      </c>
      <c r="H4451" s="6" t="str">
        <f>VLOOKUP(F4451,'Customer Info'!$A$1:$C$501,3,0)</f>
        <v>Barnett</v>
      </c>
      <c r="I4451" s="6" t="str">
        <f>VLOOKUP(F4451,Customer,5,0)</f>
        <v>Zhuhai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16702</v>
      </c>
      <c r="O4451" s="2">
        <v>46</v>
      </c>
      <c r="P4451" s="8">
        <f t="shared" si="347"/>
        <v>16748</v>
      </c>
      <c r="Q4451" s="8">
        <f t="shared" si="348"/>
        <v>636</v>
      </c>
      <c r="R4451" s="2" t="s">
        <v>28</v>
      </c>
      <c r="S4451" s="24">
        <f t="shared" si="349"/>
        <v>0.05</v>
      </c>
    </row>
    <row r="4452" spans="1:19" x14ac:dyDescent="0.25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>VLOOKUP(F4452,'Customer Info'!$A:$B,2,0)</f>
        <v>Stefania</v>
      </c>
      <c r="H4452" s="6" t="str">
        <f>VLOOKUP(F4452,'Customer Info'!$A$1:$C$501,3,0)</f>
        <v>Perrino</v>
      </c>
      <c r="I4452" s="6" t="str">
        <f>VLOOKUP(F4452,Customer,5,0)</f>
        <v>Albury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21371</v>
      </c>
      <c r="O4452" s="2">
        <v>24</v>
      </c>
      <c r="P4452" s="8">
        <f t="shared" si="347"/>
        <v>21395</v>
      </c>
      <c r="Q4452" s="8">
        <f t="shared" si="348"/>
        <v>812</v>
      </c>
      <c r="R4452" s="2" t="s">
        <v>28</v>
      </c>
      <c r="S4452" s="24">
        <f t="shared" si="349"/>
        <v>0.05</v>
      </c>
    </row>
    <row r="4453" spans="1:19" x14ac:dyDescent="0.25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>VLOOKUP(F4453,'Customer Info'!$A:$B,2,0)</f>
        <v>William</v>
      </c>
      <c r="H4453" s="6" t="str">
        <f>VLOOKUP(F4453,'Customer Info'!$A$1:$C$501,3,0)</f>
        <v>Brown</v>
      </c>
      <c r="I4453" s="6" t="str">
        <f>VLOOKUP(F4453,Customer,5,0)</f>
        <v>Denpasar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740</v>
      </c>
      <c r="O4453" s="2">
        <v>30</v>
      </c>
      <c r="P4453" s="8">
        <f t="shared" si="347"/>
        <v>770</v>
      </c>
      <c r="Q4453" s="8">
        <f t="shared" si="348"/>
        <v>56</v>
      </c>
      <c r="R4453" s="2" t="s">
        <v>28</v>
      </c>
      <c r="S4453" s="24">
        <f t="shared" si="349"/>
        <v>0.02</v>
      </c>
    </row>
    <row r="4454" spans="1:19" x14ac:dyDescent="0.25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>VLOOKUP(F4454,'Customer Info'!$A:$B,2,0)</f>
        <v>Bobby</v>
      </c>
      <c r="H4454" s="6" t="str">
        <f>VLOOKUP(F4454,'Customer Info'!$A$1:$C$501,3,0)</f>
        <v>Odegard</v>
      </c>
      <c r="I4454" s="6" t="str">
        <f>VLOOKUP(F4454,Customer,5,0)</f>
        <v>Adelaide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26832</v>
      </c>
      <c r="O4454" s="2">
        <v>73</v>
      </c>
      <c r="P4454" s="8">
        <f t="shared" si="347"/>
        <v>26905</v>
      </c>
      <c r="Q4454" s="8">
        <f t="shared" si="348"/>
        <v>2016</v>
      </c>
      <c r="R4454" s="2" t="s">
        <v>56</v>
      </c>
      <c r="S4454" s="24">
        <f t="shared" si="349"/>
        <v>7.0000000000000007E-2</v>
      </c>
    </row>
    <row r="4455" spans="1:19" x14ac:dyDescent="0.25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>VLOOKUP(F4455,'Customer Info'!$A:$B,2,0)</f>
        <v>Dana</v>
      </c>
      <c r="H4455" s="6" t="str">
        <f>VLOOKUP(F4455,'Customer Info'!$A$1:$C$501,3,0)</f>
        <v>Kaydos</v>
      </c>
      <c r="I4455" s="6" t="str">
        <f>VLOOKUP(F4455,Customer,5,0)</f>
        <v>Nagercoil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4676</v>
      </c>
      <c r="O4455" s="2">
        <v>75</v>
      </c>
      <c r="P4455" s="8">
        <f t="shared" si="347"/>
        <v>4751</v>
      </c>
      <c r="Q4455" s="8">
        <f t="shared" si="348"/>
        <v>388</v>
      </c>
      <c r="R4455" s="2" t="s">
        <v>26</v>
      </c>
      <c r="S4455" s="24">
        <f t="shared" si="349"/>
        <v>0.02</v>
      </c>
    </row>
    <row r="4456" spans="1:19" x14ac:dyDescent="0.25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>VLOOKUP(F4456,'Customer Info'!$A:$B,2,0)</f>
        <v>Julia</v>
      </c>
      <c r="H4456" s="6" t="str">
        <f>VLOOKUP(F4456,'Customer Info'!$A$1:$C$501,3,0)</f>
        <v>Dunbar</v>
      </c>
      <c r="I4456" s="6" t="str">
        <f>VLOOKUP(F4456,Customer,5,0)</f>
        <v>Cologne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3316</v>
      </c>
      <c r="O4456" s="2">
        <v>79</v>
      </c>
      <c r="P4456" s="8">
        <f t="shared" si="347"/>
        <v>3395</v>
      </c>
      <c r="Q4456" s="8">
        <f t="shared" si="348"/>
        <v>272</v>
      </c>
      <c r="R4456" s="2" t="s">
        <v>28</v>
      </c>
      <c r="S4456" s="24">
        <f t="shared" si="349"/>
        <v>0.02</v>
      </c>
    </row>
    <row r="4457" spans="1:19" x14ac:dyDescent="0.25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>VLOOKUP(F4457,'Customer Info'!$A:$B,2,0)</f>
        <v>Dana</v>
      </c>
      <c r="H4457" s="6" t="str">
        <f>VLOOKUP(F4457,'Customer Info'!$A$1:$C$501,3,0)</f>
        <v>Kaydos</v>
      </c>
      <c r="I4457" s="6" t="str">
        <f>VLOOKUP(F4457,Customer,5,0)</f>
        <v>Nagercoil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1770</v>
      </c>
      <c r="O4457" s="2">
        <v>53</v>
      </c>
      <c r="P4457" s="8">
        <f t="shared" si="347"/>
        <v>1823</v>
      </c>
      <c r="Q4457" s="8">
        <f t="shared" si="348"/>
        <v>178</v>
      </c>
      <c r="R4457" s="2" t="s">
        <v>28</v>
      </c>
      <c r="S4457" s="24">
        <f t="shared" si="349"/>
        <v>0.02</v>
      </c>
    </row>
    <row r="4458" spans="1:19" x14ac:dyDescent="0.25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>VLOOKUP(F4458,'Customer Info'!$A:$B,2,0)</f>
        <v>Lisa</v>
      </c>
      <c r="H4458" s="6" t="str">
        <f>VLOOKUP(F4458,'Customer Info'!$A$1:$C$501,3,0)</f>
        <v>DeCherney</v>
      </c>
      <c r="I4458" s="6" t="str">
        <f>VLOOKUP(F4458,Customer,5,0)</f>
        <v>Ningbo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22869</v>
      </c>
      <c r="O4458" s="2">
        <v>63</v>
      </c>
      <c r="P4458" s="8">
        <f t="shared" si="347"/>
        <v>22932</v>
      </c>
      <c r="Q4458" s="8">
        <f t="shared" si="348"/>
        <v>1677</v>
      </c>
      <c r="R4458" s="2" t="s">
        <v>28</v>
      </c>
      <c r="S4458" s="24">
        <f t="shared" si="349"/>
        <v>0.05</v>
      </c>
    </row>
    <row r="4459" spans="1:19" x14ac:dyDescent="0.25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>VLOOKUP(F4459,'Customer Info'!$A:$B,2,0)</f>
        <v>Aaron</v>
      </c>
      <c r="H4459" s="6" t="str">
        <f>VLOOKUP(F4459,'Customer Info'!$A$1:$C$501,3,0)</f>
        <v>Smayling</v>
      </c>
      <c r="I4459" s="6" t="str">
        <f>VLOOKUP(F4459,Customer,5,0)</f>
        <v>Port Macquarie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27072</v>
      </c>
      <c r="O4459" s="2">
        <v>63</v>
      </c>
      <c r="P4459" s="8">
        <f t="shared" si="347"/>
        <v>27135</v>
      </c>
      <c r="Q4459" s="8">
        <f t="shared" si="348"/>
        <v>1024</v>
      </c>
      <c r="R4459" s="2" t="s">
        <v>28</v>
      </c>
      <c r="S4459" s="24">
        <f t="shared" si="349"/>
        <v>7.0000000000000007E-2</v>
      </c>
    </row>
    <row r="4460" spans="1:19" x14ac:dyDescent="0.25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>VLOOKUP(F4460,'Customer Info'!$A:$B,2,0)</f>
        <v>Philip</v>
      </c>
      <c r="H4460" s="6" t="str">
        <f>VLOOKUP(F4460,'Customer Info'!$A$1:$C$501,3,0)</f>
        <v>Brown</v>
      </c>
      <c r="I4460" s="6" t="str">
        <f>VLOOKUP(F4460,Customer,5,0)</f>
        <v>Binjai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1502</v>
      </c>
      <c r="O4460" s="2">
        <v>26</v>
      </c>
      <c r="P4460" s="8">
        <f t="shared" si="347"/>
        <v>1528</v>
      </c>
      <c r="Q4460" s="8">
        <f t="shared" si="348"/>
        <v>110</v>
      </c>
      <c r="R4460" s="2" t="s">
        <v>28</v>
      </c>
      <c r="S4460" s="24">
        <f t="shared" si="349"/>
        <v>0.02</v>
      </c>
    </row>
    <row r="4461" spans="1:19" x14ac:dyDescent="0.25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>VLOOKUP(F4461,'Customer Info'!$A:$B,2,0)</f>
        <v>Thomas</v>
      </c>
      <c r="H4461" s="6" t="str">
        <f>VLOOKUP(F4461,'Customer Info'!$A$1:$C$501,3,0)</f>
        <v>Seio</v>
      </c>
      <c r="I4461" s="6" t="str">
        <f>VLOOKUP(F4461,Customer,5,0)</f>
        <v>Melbourne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7658</v>
      </c>
      <c r="O4461" s="2">
        <v>44</v>
      </c>
      <c r="P4461" s="8">
        <f t="shared" si="347"/>
        <v>7702</v>
      </c>
      <c r="Q4461" s="8">
        <f t="shared" si="348"/>
        <v>632</v>
      </c>
      <c r="R4461" s="2" t="s">
        <v>28</v>
      </c>
      <c r="S4461" s="24">
        <f t="shared" si="349"/>
        <v>0.05</v>
      </c>
    </row>
    <row r="4462" spans="1:19" x14ac:dyDescent="0.25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>VLOOKUP(F4462,'Customer Info'!$A:$B,2,0)</f>
        <v>Steve</v>
      </c>
      <c r="H4462" s="6" t="str">
        <f>VLOOKUP(F4462,'Customer Info'!$A$1:$C$501,3,0)</f>
        <v>Carroll</v>
      </c>
      <c r="I4462" s="6" t="str">
        <f>VLOOKUP(F4462,Customer,5,0)</f>
        <v>Qingdao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17504</v>
      </c>
      <c r="O4462" s="2">
        <v>100</v>
      </c>
      <c r="P4462" s="8">
        <f t="shared" si="347"/>
        <v>17604</v>
      </c>
      <c r="Q4462" s="8">
        <f t="shared" si="348"/>
        <v>1750</v>
      </c>
      <c r="R4462" s="2" t="s">
        <v>26</v>
      </c>
      <c r="S4462" s="24">
        <f t="shared" si="349"/>
        <v>0.05</v>
      </c>
    </row>
    <row r="4463" spans="1:19" x14ac:dyDescent="0.25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>VLOOKUP(F4463,'Customer Info'!$A:$B,2,0)</f>
        <v>Ralph</v>
      </c>
      <c r="H4463" s="6" t="str">
        <f>VLOOKUP(F4463,'Customer Info'!$A$1:$C$501,3,0)</f>
        <v>Arnett</v>
      </c>
      <c r="I4463" s="6" t="str">
        <f>VLOOKUP(F4463,Customer,5,0)</f>
        <v>Jhansi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25890</v>
      </c>
      <c r="O4463" s="2">
        <v>70</v>
      </c>
      <c r="P4463" s="8">
        <f t="shared" si="347"/>
        <v>25960</v>
      </c>
      <c r="Q4463" s="8">
        <f t="shared" si="348"/>
        <v>981</v>
      </c>
      <c r="R4463" s="2" t="s">
        <v>50</v>
      </c>
      <c r="S4463" s="24">
        <f t="shared" si="349"/>
        <v>7.0000000000000007E-2</v>
      </c>
    </row>
    <row r="4464" spans="1:19" x14ac:dyDescent="0.25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>VLOOKUP(F4464,'Customer Info'!$A:$B,2,0)</f>
        <v>Joel</v>
      </c>
      <c r="H4464" s="6" t="str">
        <f>VLOOKUP(F4464,'Customer Info'!$A$1:$C$501,3,0)</f>
        <v>Eaton</v>
      </c>
      <c r="I4464" s="6" t="str">
        <f>VLOOKUP(F4464,Customer,5,0)</f>
        <v>Nuremberg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3206</v>
      </c>
      <c r="O4464" s="2">
        <v>70</v>
      </c>
      <c r="P4464" s="8">
        <f t="shared" si="347"/>
        <v>3276</v>
      </c>
      <c r="Q4464" s="8">
        <f t="shared" si="348"/>
        <v>273</v>
      </c>
      <c r="R4464" s="2" t="s">
        <v>56</v>
      </c>
      <c r="S4464" s="24">
        <f t="shared" si="349"/>
        <v>0.02</v>
      </c>
    </row>
    <row r="4465" spans="1:19" x14ac:dyDescent="0.25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>VLOOKUP(F4465,'Customer Info'!$A:$B,2,0)</f>
        <v>Ed</v>
      </c>
      <c r="H4465" s="6" t="str">
        <f>VLOOKUP(F4465,'Customer Info'!$A$1:$C$501,3,0)</f>
        <v>Braxton</v>
      </c>
      <c r="I4465" s="6" t="str">
        <f>VLOOKUP(F4465,Customer,5,0)</f>
        <v>Bhatpara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194</v>
      </c>
      <c r="O4465" s="2">
        <v>10</v>
      </c>
      <c r="P4465" s="8">
        <f t="shared" si="347"/>
        <v>204</v>
      </c>
      <c r="Q4465" s="8">
        <f t="shared" si="348"/>
        <v>10</v>
      </c>
      <c r="R4465" s="2" t="s">
        <v>28</v>
      </c>
      <c r="S4465" s="24">
        <f t="shared" si="349"/>
        <v>0.02</v>
      </c>
    </row>
    <row r="4466" spans="1:19" x14ac:dyDescent="0.25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>VLOOKUP(F4466,'Customer Info'!$A:$B,2,0)</f>
        <v>Yana</v>
      </c>
      <c r="H4466" s="6" t="str">
        <f>VLOOKUP(F4466,'Customer Info'!$A$1:$C$501,3,0)</f>
        <v>Sorensen</v>
      </c>
      <c r="I4466" s="6" t="str">
        <f>VLOOKUP(F4466,Customer,5,0)</f>
        <v>Bottrop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9510</v>
      </c>
      <c r="O4466" s="2">
        <v>48</v>
      </c>
      <c r="P4466" s="8">
        <f t="shared" si="347"/>
        <v>9558</v>
      </c>
      <c r="Q4466" s="8">
        <f t="shared" si="348"/>
        <v>540</v>
      </c>
      <c r="R4466" s="2" t="s">
        <v>28</v>
      </c>
      <c r="S4466" s="24">
        <f t="shared" si="349"/>
        <v>0.05</v>
      </c>
    </row>
    <row r="4467" spans="1:19" x14ac:dyDescent="0.25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>VLOOKUP(F4467,'Customer Info'!$A:$B,2,0)</f>
        <v>Ruben</v>
      </c>
      <c r="H4467" s="6" t="str">
        <f>VLOOKUP(F4467,'Customer Info'!$A$1:$C$501,3,0)</f>
        <v>Ausman</v>
      </c>
      <c r="I4467" s="6" t="str">
        <f>VLOOKUP(F4467,Customer,5,0)</f>
        <v>Sonneberg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25096</v>
      </c>
      <c r="O4467" s="2">
        <v>78</v>
      </c>
      <c r="P4467" s="8">
        <f t="shared" si="347"/>
        <v>25174</v>
      </c>
      <c r="Q4467" s="8">
        <f t="shared" si="348"/>
        <v>724</v>
      </c>
      <c r="R4467" s="2" t="s">
        <v>56</v>
      </c>
      <c r="S4467" s="24">
        <f t="shared" si="349"/>
        <v>7.0000000000000007E-2</v>
      </c>
    </row>
    <row r="4468" spans="1:19" x14ac:dyDescent="0.25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>VLOOKUP(F4468,'Customer Info'!$A:$B,2,0)</f>
        <v>Shahid</v>
      </c>
      <c r="H4468" s="6" t="str">
        <f>VLOOKUP(F4468,'Customer Info'!$A$1:$C$501,3,0)</f>
        <v>Collister</v>
      </c>
      <c r="I4468" s="6" t="str">
        <f>VLOOKUP(F4468,Customer,5,0)</f>
        <v>Solapur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1878</v>
      </c>
      <c r="O4468" s="2">
        <v>48</v>
      </c>
      <c r="P4468" s="8">
        <f t="shared" si="347"/>
        <v>1926</v>
      </c>
      <c r="Q4468" s="8">
        <f t="shared" si="348"/>
        <v>88</v>
      </c>
      <c r="R4468" s="2" t="s">
        <v>50</v>
      </c>
      <c r="S4468" s="24">
        <f t="shared" si="349"/>
        <v>0.02</v>
      </c>
    </row>
    <row r="4469" spans="1:19" x14ac:dyDescent="0.25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>VLOOKUP(F4469,'Customer Info'!$A:$B,2,0)</f>
        <v>Laurel</v>
      </c>
      <c r="H4469" s="6" t="str">
        <f>VLOOKUP(F4469,'Customer Info'!$A$1:$C$501,3,0)</f>
        <v>Beltran</v>
      </c>
      <c r="I4469" s="6" t="str">
        <f>VLOOKUP(F4469,Customer,5,0)</f>
        <v>Wuppertal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33596</v>
      </c>
      <c r="O4469" s="2">
        <v>72</v>
      </c>
      <c r="P4469" s="8">
        <f t="shared" si="347"/>
        <v>33668</v>
      </c>
      <c r="Q4469" s="8">
        <f t="shared" si="348"/>
        <v>1592</v>
      </c>
      <c r="R4469" s="2" t="s">
        <v>28</v>
      </c>
      <c r="S4469" s="24">
        <f t="shared" si="349"/>
        <v>7.0000000000000007E-2</v>
      </c>
    </row>
    <row r="4470" spans="1:19" x14ac:dyDescent="0.25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>VLOOKUP(F4470,'Customer Info'!$A:$B,2,0)</f>
        <v>Meg</v>
      </c>
      <c r="H4470" s="6" t="str">
        <f>VLOOKUP(F4470,'Customer Info'!$A$1:$C$501,3,0)</f>
        <v>Tillman</v>
      </c>
      <c r="I4470" s="6" t="str">
        <f>VLOOKUP(F4470,Customer,5,0)</f>
        <v>Melbourne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4323</v>
      </c>
      <c r="O4470" s="2">
        <v>28</v>
      </c>
      <c r="P4470" s="8">
        <f t="shared" si="347"/>
        <v>4351</v>
      </c>
      <c r="Q4470" s="8">
        <f t="shared" si="348"/>
        <v>243</v>
      </c>
      <c r="R4470" s="2" t="s">
        <v>28</v>
      </c>
      <c r="S4470" s="24">
        <f t="shared" si="349"/>
        <v>0.02</v>
      </c>
    </row>
    <row r="4471" spans="1:19" x14ac:dyDescent="0.25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>VLOOKUP(F4471,'Customer Info'!$A:$B,2,0)</f>
        <v>Kristen</v>
      </c>
      <c r="H4471" s="6" t="str">
        <f>VLOOKUP(F4471,'Customer Info'!$A$1:$C$501,3,0)</f>
        <v>Hastings</v>
      </c>
      <c r="I4471" s="6" t="str">
        <f>VLOOKUP(F4471,Customer,5,0)</f>
        <v>Shihezi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28564</v>
      </c>
      <c r="O4471" s="2">
        <v>88</v>
      </c>
      <c r="P4471" s="8">
        <f t="shared" si="347"/>
        <v>28652</v>
      </c>
      <c r="Q4471" s="8">
        <f t="shared" si="348"/>
        <v>2400</v>
      </c>
      <c r="R4471" s="2" t="s">
        <v>28</v>
      </c>
      <c r="S4471" s="24">
        <f t="shared" si="349"/>
        <v>7.0000000000000007E-2</v>
      </c>
    </row>
    <row r="4472" spans="1:19" x14ac:dyDescent="0.25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>VLOOKUP(F4472,'Customer Info'!$A:$B,2,0)</f>
        <v>Eugene</v>
      </c>
      <c r="H4472" s="6" t="str">
        <f>VLOOKUP(F4472,'Customer Info'!$A$1:$C$501,3,0)</f>
        <v>Hildebrand</v>
      </c>
      <c r="I4472" s="6" t="str">
        <f>VLOOKUP(F4472,Customer,5,0)</f>
        <v>Coffs Harbour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10135</v>
      </c>
      <c r="O4472" s="2">
        <v>55</v>
      </c>
      <c r="P4472" s="8">
        <f t="shared" si="347"/>
        <v>10190</v>
      </c>
      <c r="Q4472" s="8">
        <f t="shared" si="348"/>
        <v>570</v>
      </c>
      <c r="R4472" s="2" t="s">
        <v>28</v>
      </c>
      <c r="S4472" s="24">
        <f t="shared" si="349"/>
        <v>0.05</v>
      </c>
    </row>
    <row r="4473" spans="1:19" x14ac:dyDescent="0.25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>VLOOKUP(F4473,'Customer Info'!$A:$B,2,0)</f>
        <v>Brooke</v>
      </c>
      <c r="H4473" s="6" t="str">
        <f>VLOOKUP(F4473,'Customer Info'!$A$1:$C$501,3,0)</f>
        <v>Gillingham</v>
      </c>
      <c r="I4473" s="6" t="str">
        <f>VLOOKUP(F4473,Customer,5,0)</f>
        <v>Mysore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1062</v>
      </c>
      <c r="O4473" s="2">
        <v>35</v>
      </c>
      <c r="P4473" s="8">
        <f t="shared" si="347"/>
        <v>1097</v>
      </c>
      <c r="Q4473" s="8">
        <f t="shared" si="348"/>
        <v>88</v>
      </c>
      <c r="R4473" s="2" t="s">
        <v>28</v>
      </c>
      <c r="S4473" s="24">
        <f t="shared" si="349"/>
        <v>0.02</v>
      </c>
    </row>
    <row r="4474" spans="1:19" x14ac:dyDescent="0.25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>VLOOKUP(F4474,'Customer Info'!$A:$B,2,0)</f>
        <v>Barry</v>
      </c>
      <c r="H4474" s="6" t="str">
        <f>VLOOKUP(F4474,'Customer Info'!$A$1:$C$501,3,0)</f>
        <v>Blumstein</v>
      </c>
      <c r="I4474" s="6" t="str">
        <f>VLOOKUP(F4474,Customer,5,0)</f>
        <v>Gold Coast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2280</v>
      </c>
      <c r="O4474" s="2">
        <v>53</v>
      </c>
      <c r="P4474" s="8">
        <f t="shared" si="347"/>
        <v>2333</v>
      </c>
      <c r="Q4474" s="8">
        <f t="shared" si="348"/>
        <v>208</v>
      </c>
      <c r="R4474" s="2" t="s">
        <v>28</v>
      </c>
      <c r="S4474" s="24">
        <f t="shared" si="349"/>
        <v>0.02</v>
      </c>
    </row>
    <row r="4475" spans="1:19" x14ac:dyDescent="0.25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>VLOOKUP(F4475,'Customer Info'!$A:$B,2,0)</f>
        <v>Nick</v>
      </c>
      <c r="H4475" s="6" t="str">
        <f>VLOOKUP(F4475,'Customer Info'!$A$1:$C$501,3,0)</f>
        <v>Radford</v>
      </c>
      <c r="I4475" s="6" t="str">
        <f>VLOOKUP(F4475,Customer,5,0)</f>
        <v>Lucknow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3036</v>
      </c>
      <c r="O4475" s="2">
        <v>23</v>
      </c>
      <c r="P4475" s="8">
        <f t="shared" si="347"/>
        <v>3059</v>
      </c>
      <c r="Q4475" s="8">
        <f t="shared" si="348"/>
        <v>252</v>
      </c>
      <c r="R4475" s="2" t="s">
        <v>28</v>
      </c>
      <c r="S4475" s="24">
        <f t="shared" si="349"/>
        <v>0.02</v>
      </c>
    </row>
    <row r="4476" spans="1:19" x14ac:dyDescent="0.25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>VLOOKUP(F4476,'Customer Info'!$A:$B,2,0)</f>
        <v>Patrick</v>
      </c>
      <c r="H4476" s="6" t="str">
        <f>VLOOKUP(F4476,'Customer Info'!$A$1:$C$501,3,0)</f>
        <v>O'Donnell</v>
      </c>
      <c r="I4476" s="6" t="str">
        <f>VLOOKUP(F4476,Customer,5,0)</f>
        <v>Sydney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483</v>
      </c>
      <c r="O4476" s="2">
        <v>10</v>
      </c>
      <c r="P4476" s="8">
        <f t="shared" si="347"/>
        <v>493</v>
      </c>
      <c r="Q4476" s="8">
        <f t="shared" si="348"/>
        <v>35</v>
      </c>
      <c r="R4476" s="2" t="s">
        <v>28</v>
      </c>
      <c r="S4476" s="24">
        <f t="shared" si="349"/>
        <v>0.02</v>
      </c>
    </row>
    <row r="4477" spans="1:19" x14ac:dyDescent="0.25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>VLOOKUP(F4477,'Customer Info'!$A:$B,2,0)</f>
        <v>David</v>
      </c>
      <c r="H4477" s="6" t="str">
        <f>VLOOKUP(F4477,'Customer Info'!$A$1:$C$501,3,0)</f>
        <v>Smith</v>
      </c>
      <c r="I4477" s="6" t="str">
        <f>VLOOKUP(F4477,Customer,5,0)</f>
        <v>Surat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162</v>
      </c>
      <c r="O4477" s="2">
        <v>30</v>
      </c>
      <c r="P4477" s="8">
        <f t="shared" si="347"/>
        <v>192</v>
      </c>
      <c r="Q4477" s="8">
        <f t="shared" si="348"/>
        <v>14</v>
      </c>
      <c r="R4477" s="2" t="s">
        <v>28</v>
      </c>
      <c r="S4477" s="24">
        <f t="shared" si="349"/>
        <v>0.02</v>
      </c>
    </row>
    <row r="4478" spans="1:19" x14ac:dyDescent="0.25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>VLOOKUP(F4478,'Customer Info'!$A:$B,2,0)</f>
        <v>Brendan</v>
      </c>
      <c r="H4478" s="6" t="str">
        <f>VLOOKUP(F4478,'Customer Info'!$A$1:$C$501,3,0)</f>
        <v>Dodson</v>
      </c>
      <c r="I4478" s="6" t="str">
        <f>VLOOKUP(F4478,Customer,5,0)</f>
        <v>Adelaide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35088</v>
      </c>
      <c r="O4478" s="2">
        <v>36</v>
      </c>
      <c r="P4478" s="8">
        <f t="shared" si="347"/>
        <v>35124</v>
      </c>
      <c r="Q4478" s="8">
        <f t="shared" si="348"/>
        <v>3804</v>
      </c>
      <c r="R4478" s="2" t="s">
        <v>28</v>
      </c>
      <c r="S4478" s="24">
        <f t="shared" si="349"/>
        <v>7.0000000000000007E-2</v>
      </c>
    </row>
    <row r="4479" spans="1:19" x14ac:dyDescent="0.25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>VLOOKUP(F4479,'Customer Info'!$A:$B,2,0)</f>
        <v>Annie</v>
      </c>
      <c r="H4479" s="6" t="str">
        <f>VLOOKUP(F4479,'Customer Info'!$A$1:$C$501,3,0)</f>
        <v>Zypern</v>
      </c>
      <c r="I4479" s="6" t="str">
        <f>VLOOKUP(F4479,Customer,5,0)</f>
        <v>Brisbane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18822</v>
      </c>
      <c r="O4479" s="2">
        <v>48</v>
      </c>
      <c r="P4479" s="8">
        <f t="shared" si="347"/>
        <v>18870</v>
      </c>
      <c r="Q4479" s="8">
        <f t="shared" si="348"/>
        <v>543</v>
      </c>
      <c r="R4479" s="2" t="s">
        <v>28</v>
      </c>
      <c r="S4479" s="24">
        <f t="shared" si="349"/>
        <v>0.05</v>
      </c>
    </row>
    <row r="4480" spans="1:19" x14ac:dyDescent="0.25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>VLOOKUP(F4480,'Customer Info'!$A:$B,2,0)</f>
        <v>Maribeth</v>
      </c>
      <c r="H4480" s="6" t="str">
        <f>VLOOKUP(F4480,'Customer Info'!$A$1:$C$501,3,0)</f>
        <v>Dona</v>
      </c>
      <c r="I4480" s="6" t="str">
        <f>VLOOKUP(F4480,Customer,5,0)</f>
        <v>Adelaide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4911</v>
      </c>
      <c r="O4480" s="2">
        <v>76</v>
      </c>
      <c r="P4480" s="8">
        <f t="shared" si="347"/>
        <v>4987</v>
      </c>
      <c r="Q4480" s="8">
        <f t="shared" si="348"/>
        <v>315</v>
      </c>
      <c r="R4480" s="2" t="s">
        <v>50</v>
      </c>
      <c r="S4480" s="24">
        <f t="shared" si="349"/>
        <v>0.02</v>
      </c>
    </row>
    <row r="4481" spans="1:19" x14ac:dyDescent="0.25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>VLOOKUP(F4481,'Customer Info'!$A:$B,2,0)</f>
        <v>Denise</v>
      </c>
      <c r="H4481" s="6" t="str">
        <f>VLOOKUP(F4481,'Customer Info'!$A$1:$C$501,3,0)</f>
        <v>Leinenbach</v>
      </c>
      <c r="I4481" s="6" t="str">
        <f>VLOOKUP(F4481,Customer,5,0)</f>
        <v>Bhiwandi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6576</v>
      </c>
      <c r="O4481" s="2">
        <v>47</v>
      </c>
      <c r="P4481" s="8">
        <f t="shared" si="347"/>
        <v>6623</v>
      </c>
      <c r="Q4481" s="8">
        <f t="shared" si="348"/>
        <v>494</v>
      </c>
      <c r="R4481" s="2" t="s">
        <v>28</v>
      </c>
      <c r="S4481" s="24">
        <f t="shared" si="349"/>
        <v>0.05</v>
      </c>
    </row>
    <row r="4482" spans="1:19" x14ac:dyDescent="0.25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>VLOOKUP(F4482,'Customer Info'!$A:$B,2,0)</f>
        <v>Alex</v>
      </c>
      <c r="H4482" s="6" t="str">
        <f>VLOOKUP(F4482,'Customer Info'!$A$1:$C$501,3,0)</f>
        <v>Avila</v>
      </c>
      <c r="I4482" s="6" t="str">
        <f>VLOOKUP(F4482,Customer,5,0)</f>
        <v>Newcastle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14282</v>
      </c>
      <c r="O4482" s="2">
        <v>21</v>
      </c>
      <c r="P4482" s="8">
        <f t="shared" si="347"/>
        <v>14303</v>
      </c>
      <c r="Q4482" s="8">
        <f t="shared" si="348"/>
        <v>1200</v>
      </c>
      <c r="R4482" s="2" t="s">
        <v>50</v>
      </c>
      <c r="S4482" s="24">
        <f t="shared" si="349"/>
        <v>0.05</v>
      </c>
    </row>
    <row r="4483" spans="1:19" x14ac:dyDescent="0.25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>VLOOKUP(F4483,'Customer Info'!$A:$B,2,0)</f>
        <v>Pauline</v>
      </c>
      <c r="H4483" s="6" t="str">
        <f>VLOOKUP(F4483,'Customer Info'!$A$1:$C$501,3,0)</f>
        <v>Chand</v>
      </c>
      <c r="I4483" s="6" t="str">
        <f>VLOOKUP(F4483,Customer,5,0)</f>
        <v>Perth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7620</v>
      </c>
      <c r="O4483" s="2">
        <v>57</v>
      </c>
      <c r="P4483" s="8">
        <f t="shared" si="347"/>
        <v>7677</v>
      </c>
      <c r="Q4483" s="8">
        <f t="shared" si="348"/>
        <v>429</v>
      </c>
      <c r="R4483" s="2" t="s">
        <v>26</v>
      </c>
      <c r="S4483" s="24">
        <f t="shared" si="349"/>
        <v>0.05</v>
      </c>
    </row>
    <row r="4484" spans="1:19" x14ac:dyDescent="0.25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>VLOOKUP(F4484,'Customer Info'!$A:$B,2,0)</f>
        <v>Damala</v>
      </c>
      <c r="H4484" s="6" t="str">
        <f>VLOOKUP(F4484,'Customer Info'!$A$1:$C$501,3,0)</f>
        <v>Kotsonis</v>
      </c>
      <c r="I4484" s="6" t="str">
        <f>VLOOKUP(F4484,Customer,5,0)</f>
        <v>Berlin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2504</v>
      </c>
      <c r="O4484" s="2">
        <v>89</v>
      </c>
      <c r="P4484" s="8">
        <f t="shared" si="347"/>
        <v>2593</v>
      </c>
      <c r="Q4484" s="8">
        <f t="shared" si="348"/>
        <v>268</v>
      </c>
      <c r="R4484" s="2" t="s">
        <v>50</v>
      </c>
      <c r="S4484" s="24">
        <f t="shared" si="349"/>
        <v>0.02</v>
      </c>
    </row>
    <row r="4485" spans="1:19" x14ac:dyDescent="0.25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>VLOOKUP(F4485,'Customer Info'!$A:$B,2,0)</f>
        <v>Magdelene</v>
      </c>
      <c r="H4485" s="6" t="str">
        <f>VLOOKUP(F4485,'Customer Info'!$A$1:$C$501,3,0)</f>
        <v>Morse</v>
      </c>
      <c r="I4485" s="6" t="str">
        <f>VLOOKUP(F4485,Customer,5,0)</f>
        <v>Berlin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11571</v>
      </c>
      <c r="O4485" s="2">
        <v>35</v>
      </c>
      <c r="P4485" s="8">
        <f t="shared" si="347"/>
        <v>11606</v>
      </c>
      <c r="Q4485" s="8">
        <f t="shared" si="348"/>
        <v>651</v>
      </c>
      <c r="R4485" s="2" t="s">
        <v>28</v>
      </c>
      <c r="S4485" s="24">
        <f t="shared" si="349"/>
        <v>0.05</v>
      </c>
    </row>
    <row r="4486" spans="1:19" x14ac:dyDescent="0.25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>VLOOKUP(F4486,'Customer Info'!$A:$B,2,0)</f>
        <v>Michael</v>
      </c>
      <c r="H4486" s="6" t="str">
        <f>VLOOKUP(F4486,'Customer Info'!$A$1:$C$501,3,0)</f>
        <v>Moore</v>
      </c>
      <c r="I4486" s="6" t="str">
        <f>VLOOKUP(F4486,Customer,5,0)</f>
        <v>Melbourne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1332</v>
      </c>
      <c r="O4486" s="2">
        <v>22</v>
      </c>
      <c r="P4486" s="8">
        <f t="shared" si="347"/>
        <v>1354</v>
      </c>
      <c r="Q4486" s="8">
        <f t="shared" si="348"/>
        <v>50</v>
      </c>
      <c r="R4486" s="2" t="s">
        <v>28</v>
      </c>
      <c r="S4486" s="24">
        <f t="shared" si="349"/>
        <v>0.02</v>
      </c>
    </row>
    <row r="4487" spans="1:19" x14ac:dyDescent="0.25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>VLOOKUP(F4487,'Customer Info'!$A:$B,2,0)</f>
        <v>Charles</v>
      </c>
      <c r="H4487" s="6" t="str">
        <f>VLOOKUP(F4487,'Customer Info'!$A$1:$C$501,3,0)</f>
        <v>Sheldon</v>
      </c>
      <c r="I4487" s="6" t="str">
        <f>VLOOKUP(F4487,Customer,5,0)</f>
        <v>Brisbane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675</v>
      </c>
      <c r="O4487" s="2">
        <v>30</v>
      </c>
      <c r="P4487" s="8">
        <f t="shared" si="347"/>
        <v>705</v>
      </c>
      <c r="Q4487" s="8">
        <f t="shared" si="348"/>
        <v>45</v>
      </c>
      <c r="R4487" s="2" t="s">
        <v>50</v>
      </c>
      <c r="S4487" s="24">
        <f t="shared" si="349"/>
        <v>0.02</v>
      </c>
    </row>
    <row r="4488" spans="1:19" x14ac:dyDescent="0.25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>VLOOKUP(F4488,'Customer Info'!$A:$B,2,0)</f>
        <v>Philip</v>
      </c>
      <c r="H4488" s="6" t="str">
        <f>VLOOKUP(F4488,'Customer Info'!$A$1:$C$501,3,0)</f>
        <v>Brown</v>
      </c>
      <c r="I4488" s="6" t="str">
        <f>VLOOKUP(F4488,Customer,5,0)</f>
        <v>Binjai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19044</v>
      </c>
      <c r="O4488" s="2">
        <v>97</v>
      </c>
      <c r="P4488" s="8">
        <f t="shared" si="347"/>
        <v>19141</v>
      </c>
      <c r="Q4488" s="8">
        <f t="shared" si="348"/>
        <v>1572</v>
      </c>
      <c r="R4488" s="2" t="s">
        <v>50</v>
      </c>
      <c r="S4488" s="24">
        <f t="shared" si="349"/>
        <v>0.05</v>
      </c>
    </row>
    <row r="4489" spans="1:19" x14ac:dyDescent="0.25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>VLOOKUP(F4489,'Customer Info'!$A:$B,2,0)</f>
        <v>Karen</v>
      </c>
      <c r="H4489" s="6" t="str">
        <f>VLOOKUP(F4489,'Customer Info'!$A$1:$C$501,3,0)</f>
        <v>Daniels</v>
      </c>
      <c r="I4489" s="6" t="str">
        <f>VLOOKUP(F4489,Customer,5,0)</f>
        <v>Jiutai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33585</v>
      </c>
      <c r="O4489" s="2">
        <v>62</v>
      </c>
      <c r="P4489" s="8">
        <f t="shared" si="347"/>
        <v>33647</v>
      </c>
      <c r="Q4489" s="8">
        <f t="shared" si="348"/>
        <v>2145</v>
      </c>
      <c r="R4489" s="2" t="s">
        <v>28</v>
      </c>
      <c r="S4489" s="24">
        <f t="shared" si="349"/>
        <v>7.0000000000000007E-2</v>
      </c>
    </row>
    <row r="4490" spans="1:19" x14ac:dyDescent="0.25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>VLOOKUP(F4490,'Customer Info'!$A:$B,2,0)</f>
        <v>Sheri</v>
      </c>
      <c r="H4490" s="6" t="str">
        <f>VLOOKUP(F4490,'Customer Info'!$A$1:$C$501,3,0)</f>
        <v>Gordon</v>
      </c>
      <c r="I4490" s="6" t="str">
        <f>VLOOKUP(F4490,Customer,5,0)</f>
        <v>Bogor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320</v>
      </c>
      <c r="O4490" s="2">
        <v>10</v>
      </c>
      <c r="P4490" s="8">
        <f t="shared" si="347"/>
        <v>330</v>
      </c>
      <c r="Q4490" s="8">
        <f t="shared" si="348"/>
        <v>20</v>
      </c>
      <c r="R4490" s="2" t="s">
        <v>50</v>
      </c>
      <c r="S4490" s="24">
        <f t="shared" si="349"/>
        <v>0.02</v>
      </c>
    </row>
    <row r="4491" spans="1:19" x14ac:dyDescent="0.25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>VLOOKUP(F4491,'Customer Info'!$A:$B,2,0)</f>
        <v>Thomas</v>
      </c>
      <c r="H4491" s="6" t="str">
        <f>VLOOKUP(F4491,'Customer Info'!$A$1:$C$501,3,0)</f>
        <v>Boland</v>
      </c>
      <c r="I4491" s="6" t="str">
        <f>VLOOKUP(F4491,Customer,5,0)</f>
        <v>Surabaya</v>
      </c>
      <c r="J4491" s="2">
        <v>1039</v>
      </c>
      <c r="K4491" s="2">
        <v>954</v>
      </c>
      <c r="L4491" s="2">
        <v>5</v>
      </c>
      <c r="M4491" s="7">
        <f t="shared" ref="M4491:M4554" si="350">K4491*L4491</f>
        <v>4770</v>
      </c>
      <c r="N4491" s="7">
        <f t="shared" ref="N4491:N4554" si="351">J4491*L4491</f>
        <v>5195</v>
      </c>
      <c r="O4491" s="2">
        <v>90</v>
      </c>
      <c r="P4491" s="8">
        <f t="shared" ref="P4491:P4554" si="352">N4491+O4491</f>
        <v>5285</v>
      </c>
      <c r="Q4491" s="8">
        <f t="shared" ref="Q4491:Q4554" si="353">N4491-M4491</f>
        <v>425</v>
      </c>
      <c r="R4491" s="2" t="s">
        <v>28</v>
      </c>
      <c r="S4491" s="24">
        <f t="shared" ref="S4491:S4554" si="354">VLOOKUP(N4491,$T$1:$U$7,2,TRUE)</f>
        <v>0.05</v>
      </c>
    </row>
    <row r="4492" spans="1:19" x14ac:dyDescent="0.25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>VLOOKUP(F4492,'Customer Info'!$A:$B,2,0)</f>
        <v>Michael</v>
      </c>
      <c r="H4492" s="6" t="str">
        <f>VLOOKUP(F4492,'Customer Info'!$A$1:$C$501,3,0)</f>
        <v>Moore</v>
      </c>
      <c r="I4492" s="6" t="str">
        <f>VLOOKUP(F4492,Customer,5,0)</f>
        <v>Melbourne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8">
        <f t="shared" si="352"/>
        <v>148</v>
      </c>
      <c r="Q4492" s="8">
        <f t="shared" si="353"/>
        <v>12</v>
      </c>
      <c r="R4492" s="2" t="s">
        <v>26</v>
      </c>
      <c r="S4492" s="24">
        <f t="shared" si="354"/>
        <v>0.02</v>
      </c>
    </row>
    <row r="4493" spans="1:19" x14ac:dyDescent="0.25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>VLOOKUP(F4493,'Customer Info'!$A:$B,2,0)</f>
        <v>Heather</v>
      </c>
      <c r="H4493" s="6" t="str">
        <f>VLOOKUP(F4493,'Customer Info'!$A$1:$C$501,3,0)</f>
        <v>Kirkland</v>
      </c>
      <c r="I4493" s="6" t="str">
        <f>VLOOKUP(F4493,Customer,5,0)</f>
        <v>Luoyang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8">
        <f t="shared" si="352"/>
        <v>13948</v>
      </c>
      <c r="Q4493" s="8">
        <f t="shared" si="353"/>
        <v>662</v>
      </c>
      <c r="R4493" s="2" t="s">
        <v>28</v>
      </c>
      <c r="S4493" s="24">
        <f t="shared" si="354"/>
        <v>0.05</v>
      </c>
    </row>
    <row r="4494" spans="1:19" x14ac:dyDescent="0.25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>VLOOKUP(F4494,'Customer Info'!$A:$B,2,0)</f>
        <v>Shahid</v>
      </c>
      <c r="H4494" s="6" t="str">
        <f>VLOOKUP(F4494,'Customer Info'!$A$1:$C$501,3,0)</f>
        <v>Collister</v>
      </c>
      <c r="I4494" s="6" t="str">
        <f>VLOOKUP(F4494,Customer,5,0)</f>
        <v>Leipzig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8">
        <f t="shared" si="352"/>
        <v>1158</v>
      </c>
      <c r="Q4494" s="8">
        <f t="shared" si="353"/>
        <v>90</v>
      </c>
      <c r="R4494" s="2" t="s">
        <v>28</v>
      </c>
      <c r="S4494" s="24">
        <f t="shared" si="354"/>
        <v>0.02</v>
      </c>
    </row>
    <row r="4495" spans="1:19" x14ac:dyDescent="0.25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>VLOOKUP(F4495,'Customer Info'!$A:$B,2,0)</f>
        <v>Ralph</v>
      </c>
      <c r="H4495" s="6" t="str">
        <f>VLOOKUP(F4495,'Customer Info'!$A$1:$C$501,3,0)</f>
        <v>Arnett</v>
      </c>
      <c r="I4495" s="6" t="str">
        <f>VLOOKUP(F4495,Customer,5,0)</f>
        <v>Suzhou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8">
        <f t="shared" si="352"/>
        <v>106148</v>
      </c>
      <c r="Q4495" s="8">
        <f t="shared" si="353"/>
        <v>6939</v>
      </c>
      <c r="R4495" s="2" t="s">
        <v>28</v>
      </c>
      <c r="S4495" s="24">
        <f t="shared" si="354"/>
        <v>0.12</v>
      </c>
    </row>
    <row r="4496" spans="1:19" x14ac:dyDescent="0.25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>VLOOKUP(F4496,'Customer Info'!$A:$B,2,0)</f>
        <v>Julia</v>
      </c>
      <c r="H4496" s="6" t="str">
        <f>VLOOKUP(F4496,'Customer Info'!$A$1:$C$501,3,0)</f>
        <v>Barnett</v>
      </c>
      <c r="I4496" s="6" t="str">
        <f>VLOOKUP(F4496,Customer,5,0)</f>
        <v>Zhuhai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4884</v>
      </c>
      <c r="O4496" s="2">
        <v>48</v>
      </c>
      <c r="P4496" s="8">
        <f t="shared" si="352"/>
        <v>4932</v>
      </c>
      <c r="Q4496" s="8">
        <f t="shared" si="353"/>
        <v>276</v>
      </c>
      <c r="R4496" s="2" t="s">
        <v>50</v>
      </c>
      <c r="S4496" s="24">
        <f t="shared" si="354"/>
        <v>0.02</v>
      </c>
    </row>
    <row r="4497" spans="1:19" x14ac:dyDescent="0.25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>VLOOKUP(F4497,'Customer Info'!$A:$B,2,0)</f>
        <v>Brad</v>
      </c>
      <c r="H4497" s="6" t="str">
        <f>VLOOKUP(F4497,'Customer Info'!$A$1:$C$501,3,0)</f>
        <v>Thomas</v>
      </c>
      <c r="I4497" s="6" t="str">
        <f>VLOOKUP(F4497,Customer,5,0)</f>
        <v>Udaipur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38328</v>
      </c>
      <c r="O4497" s="2">
        <v>86</v>
      </c>
      <c r="P4497" s="8">
        <f t="shared" si="352"/>
        <v>38414</v>
      </c>
      <c r="Q4497" s="8">
        <f t="shared" si="353"/>
        <v>3164</v>
      </c>
      <c r="R4497" s="2" t="s">
        <v>28</v>
      </c>
      <c r="S4497" s="24">
        <f t="shared" si="354"/>
        <v>7.0000000000000007E-2</v>
      </c>
    </row>
    <row r="4498" spans="1:19" x14ac:dyDescent="0.25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>VLOOKUP(F4498,'Customer Info'!$A:$B,2,0)</f>
        <v>Sam</v>
      </c>
      <c r="H4498" s="6" t="str">
        <f>VLOOKUP(F4498,'Customer Info'!$A$1:$C$501,3,0)</f>
        <v>Zeldin</v>
      </c>
      <c r="I4498" s="6" t="str">
        <f>VLOOKUP(F4498,Customer,5,0)</f>
        <v>Yanji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284</v>
      </c>
      <c r="O4498" s="2">
        <v>30</v>
      </c>
      <c r="P4498" s="8">
        <f t="shared" si="352"/>
        <v>314</v>
      </c>
      <c r="Q4498" s="8">
        <f t="shared" si="353"/>
        <v>16</v>
      </c>
      <c r="R4498" s="2" t="s">
        <v>28</v>
      </c>
      <c r="S4498" s="24">
        <f t="shared" si="354"/>
        <v>0.02</v>
      </c>
    </row>
    <row r="4499" spans="1:19" x14ac:dyDescent="0.25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>VLOOKUP(F4499,'Customer Info'!$A:$B,2,0)</f>
        <v>Rachel</v>
      </c>
      <c r="H4499" s="6" t="str">
        <f>VLOOKUP(F4499,'Customer Info'!$A$1:$C$501,3,0)</f>
        <v>Payne</v>
      </c>
      <c r="I4499" s="6" t="str">
        <f>VLOOKUP(F4499,Customer,5,0)</f>
        <v>Fuzhou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948</v>
      </c>
      <c r="O4499" s="2">
        <v>21</v>
      </c>
      <c r="P4499" s="8">
        <f t="shared" si="352"/>
        <v>969</v>
      </c>
      <c r="Q4499" s="8">
        <f t="shared" si="353"/>
        <v>62</v>
      </c>
      <c r="R4499" s="2" t="s">
        <v>28</v>
      </c>
      <c r="S4499" s="24">
        <f t="shared" si="354"/>
        <v>0.02</v>
      </c>
    </row>
    <row r="4500" spans="1:19" x14ac:dyDescent="0.25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>VLOOKUP(F4500,'Customer Info'!$A:$B,2,0)</f>
        <v>Sarah</v>
      </c>
      <c r="H4500" s="6" t="str">
        <f>VLOOKUP(F4500,'Customer Info'!$A$1:$C$501,3,0)</f>
        <v>Foster</v>
      </c>
      <c r="I4500" s="6" t="str">
        <f>VLOOKUP(F4500,Customer,5,0)</f>
        <v>Harbin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176268</v>
      </c>
      <c r="O4500" s="2">
        <v>33</v>
      </c>
      <c r="P4500" s="8">
        <f t="shared" si="352"/>
        <v>176301</v>
      </c>
      <c r="Q4500" s="8">
        <f t="shared" si="353"/>
        <v>14796</v>
      </c>
      <c r="R4500" s="2" t="s">
        <v>50</v>
      </c>
      <c r="S4500" s="24">
        <f t="shared" si="354"/>
        <v>0.12</v>
      </c>
    </row>
    <row r="4501" spans="1:19" x14ac:dyDescent="0.25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>VLOOKUP(F4501,'Customer Info'!$A:$B,2,0)</f>
        <v>Michael</v>
      </c>
      <c r="H4501" s="6" t="str">
        <f>VLOOKUP(F4501,'Customer Info'!$A$1:$C$501,3,0)</f>
        <v>Granlund</v>
      </c>
      <c r="I4501" s="6" t="str">
        <f>VLOOKUP(F4501,Customer,5,0)</f>
        <v>Sydney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42475</v>
      </c>
      <c r="O4501" s="2">
        <v>69</v>
      </c>
      <c r="P4501" s="8">
        <f t="shared" si="352"/>
        <v>42544</v>
      </c>
      <c r="Q4501" s="8">
        <f t="shared" si="353"/>
        <v>4240</v>
      </c>
      <c r="R4501" s="2" t="s">
        <v>50</v>
      </c>
      <c r="S4501" s="24">
        <f t="shared" si="354"/>
        <v>7.0000000000000007E-2</v>
      </c>
    </row>
    <row r="4502" spans="1:19" x14ac:dyDescent="0.25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>VLOOKUP(F4502,'Customer Info'!$A:$B,2,0)</f>
        <v>Hunter</v>
      </c>
      <c r="H4502" s="6" t="str">
        <f>VLOOKUP(F4502,'Customer Info'!$A$1:$C$501,3,0)</f>
        <v>Lopez</v>
      </c>
      <c r="I4502" s="6" t="str">
        <f>VLOOKUP(F4502,Customer,5,0)</f>
        <v>Pekanbaru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2646</v>
      </c>
      <c r="O4502" s="2">
        <v>58</v>
      </c>
      <c r="P4502" s="8">
        <f t="shared" si="352"/>
        <v>2704</v>
      </c>
      <c r="Q4502" s="8">
        <f t="shared" si="353"/>
        <v>192</v>
      </c>
      <c r="R4502" s="2" t="s">
        <v>56</v>
      </c>
      <c r="S4502" s="24">
        <f t="shared" si="354"/>
        <v>0.02</v>
      </c>
    </row>
    <row r="4503" spans="1:19" x14ac:dyDescent="0.25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>VLOOKUP(F4503,'Customer Info'!$A:$B,2,0)</f>
        <v>Tamara</v>
      </c>
      <c r="H4503" s="6" t="str">
        <f>VLOOKUP(F4503,'Customer Info'!$A$1:$C$501,3,0)</f>
        <v>Willingham</v>
      </c>
      <c r="I4503" s="6" t="str">
        <f>VLOOKUP(F4503,Customer,5,0)</f>
        <v>Perth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6496</v>
      </c>
      <c r="O4503" s="2">
        <v>100</v>
      </c>
      <c r="P4503" s="8">
        <f t="shared" si="352"/>
        <v>6596</v>
      </c>
      <c r="Q4503" s="8">
        <f t="shared" si="353"/>
        <v>426</v>
      </c>
      <c r="R4503" s="2" t="s">
        <v>50</v>
      </c>
      <c r="S4503" s="24">
        <f t="shared" si="354"/>
        <v>0.05</v>
      </c>
    </row>
    <row r="4504" spans="1:19" x14ac:dyDescent="0.25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>VLOOKUP(F4504,'Customer Info'!$A:$B,2,0)</f>
        <v>Maureen</v>
      </c>
      <c r="H4504" s="6" t="str">
        <f>VLOOKUP(F4504,'Customer Info'!$A$1:$C$501,3,0)</f>
        <v>Gastineau</v>
      </c>
      <c r="I4504" s="6" t="str">
        <f>VLOOKUP(F4504,Customer,5,0)</f>
        <v>Melton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53469</v>
      </c>
      <c r="O4504" s="2">
        <v>62</v>
      </c>
      <c r="P4504" s="8">
        <f t="shared" si="352"/>
        <v>53531</v>
      </c>
      <c r="Q4504" s="8">
        <f t="shared" si="353"/>
        <v>1026</v>
      </c>
      <c r="R4504" s="2" t="s">
        <v>50</v>
      </c>
      <c r="S4504" s="24">
        <f t="shared" si="354"/>
        <v>0.09</v>
      </c>
    </row>
    <row r="4505" spans="1:19" x14ac:dyDescent="0.25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>VLOOKUP(F4505,'Customer Info'!$A:$B,2,0)</f>
        <v>Craig</v>
      </c>
      <c r="H4505" s="6" t="str">
        <f>VLOOKUP(F4505,'Customer Info'!$A$1:$C$501,3,0)</f>
        <v>Yedwab</v>
      </c>
      <c r="I4505" s="6" t="str">
        <f>VLOOKUP(F4505,Customer,5,0)</f>
        <v>Aligarh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8184</v>
      </c>
      <c r="O4505" s="2">
        <v>66</v>
      </c>
      <c r="P4505" s="8">
        <f t="shared" si="352"/>
        <v>8250</v>
      </c>
      <c r="Q4505" s="8">
        <f t="shared" si="353"/>
        <v>540</v>
      </c>
      <c r="R4505" s="2" t="s">
        <v>28</v>
      </c>
      <c r="S4505" s="24">
        <f t="shared" si="354"/>
        <v>0.05</v>
      </c>
    </row>
    <row r="4506" spans="1:19" x14ac:dyDescent="0.25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>VLOOKUP(F4506,'Customer Info'!$A:$B,2,0)</f>
        <v>Sarah</v>
      </c>
      <c r="H4506" s="6" t="str">
        <f>VLOOKUP(F4506,'Customer Info'!$A$1:$C$501,3,0)</f>
        <v>Foster</v>
      </c>
      <c r="I4506" s="6" t="str">
        <f>VLOOKUP(F4506,Customer,5,0)</f>
        <v>Harbin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3526</v>
      </c>
      <c r="O4506" s="2">
        <v>91</v>
      </c>
      <c r="P4506" s="8">
        <f t="shared" si="352"/>
        <v>3617</v>
      </c>
      <c r="Q4506" s="8">
        <f t="shared" si="353"/>
        <v>322</v>
      </c>
      <c r="R4506" s="2" t="s">
        <v>50</v>
      </c>
      <c r="S4506" s="24">
        <f t="shared" si="354"/>
        <v>0.02</v>
      </c>
    </row>
    <row r="4507" spans="1:19" x14ac:dyDescent="0.25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>VLOOKUP(F4507,'Customer Info'!$A:$B,2,0)</f>
        <v>Ralph</v>
      </c>
      <c r="H4507" s="6" t="str">
        <f>VLOOKUP(F4507,'Customer Info'!$A$1:$C$501,3,0)</f>
        <v>Arnett</v>
      </c>
      <c r="I4507" s="6" t="str">
        <f>VLOOKUP(F4507,Customer,5,0)</f>
        <v>Wolfsburg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5204</v>
      </c>
      <c r="O4507" s="2">
        <v>97</v>
      </c>
      <c r="P4507" s="8">
        <f t="shared" si="352"/>
        <v>5301</v>
      </c>
      <c r="Q4507" s="8">
        <f t="shared" si="353"/>
        <v>478</v>
      </c>
      <c r="R4507" s="2" t="s">
        <v>28</v>
      </c>
      <c r="S4507" s="24">
        <f t="shared" si="354"/>
        <v>0.05</v>
      </c>
    </row>
    <row r="4508" spans="1:19" x14ac:dyDescent="0.25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>VLOOKUP(F4508,'Customer Info'!$A:$B,2,0)</f>
        <v>Sam</v>
      </c>
      <c r="H4508" s="6" t="str">
        <f>VLOOKUP(F4508,'Customer Info'!$A$1:$C$501,3,0)</f>
        <v>Craven</v>
      </c>
      <c r="I4508" s="6" t="str">
        <f>VLOOKUP(F4508,Customer,5,0)</f>
        <v>Hyderabad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525</v>
      </c>
      <c r="O4508" s="2">
        <v>30</v>
      </c>
      <c r="P4508" s="8">
        <f t="shared" si="352"/>
        <v>555</v>
      </c>
      <c r="Q4508" s="8">
        <f t="shared" si="353"/>
        <v>39</v>
      </c>
      <c r="R4508" s="2" t="s">
        <v>28</v>
      </c>
      <c r="S4508" s="24">
        <f t="shared" si="354"/>
        <v>0.02</v>
      </c>
    </row>
    <row r="4509" spans="1:19" x14ac:dyDescent="0.25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>VLOOKUP(F4509,'Customer Info'!$A:$B,2,0)</f>
        <v>Michelle</v>
      </c>
      <c r="H4509" s="6" t="str">
        <f>VLOOKUP(F4509,'Customer Info'!$A$1:$C$501,3,0)</f>
        <v>Arnett</v>
      </c>
      <c r="I4509" s="6" t="str">
        <f>VLOOKUP(F4509,Customer,5,0)</f>
        <v>Palembang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366</v>
      </c>
      <c r="O4509" s="2">
        <v>30</v>
      </c>
      <c r="P4509" s="8">
        <f t="shared" si="352"/>
        <v>396</v>
      </c>
      <c r="Q4509" s="8">
        <f t="shared" si="353"/>
        <v>30</v>
      </c>
      <c r="R4509" s="2" t="s">
        <v>28</v>
      </c>
      <c r="S4509" s="24">
        <f t="shared" si="354"/>
        <v>0.02</v>
      </c>
    </row>
    <row r="4510" spans="1:19" x14ac:dyDescent="0.25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>VLOOKUP(F4510,'Customer Info'!$A:$B,2,0)</f>
        <v>Julia</v>
      </c>
      <c r="H4510" s="6" t="str">
        <f>VLOOKUP(F4510,'Customer Info'!$A$1:$C$501,3,0)</f>
        <v>Dunbar</v>
      </c>
      <c r="I4510" s="6" t="str">
        <f>VLOOKUP(F4510,Customer,5,0)</f>
        <v>Cologne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6605</v>
      </c>
      <c r="O4510" s="2">
        <v>77</v>
      </c>
      <c r="P4510" s="8">
        <f t="shared" si="352"/>
        <v>6682</v>
      </c>
      <c r="Q4510" s="8">
        <f t="shared" si="353"/>
        <v>550</v>
      </c>
      <c r="R4510" s="2" t="s">
        <v>50</v>
      </c>
      <c r="S4510" s="24">
        <f t="shared" si="354"/>
        <v>0.05</v>
      </c>
    </row>
    <row r="4511" spans="1:19" x14ac:dyDescent="0.25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>VLOOKUP(F4511,'Customer Info'!$A:$B,2,0)</f>
        <v>Anthony</v>
      </c>
      <c r="H4511" s="6" t="str">
        <f>VLOOKUP(F4511,'Customer Info'!$A$1:$C$501,3,0)</f>
        <v>Garverick</v>
      </c>
      <c r="I4511" s="6" t="str">
        <f>VLOOKUP(F4511,Customer,5,0)</f>
        <v>Delhi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432</v>
      </c>
      <c r="O4511" s="2">
        <v>30</v>
      </c>
      <c r="P4511" s="8">
        <f t="shared" si="352"/>
        <v>462</v>
      </c>
      <c r="Q4511" s="8">
        <f t="shared" si="353"/>
        <v>33</v>
      </c>
      <c r="R4511" s="2" t="s">
        <v>28</v>
      </c>
      <c r="S4511" s="24">
        <f t="shared" si="354"/>
        <v>0.02</v>
      </c>
    </row>
    <row r="4512" spans="1:19" x14ac:dyDescent="0.25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>VLOOKUP(F4512,'Customer Info'!$A:$B,2,0)</f>
        <v>Dorothy</v>
      </c>
      <c r="H4512" s="6" t="str">
        <f>VLOOKUP(F4512,'Customer Info'!$A$1:$C$501,3,0)</f>
        <v>Badders</v>
      </c>
      <c r="I4512" s="6" t="str">
        <f>VLOOKUP(F4512,Customer,5,0)</f>
        <v>Nanning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7840</v>
      </c>
      <c r="O4512" s="2">
        <v>67</v>
      </c>
      <c r="P4512" s="8">
        <f t="shared" si="352"/>
        <v>7907</v>
      </c>
      <c r="Q4512" s="8">
        <f t="shared" si="353"/>
        <v>365</v>
      </c>
      <c r="R4512" s="2" t="s">
        <v>28</v>
      </c>
      <c r="S4512" s="24">
        <f t="shared" si="354"/>
        <v>0.05</v>
      </c>
    </row>
    <row r="4513" spans="1:19" x14ac:dyDescent="0.25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>VLOOKUP(F4513,'Customer Info'!$A:$B,2,0)</f>
        <v>Guy</v>
      </c>
      <c r="H4513" s="6" t="str">
        <f>VLOOKUP(F4513,'Customer Info'!$A$1:$C$501,3,0)</f>
        <v>Phonely</v>
      </c>
      <c r="I4513" s="6" t="str">
        <f>VLOOKUP(F4513,Customer,5,0)</f>
        <v>Jodhpur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41706</v>
      </c>
      <c r="O4513" s="2">
        <v>29</v>
      </c>
      <c r="P4513" s="8">
        <f t="shared" si="352"/>
        <v>41735</v>
      </c>
      <c r="Q4513" s="8">
        <f t="shared" si="353"/>
        <v>1986</v>
      </c>
      <c r="R4513" s="2" t="s">
        <v>28</v>
      </c>
      <c r="S4513" s="24">
        <f t="shared" si="354"/>
        <v>7.0000000000000007E-2</v>
      </c>
    </row>
    <row r="4514" spans="1:19" x14ac:dyDescent="0.25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>VLOOKUP(F4514,'Customer Info'!$A:$B,2,0)</f>
        <v>Pauline</v>
      </c>
      <c r="H4514" s="6" t="str">
        <f>VLOOKUP(F4514,'Customer Info'!$A$1:$C$501,3,0)</f>
        <v>Chand</v>
      </c>
      <c r="I4514" s="6" t="str">
        <f>VLOOKUP(F4514,Customer,5,0)</f>
        <v>Perth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11628</v>
      </c>
      <c r="O4514" s="2">
        <v>54</v>
      </c>
      <c r="P4514" s="8">
        <f t="shared" si="352"/>
        <v>11682</v>
      </c>
      <c r="Q4514" s="8">
        <f t="shared" si="353"/>
        <v>960</v>
      </c>
      <c r="R4514" s="2" t="s">
        <v>28</v>
      </c>
      <c r="S4514" s="24">
        <f t="shared" si="354"/>
        <v>0.05</v>
      </c>
    </row>
    <row r="4515" spans="1:19" x14ac:dyDescent="0.25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>VLOOKUP(F4515,'Customer Info'!$A:$B,2,0)</f>
        <v>Kelly</v>
      </c>
      <c r="H4515" s="6" t="str">
        <f>VLOOKUP(F4515,'Customer Info'!$A$1:$C$501,3,0)</f>
        <v>Collister</v>
      </c>
      <c r="I4515" s="6" t="str">
        <f>VLOOKUP(F4515,Customer,5,0)</f>
        <v>Sydney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15153</v>
      </c>
      <c r="O4515" s="2">
        <v>41</v>
      </c>
      <c r="P4515" s="8">
        <f t="shared" si="352"/>
        <v>15194</v>
      </c>
      <c r="Q4515" s="8">
        <f t="shared" si="353"/>
        <v>1251</v>
      </c>
      <c r="R4515" s="2" t="s">
        <v>50</v>
      </c>
      <c r="S4515" s="24">
        <f t="shared" si="354"/>
        <v>0.05</v>
      </c>
    </row>
    <row r="4516" spans="1:19" x14ac:dyDescent="0.25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>VLOOKUP(F4516,'Customer Info'!$A:$B,2,0)</f>
        <v>Parhena</v>
      </c>
      <c r="H4516" s="6" t="str">
        <f>VLOOKUP(F4516,'Customer Info'!$A$1:$C$501,3,0)</f>
        <v>Norris</v>
      </c>
      <c r="I4516" s="6" t="str">
        <f>VLOOKUP(F4516,Customer,5,0)</f>
        <v>Bandung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7760</v>
      </c>
      <c r="O4516" s="2">
        <v>34</v>
      </c>
      <c r="P4516" s="8">
        <f t="shared" si="352"/>
        <v>7794</v>
      </c>
      <c r="Q4516" s="8">
        <f t="shared" si="353"/>
        <v>430</v>
      </c>
      <c r="R4516" s="2" t="s">
        <v>50</v>
      </c>
      <c r="S4516" s="24">
        <f t="shared" si="354"/>
        <v>0.05</v>
      </c>
    </row>
    <row r="4517" spans="1:19" x14ac:dyDescent="0.25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>VLOOKUP(F4517,'Customer Info'!$A:$B,2,0)</f>
        <v>Andy</v>
      </c>
      <c r="H4517" s="6" t="str">
        <f>VLOOKUP(F4517,'Customer Info'!$A$1:$C$501,3,0)</f>
        <v>Yotov</v>
      </c>
      <c r="I4517" s="6" t="str">
        <f>VLOOKUP(F4517,Customer,5,0)</f>
        <v>Samarinda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5288</v>
      </c>
      <c r="O4517" s="2">
        <v>76</v>
      </c>
      <c r="P4517" s="8">
        <f t="shared" si="352"/>
        <v>5364</v>
      </c>
      <c r="Q4517" s="8">
        <f t="shared" si="353"/>
        <v>438</v>
      </c>
      <c r="R4517" s="2" t="s">
        <v>50</v>
      </c>
      <c r="S4517" s="24">
        <f t="shared" si="354"/>
        <v>0.05</v>
      </c>
    </row>
    <row r="4518" spans="1:19" x14ac:dyDescent="0.25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>VLOOKUP(F4518,'Customer Info'!$A:$B,2,0)</f>
        <v>Bill</v>
      </c>
      <c r="H4518" s="6" t="str">
        <f>VLOOKUP(F4518,'Customer Info'!$A$1:$C$501,3,0)</f>
        <v>Stewart</v>
      </c>
      <c r="I4518" s="6" t="str">
        <f>VLOOKUP(F4518,Customer,5,0)</f>
        <v>Wenling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378</v>
      </c>
      <c r="O4518" s="2">
        <v>10</v>
      </c>
      <c r="P4518" s="8">
        <f t="shared" si="352"/>
        <v>388</v>
      </c>
      <c r="Q4518" s="8">
        <f t="shared" si="353"/>
        <v>30</v>
      </c>
      <c r="R4518" s="2" t="s">
        <v>28</v>
      </c>
      <c r="S4518" s="24">
        <f t="shared" si="354"/>
        <v>0.02</v>
      </c>
    </row>
    <row r="4519" spans="1:19" x14ac:dyDescent="0.25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>VLOOKUP(F4519,'Customer Info'!$A:$B,2,0)</f>
        <v>Sarah</v>
      </c>
      <c r="H4519" s="6" t="str">
        <f>VLOOKUP(F4519,'Customer Info'!$A$1:$C$501,3,0)</f>
        <v>Foster</v>
      </c>
      <c r="I4519" s="6" t="str">
        <f>VLOOKUP(F4519,Customer,5,0)</f>
        <v>Harbin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7436</v>
      </c>
      <c r="O4519" s="2">
        <v>84</v>
      </c>
      <c r="P4519" s="8">
        <f t="shared" si="352"/>
        <v>7520</v>
      </c>
      <c r="Q4519" s="8">
        <f t="shared" si="353"/>
        <v>416</v>
      </c>
      <c r="R4519" s="2" t="s">
        <v>28</v>
      </c>
      <c r="S4519" s="24">
        <f t="shared" si="354"/>
        <v>0.05</v>
      </c>
    </row>
    <row r="4520" spans="1:19" x14ac:dyDescent="0.25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>VLOOKUP(F4520,'Customer Info'!$A:$B,2,0)</f>
        <v>Jessica</v>
      </c>
      <c r="H4520" s="6" t="str">
        <f>VLOOKUP(F4520,'Customer Info'!$A$1:$C$501,3,0)</f>
        <v>Myrick</v>
      </c>
      <c r="I4520" s="6" t="str">
        <f>VLOOKUP(F4520,Customer,5,0)</f>
        <v>Krefeld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9822</v>
      </c>
      <c r="O4520" s="2">
        <v>72</v>
      </c>
      <c r="P4520" s="8">
        <f t="shared" si="352"/>
        <v>9894</v>
      </c>
      <c r="Q4520" s="8">
        <f t="shared" si="353"/>
        <v>276</v>
      </c>
      <c r="R4520" s="2" t="s">
        <v>56</v>
      </c>
      <c r="S4520" s="24">
        <f t="shared" si="354"/>
        <v>0.05</v>
      </c>
    </row>
    <row r="4521" spans="1:19" x14ac:dyDescent="0.25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>VLOOKUP(F4521,'Customer Info'!$A:$B,2,0)</f>
        <v>Ken</v>
      </c>
      <c r="H4521" s="6" t="str">
        <f>VLOOKUP(F4521,'Customer Info'!$A$1:$C$501,3,0)</f>
        <v>Heidel</v>
      </c>
      <c r="I4521" s="6" t="str">
        <f>VLOOKUP(F4521,Customer,5,0)</f>
        <v>Tegal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22050</v>
      </c>
      <c r="O4521" s="2">
        <v>62</v>
      </c>
      <c r="P4521" s="8">
        <f t="shared" si="352"/>
        <v>22112</v>
      </c>
      <c r="Q4521" s="8">
        <f t="shared" si="353"/>
        <v>1821</v>
      </c>
      <c r="R4521" s="2" t="s">
        <v>50</v>
      </c>
      <c r="S4521" s="24">
        <f t="shared" si="354"/>
        <v>0.05</v>
      </c>
    </row>
    <row r="4522" spans="1:19" x14ac:dyDescent="0.25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>VLOOKUP(F4522,'Customer Info'!$A:$B,2,0)</f>
        <v>Christopher</v>
      </c>
      <c r="H4522" s="6" t="str">
        <f>VLOOKUP(F4522,'Customer Info'!$A$1:$C$501,3,0)</f>
        <v>Martinez</v>
      </c>
      <c r="I4522" s="6" t="str">
        <f>VLOOKUP(F4522,Customer,5,0)</f>
        <v>Qingdao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3408</v>
      </c>
      <c r="O4522" s="2">
        <v>64</v>
      </c>
      <c r="P4522" s="8">
        <f t="shared" si="352"/>
        <v>3472</v>
      </c>
      <c r="Q4522" s="8">
        <f t="shared" si="353"/>
        <v>193</v>
      </c>
      <c r="R4522" s="2" t="s">
        <v>28</v>
      </c>
      <c r="S4522" s="24">
        <f t="shared" si="354"/>
        <v>0.02</v>
      </c>
    </row>
    <row r="4523" spans="1:19" x14ac:dyDescent="0.25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>VLOOKUP(F4523,'Customer Info'!$A:$B,2,0)</f>
        <v>Dorothy</v>
      </c>
      <c r="H4523" s="6" t="str">
        <f>VLOOKUP(F4523,'Customer Info'!$A$1:$C$501,3,0)</f>
        <v>Badders</v>
      </c>
      <c r="I4523" s="6" t="str">
        <f>VLOOKUP(F4523,Customer,5,0)</f>
        <v>Nanning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324</v>
      </c>
      <c r="O4523" s="2">
        <v>10</v>
      </c>
      <c r="P4523" s="8">
        <f t="shared" si="352"/>
        <v>334</v>
      </c>
      <c r="Q4523" s="8">
        <f t="shared" si="353"/>
        <v>16</v>
      </c>
      <c r="R4523" s="2" t="s">
        <v>28</v>
      </c>
      <c r="S4523" s="24">
        <f t="shared" si="354"/>
        <v>0.02</v>
      </c>
    </row>
    <row r="4524" spans="1:19" x14ac:dyDescent="0.25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>VLOOKUP(F4524,'Customer Info'!$A:$B,2,0)</f>
        <v>Matt</v>
      </c>
      <c r="H4524" s="6" t="str">
        <f>VLOOKUP(F4524,'Customer Info'!$A$1:$C$501,3,0)</f>
        <v>Collins</v>
      </c>
      <c r="I4524" s="6" t="str">
        <f>VLOOKUP(F4524,Customer,5,0)</f>
        <v>Mumbai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9596</v>
      </c>
      <c r="O4524" s="2">
        <v>35</v>
      </c>
      <c r="P4524" s="8">
        <f t="shared" si="352"/>
        <v>9631</v>
      </c>
      <c r="Q4524" s="8">
        <f t="shared" si="353"/>
        <v>700</v>
      </c>
      <c r="R4524" s="2" t="s">
        <v>28</v>
      </c>
      <c r="S4524" s="24">
        <f t="shared" si="354"/>
        <v>0.05</v>
      </c>
    </row>
    <row r="4525" spans="1:19" x14ac:dyDescent="0.25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>VLOOKUP(F4525,'Customer Info'!$A:$B,2,0)</f>
        <v>Sara</v>
      </c>
      <c r="H4525" s="6" t="str">
        <f>VLOOKUP(F4525,'Customer Info'!$A$1:$C$501,3,0)</f>
        <v>Luxemburg</v>
      </c>
      <c r="I4525" s="6" t="str">
        <f>VLOOKUP(F4525,Customer,5,0)</f>
        <v>Luoyang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6139</v>
      </c>
      <c r="O4525" s="2">
        <v>96</v>
      </c>
      <c r="P4525" s="8">
        <f t="shared" si="352"/>
        <v>6235</v>
      </c>
      <c r="Q4525" s="8">
        <f t="shared" si="353"/>
        <v>623</v>
      </c>
      <c r="R4525" s="2" t="s">
        <v>28</v>
      </c>
      <c r="S4525" s="24">
        <f t="shared" si="354"/>
        <v>0.05</v>
      </c>
    </row>
    <row r="4526" spans="1:19" x14ac:dyDescent="0.25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>VLOOKUP(F4526,'Customer Info'!$A:$B,2,0)</f>
        <v>Cyra</v>
      </c>
      <c r="H4526" s="6" t="str">
        <f>VLOOKUP(F4526,'Customer Info'!$A$1:$C$501,3,0)</f>
        <v>Reiten</v>
      </c>
      <c r="I4526" s="6" t="str">
        <f>VLOOKUP(F4526,Customer,5,0)</f>
        <v>Samarinda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6465</v>
      </c>
      <c r="O4526" s="2">
        <v>42</v>
      </c>
      <c r="P4526" s="8">
        <f t="shared" si="352"/>
        <v>6507</v>
      </c>
      <c r="Q4526" s="8">
        <f t="shared" si="353"/>
        <v>423</v>
      </c>
      <c r="R4526" s="2" t="s">
        <v>28</v>
      </c>
      <c r="S4526" s="24">
        <f t="shared" si="354"/>
        <v>0.05</v>
      </c>
    </row>
    <row r="4527" spans="1:19" x14ac:dyDescent="0.25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>VLOOKUP(F4527,'Customer Info'!$A:$B,2,0)</f>
        <v>John</v>
      </c>
      <c r="H4527" s="6" t="str">
        <f>VLOOKUP(F4527,'Customer Info'!$A$1:$C$501,3,0)</f>
        <v>Lucas</v>
      </c>
      <c r="I4527" s="6" t="str">
        <f>VLOOKUP(F4527,Customer,5,0)</f>
        <v>Beijing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15728</v>
      </c>
      <c r="O4527" s="2">
        <v>56</v>
      </c>
      <c r="P4527" s="8">
        <f t="shared" si="352"/>
        <v>15784</v>
      </c>
      <c r="Q4527" s="8">
        <f t="shared" si="353"/>
        <v>602</v>
      </c>
      <c r="R4527" s="2" t="s">
        <v>28</v>
      </c>
      <c r="S4527" s="24">
        <f t="shared" si="354"/>
        <v>0.05</v>
      </c>
    </row>
    <row r="4528" spans="1:19" x14ac:dyDescent="0.25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>VLOOKUP(F4528,'Customer Info'!$A:$B,2,0)</f>
        <v>Philip</v>
      </c>
      <c r="H4528" s="6" t="str">
        <f>VLOOKUP(F4528,'Customer Info'!$A$1:$C$501,3,0)</f>
        <v>Fox</v>
      </c>
      <c r="I4528" s="6" t="str">
        <f>VLOOKUP(F4528,Customer,5,0)</f>
        <v>Mount Isa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141400</v>
      </c>
      <c r="O4528" s="2">
        <v>33</v>
      </c>
      <c r="P4528" s="8">
        <f t="shared" si="352"/>
        <v>141433</v>
      </c>
      <c r="Q4528" s="8">
        <f t="shared" si="353"/>
        <v>9252</v>
      </c>
      <c r="R4528" s="2" t="s">
        <v>26</v>
      </c>
      <c r="S4528" s="24">
        <f t="shared" si="354"/>
        <v>0.12</v>
      </c>
    </row>
    <row r="4529" spans="1:19" x14ac:dyDescent="0.25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>VLOOKUP(F4529,'Customer Info'!$A:$B,2,0)</f>
        <v>Quincy</v>
      </c>
      <c r="H4529" s="6" t="str">
        <f>VLOOKUP(F4529,'Customer Info'!$A$1:$C$501,3,0)</f>
        <v>Jones</v>
      </c>
      <c r="I4529" s="6" t="str">
        <f>VLOOKUP(F4529,Customer,5,0)</f>
        <v>Gold Coast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10632</v>
      </c>
      <c r="O4529" s="2">
        <v>48</v>
      </c>
      <c r="P4529" s="8">
        <f t="shared" si="352"/>
        <v>10680</v>
      </c>
      <c r="Q4529" s="8">
        <f t="shared" si="353"/>
        <v>696</v>
      </c>
      <c r="R4529" s="2" t="s">
        <v>28</v>
      </c>
      <c r="S4529" s="24">
        <f t="shared" si="354"/>
        <v>0.05</v>
      </c>
    </row>
    <row r="4530" spans="1:19" x14ac:dyDescent="0.25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>VLOOKUP(F4530,'Customer Info'!$A:$B,2,0)</f>
        <v>Bradley</v>
      </c>
      <c r="H4530" s="6" t="str">
        <f>VLOOKUP(F4530,'Customer Info'!$A$1:$C$501,3,0)</f>
        <v>Nguyen</v>
      </c>
      <c r="I4530" s="6" t="str">
        <f>VLOOKUP(F4530,Customer,5,0)</f>
        <v>Shenzhen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716</v>
      </c>
      <c r="O4530" s="2">
        <v>30</v>
      </c>
      <c r="P4530" s="8">
        <f t="shared" si="352"/>
        <v>746</v>
      </c>
      <c r="Q4530" s="8">
        <f t="shared" si="353"/>
        <v>52</v>
      </c>
      <c r="R4530" s="2" t="s">
        <v>50</v>
      </c>
      <c r="S4530" s="24">
        <f t="shared" si="354"/>
        <v>0.02</v>
      </c>
    </row>
    <row r="4531" spans="1:19" x14ac:dyDescent="0.25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>VLOOKUP(F4531,'Customer Info'!$A:$B,2,0)</f>
        <v>Jack</v>
      </c>
      <c r="H4531" s="6" t="str">
        <f>VLOOKUP(F4531,'Customer Info'!$A$1:$C$501,3,0)</f>
        <v>Lebron</v>
      </c>
      <c r="I4531" s="6" t="str">
        <f>VLOOKUP(F4531,Customer,5,0)</f>
        <v>Bremen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1834</v>
      </c>
      <c r="O4531" s="2">
        <v>99</v>
      </c>
      <c r="P4531" s="8">
        <f t="shared" si="352"/>
        <v>1933</v>
      </c>
      <c r="Q4531" s="8">
        <f t="shared" si="353"/>
        <v>118</v>
      </c>
      <c r="R4531" s="2" t="s">
        <v>50</v>
      </c>
      <c r="S4531" s="24">
        <f t="shared" si="354"/>
        <v>0.02</v>
      </c>
    </row>
    <row r="4532" spans="1:19" x14ac:dyDescent="0.25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>VLOOKUP(F4532,'Customer Info'!$A:$B,2,0)</f>
        <v>Sung</v>
      </c>
      <c r="H4532" s="6" t="str">
        <f>VLOOKUP(F4532,'Customer Info'!$A$1:$C$501,3,0)</f>
        <v>Pak</v>
      </c>
      <c r="I4532" s="6" t="str">
        <f>VLOOKUP(F4532,Customer,5,0)</f>
        <v>Chaozhou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3270</v>
      </c>
      <c r="O4532" s="2">
        <v>70</v>
      </c>
      <c r="P4532" s="8">
        <f t="shared" si="352"/>
        <v>3340</v>
      </c>
      <c r="Q4532" s="8">
        <f t="shared" si="353"/>
        <v>124</v>
      </c>
      <c r="R4532" s="2" t="s">
        <v>28</v>
      </c>
      <c r="S4532" s="24">
        <f t="shared" si="354"/>
        <v>0.02</v>
      </c>
    </row>
    <row r="4533" spans="1:19" x14ac:dyDescent="0.25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>VLOOKUP(F4533,'Customer Info'!$A:$B,2,0)</f>
        <v>Sam</v>
      </c>
      <c r="H4533" s="6" t="str">
        <f>VLOOKUP(F4533,'Customer Info'!$A$1:$C$501,3,0)</f>
        <v>Craven</v>
      </c>
      <c r="I4533" s="6" t="str">
        <f>VLOOKUP(F4533,Customer,5,0)</f>
        <v>Hyderabad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6999</v>
      </c>
      <c r="O4533" s="2">
        <v>98</v>
      </c>
      <c r="P4533" s="8">
        <f t="shared" si="352"/>
        <v>7097</v>
      </c>
      <c r="Q4533" s="8">
        <f t="shared" si="353"/>
        <v>819</v>
      </c>
      <c r="R4533" s="2" t="s">
        <v>50</v>
      </c>
      <c r="S4533" s="24">
        <f t="shared" si="354"/>
        <v>0.05</v>
      </c>
    </row>
    <row r="4534" spans="1:19" x14ac:dyDescent="0.25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>VLOOKUP(F4534,'Customer Info'!$A:$B,2,0)</f>
        <v>Tom</v>
      </c>
      <c r="H4534" s="6" t="str">
        <f>VLOOKUP(F4534,'Customer Info'!$A$1:$C$501,3,0)</f>
        <v>Stivers</v>
      </c>
      <c r="I4534" s="6" t="str">
        <f>VLOOKUP(F4534,Customer,5,0)</f>
        <v>Guangzhou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6512</v>
      </c>
      <c r="O4534" s="2">
        <v>39</v>
      </c>
      <c r="P4534" s="8">
        <f t="shared" si="352"/>
        <v>6551</v>
      </c>
      <c r="Q4534" s="8">
        <f t="shared" si="353"/>
        <v>424</v>
      </c>
      <c r="R4534" s="2" t="s">
        <v>50</v>
      </c>
      <c r="S4534" s="24">
        <f t="shared" si="354"/>
        <v>0.05</v>
      </c>
    </row>
    <row r="4535" spans="1:19" x14ac:dyDescent="0.25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>VLOOKUP(F4535,'Customer Info'!$A:$B,2,0)</f>
        <v>Mick</v>
      </c>
      <c r="H4535" s="6" t="str">
        <f>VLOOKUP(F4535,'Customer Info'!$A$1:$C$501,3,0)</f>
        <v>Brown</v>
      </c>
      <c r="I4535" s="6" t="str">
        <f>VLOOKUP(F4535,Customer,5,0)</f>
        <v>Shenzhen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256698</v>
      </c>
      <c r="O4535" s="2">
        <v>70</v>
      </c>
      <c r="P4535" s="8">
        <f t="shared" si="352"/>
        <v>256768</v>
      </c>
      <c r="Q4535" s="8">
        <f t="shared" si="353"/>
        <v>19242</v>
      </c>
      <c r="R4535" s="2" t="s">
        <v>50</v>
      </c>
      <c r="S4535" s="24">
        <f t="shared" si="354"/>
        <v>0.15</v>
      </c>
    </row>
    <row r="4536" spans="1:19" x14ac:dyDescent="0.25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>VLOOKUP(F4536,'Customer Info'!$A:$B,2,0)</f>
        <v>Dianna</v>
      </c>
      <c r="H4536" s="6" t="str">
        <f>VLOOKUP(F4536,'Customer Info'!$A$1:$C$501,3,0)</f>
        <v>Vittorini</v>
      </c>
      <c r="I4536" s="6" t="str">
        <f>VLOOKUP(F4536,Customer,5,0)</f>
        <v>Cottbus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4410</v>
      </c>
      <c r="O4536" s="2">
        <v>56</v>
      </c>
      <c r="P4536" s="8">
        <f t="shared" si="352"/>
        <v>4466</v>
      </c>
      <c r="Q4536" s="8">
        <f t="shared" si="353"/>
        <v>288</v>
      </c>
      <c r="R4536" s="2" t="s">
        <v>50</v>
      </c>
      <c r="S4536" s="24">
        <f t="shared" si="354"/>
        <v>0.02</v>
      </c>
    </row>
    <row r="4537" spans="1:19" x14ac:dyDescent="0.25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>VLOOKUP(F4537,'Customer Info'!$A:$B,2,0)</f>
        <v>Susan</v>
      </c>
      <c r="H4537" s="6" t="str">
        <f>VLOOKUP(F4537,'Customer Info'!$A$1:$C$501,3,0)</f>
        <v>Pistek</v>
      </c>
      <c r="I4537" s="6" t="str">
        <f>VLOOKUP(F4537,Customer,5,0)</f>
        <v>Padang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103812</v>
      </c>
      <c r="O4537" s="2">
        <v>91</v>
      </c>
      <c r="P4537" s="8">
        <f t="shared" si="352"/>
        <v>103903</v>
      </c>
      <c r="Q4537" s="8">
        <f t="shared" si="353"/>
        <v>6840</v>
      </c>
      <c r="R4537" s="2" t="s">
        <v>26</v>
      </c>
      <c r="S4537" s="24">
        <f t="shared" si="354"/>
        <v>0.12</v>
      </c>
    </row>
    <row r="4538" spans="1:19" x14ac:dyDescent="0.25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>VLOOKUP(F4538,'Customer Info'!$A:$B,2,0)</f>
        <v>Mike</v>
      </c>
      <c r="H4538" s="6" t="str">
        <f>VLOOKUP(F4538,'Customer Info'!$A$1:$C$501,3,0)</f>
        <v>Gockenbach</v>
      </c>
      <c r="I4538" s="6" t="str">
        <f>VLOOKUP(F4538,Customer,5,0)</f>
        <v>Caloundra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1925</v>
      </c>
      <c r="O4538" s="2">
        <v>99</v>
      </c>
      <c r="P4538" s="8">
        <f t="shared" si="352"/>
        <v>2024</v>
      </c>
      <c r="Q4538" s="8">
        <f t="shared" si="353"/>
        <v>91</v>
      </c>
      <c r="R4538" s="2" t="s">
        <v>28</v>
      </c>
      <c r="S4538" s="24">
        <f t="shared" si="354"/>
        <v>0.02</v>
      </c>
    </row>
    <row r="4539" spans="1:19" x14ac:dyDescent="0.25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>VLOOKUP(F4539,'Customer Info'!$A:$B,2,0)</f>
        <v>Steve</v>
      </c>
      <c r="H4539" s="6" t="str">
        <f>VLOOKUP(F4539,'Customer Info'!$A$1:$C$501,3,0)</f>
        <v>Carroll</v>
      </c>
      <c r="I4539" s="6" t="str">
        <f>VLOOKUP(F4539,Customer,5,0)</f>
        <v>Qingdao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390</v>
      </c>
      <c r="O4539" s="2">
        <v>10</v>
      </c>
      <c r="P4539" s="8">
        <f t="shared" si="352"/>
        <v>400</v>
      </c>
      <c r="Q4539" s="8">
        <f t="shared" si="353"/>
        <v>20</v>
      </c>
      <c r="R4539" s="2" t="s">
        <v>50</v>
      </c>
      <c r="S4539" s="24">
        <f t="shared" si="354"/>
        <v>0.02</v>
      </c>
    </row>
    <row r="4540" spans="1:19" x14ac:dyDescent="0.25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>VLOOKUP(F4540,'Customer Info'!$A:$B,2,0)</f>
        <v>Paul</v>
      </c>
      <c r="H4540" s="6" t="str">
        <f>VLOOKUP(F4540,'Customer Info'!$A$1:$C$501,3,0)</f>
        <v>Stevenson</v>
      </c>
      <c r="I4540" s="6" t="str">
        <f>VLOOKUP(F4540,Customer,5,0)</f>
        <v>Kwinana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9864</v>
      </c>
      <c r="O4540" s="2">
        <v>99</v>
      </c>
      <c r="P4540" s="8">
        <f t="shared" si="352"/>
        <v>9963</v>
      </c>
      <c r="Q4540" s="8">
        <f t="shared" si="353"/>
        <v>556</v>
      </c>
      <c r="R4540" s="2" t="s">
        <v>28</v>
      </c>
      <c r="S4540" s="24">
        <f t="shared" si="354"/>
        <v>0.05</v>
      </c>
    </row>
    <row r="4541" spans="1:19" x14ac:dyDescent="0.25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>VLOOKUP(F4541,'Customer Info'!$A:$B,2,0)</f>
        <v>Scott</v>
      </c>
      <c r="H4541" s="6" t="str">
        <f>VLOOKUP(F4541,'Customer Info'!$A$1:$C$501,3,0)</f>
        <v>Cohen</v>
      </c>
      <c r="I4541" s="6" t="str">
        <f>VLOOKUP(F4541,Customer,5,0)</f>
        <v>Freiburg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130</v>
      </c>
      <c r="O4541" s="2">
        <v>30</v>
      </c>
      <c r="P4541" s="8">
        <f t="shared" si="352"/>
        <v>160</v>
      </c>
      <c r="Q4541" s="8">
        <f t="shared" si="353"/>
        <v>8</v>
      </c>
      <c r="R4541" s="2" t="s">
        <v>26</v>
      </c>
      <c r="S4541" s="24">
        <f t="shared" si="354"/>
        <v>0.02</v>
      </c>
    </row>
    <row r="4542" spans="1:19" x14ac:dyDescent="0.25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>VLOOKUP(F4542,'Customer Info'!$A:$B,2,0)</f>
        <v>Karen</v>
      </c>
      <c r="H4542" s="6" t="str">
        <f>VLOOKUP(F4542,'Customer Info'!$A$1:$C$501,3,0)</f>
        <v>Daniels</v>
      </c>
      <c r="I4542" s="6" t="str">
        <f>VLOOKUP(F4542,Customer,5,0)</f>
        <v>Jiutai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6296</v>
      </c>
      <c r="O4542" s="2">
        <v>50</v>
      </c>
      <c r="P4542" s="8">
        <f t="shared" si="352"/>
        <v>6346</v>
      </c>
      <c r="Q4542" s="8">
        <f t="shared" si="353"/>
        <v>796</v>
      </c>
      <c r="R4542" s="2" t="s">
        <v>50</v>
      </c>
      <c r="S4542" s="24">
        <f t="shared" si="354"/>
        <v>0.05</v>
      </c>
    </row>
    <row r="4543" spans="1:19" x14ac:dyDescent="0.25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>VLOOKUP(F4543,'Customer Info'!$A:$B,2,0)</f>
        <v>Emily</v>
      </c>
      <c r="H4543" s="6" t="str">
        <f>VLOOKUP(F4543,'Customer Info'!$A$1:$C$501,3,0)</f>
        <v>Burns</v>
      </c>
      <c r="I4543" s="6" t="str">
        <f>VLOOKUP(F4543,Customer,5,0)</f>
        <v>Adelaide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25953</v>
      </c>
      <c r="O4543" s="2">
        <v>32</v>
      </c>
      <c r="P4543" s="8">
        <f t="shared" si="352"/>
        <v>25985</v>
      </c>
      <c r="Q4543" s="8">
        <f t="shared" si="353"/>
        <v>1710</v>
      </c>
      <c r="R4543" s="2" t="s">
        <v>50</v>
      </c>
      <c r="S4543" s="24">
        <f t="shared" si="354"/>
        <v>7.0000000000000007E-2</v>
      </c>
    </row>
    <row r="4544" spans="1:19" x14ac:dyDescent="0.25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>VLOOKUP(F4544,'Customer Info'!$A:$B,2,0)</f>
        <v>Robert</v>
      </c>
      <c r="H4544" s="6" t="str">
        <f>VLOOKUP(F4544,'Customer Info'!$A$1:$C$501,3,0)</f>
        <v>Waldorf</v>
      </c>
      <c r="I4544" s="6" t="str">
        <f>VLOOKUP(F4544,Customer,5,0)</f>
        <v>Emden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1908</v>
      </c>
      <c r="O4544" s="2">
        <v>98</v>
      </c>
      <c r="P4544" s="8">
        <f t="shared" si="352"/>
        <v>2006</v>
      </c>
      <c r="Q4544" s="8">
        <f t="shared" si="353"/>
        <v>106</v>
      </c>
      <c r="R4544" s="2" t="s">
        <v>28</v>
      </c>
      <c r="S4544" s="24">
        <f t="shared" si="354"/>
        <v>0.02</v>
      </c>
    </row>
    <row r="4545" spans="1:19" x14ac:dyDescent="0.25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>VLOOKUP(F4545,'Customer Info'!$A:$B,2,0)</f>
        <v>Cynthia</v>
      </c>
      <c r="H4545" s="6" t="str">
        <f>VLOOKUP(F4545,'Customer Info'!$A$1:$C$501,3,0)</f>
        <v>Delaney</v>
      </c>
      <c r="I4545" s="6" t="str">
        <f>VLOOKUP(F4545,Customer,5,0)</f>
        <v>Gold Coast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8351</v>
      </c>
      <c r="O4545" s="2">
        <v>36</v>
      </c>
      <c r="P4545" s="8">
        <f t="shared" si="352"/>
        <v>8387</v>
      </c>
      <c r="Q4545" s="8">
        <f t="shared" si="353"/>
        <v>318</v>
      </c>
      <c r="R4545" s="2" t="s">
        <v>50</v>
      </c>
      <c r="S4545" s="24">
        <f t="shared" si="354"/>
        <v>0.05</v>
      </c>
    </row>
    <row r="4546" spans="1:19" x14ac:dyDescent="0.25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>VLOOKUP(F4546,'Customer Info'!$A:$B,2,0)</f>
        <v>Jessica</v>
      </c>
      <c r="H4546" s="6" t="str">
        <f>VLOOKUP(F4546,'Customer Info'!$A$1:$C$501,3,0)</f>
        <v>Myrick</v>
      </c>
      <c r="I4546" s="6" t="str">
        <f>VLOOKUP(F4546,Customer,5,0)</f>
        <v>Krefeld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3174</v>
      </c>
      <c r="O4546" s="2">
        <v>37</v>
      </c>
      <c r="P4546" s="8">
        <f t="shared" si="352"/>
        <v>3211</v>
      </c>
      <c r="Q4546" s="8">
        <f t="shared" si="353"/>
        <v>318</v>
      </c>
      <c r="R4546" s="2" t="s">
        <v>50</v>
      </c>
      <c r="S4546" s="24">
        <f t="shared" si="354"/>
        <v>0.02</v>
      </c>
    </row>
    <row r="4547" spans="1:19" x14ac:dyDescent="0.25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>VLOOKUP(F4547,'Customer Info'!$A:$B,2,0)</f>
        <v>Patricia</v>
      </c>
      <c r="H4547" s="6" t="str">
        <f>VLOOKUP(F4547,'Customer Info'!$A$1:$C$501,3,0)</f>
        <v>Hirasaki</v>
      </c>
      <c r="I4547" s="6" t="str">
        <f>VLOOKUP(F4547,Customer,5,0)</f>
        <v>Pimpri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1359</v>
      </c>
      <c r="O4547" s="2">
        <v>98</v>
      </c>
      <c r="P4547" s="8">
        <f t="shared" si="352"/>
        <v>1457</v>
      </c>
      <c r="Q4547" s="8">
        <f t="shared" si="353"/>
        <v>138</v>
      </c>
      <c r="R4547" s="2" t="s">
        <v>50</v>
      </c>
      <c r="S4547" s="24">
        <f t="shared" si="354"/>
        <v>0.02</v>
      </c>
    </row>
    <row r="4548" spans="1:19" x14ac:dyDescent="0.25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>VLOOKUP(F4548,'Customer Info'!$A:$B,2,0)</f>
        <v>Darren</v>
      </c>
      <c r="H4548" s="6" t="str">
        <f>VLOOKUP(F4548,'Customer Info'!$A$1:$C$501,3,0)</f>
        <v>Budd</v>
      </c>
      <c r="I4548" s="6" t="str">
        <f>VLOOKUP(F4548,Customer,5,0)</f>
        <v>Perth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513</v>
      </c>
      <c r="O4548" s="2">
        <v>30</v>
      </c>
      <c r="P4548" s="8">
        <f t="shared" si="352"/>
        <v>543</v>
      </c>
      <c r="Q4548" s="8">
        <f t="shared" si="353"/>
        <v>54</v>
      </c>
      <c r="R4548" s="2" t="s">
        <v>26</v>
      </c>
      <c r="S4548" s="24">
        <f t="shared" si="354"/>
        <v>0.02</v>
      </c>
    </row>
    <row r="4549" spans="1:19" x14ac:dyDescent="0.25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>VLOOKUP(F4549,'Customer Info'!$A:$B,2,0)</f>
        <v>Brad</v>
      </c>
      <c r="H4549" s="6" t="str">
        <f>VLOOKUP(F4549,'Customer Info'!$A$1:$C$501,3,0)</f>
        <v>Eason</v>
      </c>
      <c r="I4549" s="6" t="str">
        <f>VLOOKUP(F4549,Customer,5,0)</f>
        <v>Bogor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136</v>
      </c>
      <c r="O4549" s="2">
        <v>10</v>
      </c>
      <c r="P4549" s="8">
        <f t="shared" si="352"/>
        <v>146</v>
      </c>
      <c r="Q4549" s="8">
        <f t="shared" si="353"/>
        <v>10</v>
      </c>
      <c r="R4549" s="2" t="s">
        <v>28</v>
      </c>
      <c r="S4549" s="24">
        <f t="shared" si="354"/>
        <v>0.02</v>
      </c>
    </row>
    <row r="4550" spans="1:19" x14ac:dyDescent="0.25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>VLOOKUP(F4550,'Customer Info'!$A:$B,2,0)</f>
        <v>Valerie</v>
      </c>
      <c r="H4550" s="6" t="str">
        <f>VLOOKUP(F4550,'Customer Info'!$A$1:$C$501,3,0)</f>
        <v>Takahito</v>
      </c>
      <c r="I4550" s="6" t="str">
        <f>VLOOKUP(F4550,Customer,5,0)</f>
        <v>Surat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501</v>
      </c>
      <c r="O4550" s="2">
        <v>30</v>
      </c>
      <c r="P4550" s="8">
        <f t="shared" si="352"/>
        <v>531</v>
      </c>
      <c r="Q4550" s="8">
        <f t="shared" si="353"/>
        <v>36</v>
      </c>
      <c r="R4550" s="2" t="s">
        <v>50</v>
      </c>
      <c r="S4550" s="24">
        <f t="shared" si="354"/>
        <v>0.02</v>
      </c>
    </row>
    <row r="4551" spans="1:19" x14ac:dyDescent="0.25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>VLOOKUP(F4551,'Customer Info'!$A:$B,2,0)</f>
        <v>Dennis</v>
      </c>
      <c r="H4551" s="6" t="str">
        <f>VLOOKUP(F4551,'Customer Info'!$A$1:$C$501,3,0)</f>
        <v>Pardue</v>
      </c>
      <c r="I4551" s="6" t="str">
        <f>VLOOKUP(F4551,Customer,5,0)</f>
        <v>Wollongong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23392</v>
      </c>
      <c r="O4551" s="2">
        <v>32</v>
      </c>
      <c r="P4551" s="8">
        <f t="shared" si="352"/>
        <v>23424</v>
      </c>
      <c r="Q4551" s="8">
        <f t="shared" si="353"/>
        <v>2536</v>
      </c>
      <c r="R4551" s="2" t="s">
        <v>50</v>
      </c>
      <c r="S4551" s="24">
        <f t="shared" si="354"/>
        <v>0.05</v>
      </c>
    </row>
    <row r="4552" spans="1:19" x14ac:dyDescent="0.25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>VLOOKUP(F4552,'Customer Info'!$A:$B,2,0)</f>
        <v>Jack</v>
      </c>
      <c r="H4552" s="6" t="str">
        <f>VLOOKUP(F4552,'Customer Info'!$A$1:$C$501,3,0)</f>
        <v>Lebron</v>
      </c>
      <c r="I4552" s="6" t="str">
        <f>VLOOKUP(F4552,Customer,5,0)</f>
        <v>Bremen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6492</v>
      </c>
      <c r="O4552" s="2">
        <v>80</v>
      </c>
      <c r="P4552" s="8">
        <f t="shared" si="352"/>
        <v>6572</v>
      </c>
      <c r="Q4552" s="8">
        <f t="shared" si="353"/>
        <v>308</v>
      </c>
      <c r="R4552" s="2" t="s">
        <v>28</v>
      </c>
      <c r="S4552" s="24">
        <f t="shared" si="354"/>
        <v>0.05</v>
      </c>
    </row>
    <row r="4553" spans="1:19" x14ac:dyDescent="0.25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>VLOOKUP(F4553,'Customer Info'!$A:$B,2,0)</f>
        <v>Philip</v>
      </c>
      <c r="H4553" s="6" t="str">
        <f>VLOOKUP(F4553,'Customer Info'!$A$1:$C$501,3,0)</f>
        <v>Brown</v>
      </c>
      <c r="I4553" s="6" t="str">
        <f>VLOOKUP(F4553,Customer,5,0)</f>
        <v>Binjai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9428</v>
      </c>
      <c r="O4553" s="2">
        <v>53</v>
      </c>
      <c r="P4553" s="8">
        <f t="shared" si="352"/>
        <v>9481</v>
      </c>
      <c r="Q4553" s="8">
        <f t="shared" si="353"/>
        <v>782</v>
      </c>
      <c r="R4553" s="2" t="s">
        <v>56</v>
      </c>
      <c r="S4553" s="24">
        <f t="shared" si="354"/>
        <v>0.05</v>
      </c>
    </row>
    <row r="4554" spans="1:19" x14ac:dyDescent="0.25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>VLOOKUP(F4554,'Customer Info'!$A:$B,2,0)</f>
        <v>Deirdre</v>
      </c>
      <c r="H4554" s="6" t="str">
        <f>VLOOKUP(F4554,'Customer Info'!$A$1:$C$501,3,0)</f>
        <v>Greer</v>
      </c>
      <c r="I4554" s="6" t="str">
        <f>VLOOKUP(F4554,Customer,5,0)</f>
        <v>Perth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100</v>
      </c>
      <c r="O4554" s="2">
        <v>10</v>
      </c>
      <c r="P4554" s="8">
        <f t="shared" si="352"/>
        <v>110</v>
      </c>
      <c r="Q4554" s="8">
        <f t="shared" si="353"/>
        <v>5</v>
      </c>
      <c r="R4554" s="2" t="s">
        <v>50</v>
      </c>
      <c r="S4554" s="24">
        <f t="shared" si="354"/>
        <v>0.02</v>
      </c>
    </row>
    <row r="4555" spans="1:19" x14ac:dyDescent="0.25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>VLOOKUP(F4555,'Customer Info'!$A:$B,2,0)</f>
        <v>Charles</v>
      </c>
      <c r="H4555" s="6" t="str">
        <f>VLOOKUP(F4555,'Customer Info'!$A$1:$C$501,3,0)</f>
        <v>Sheldon</v>
      </c>
      <c r="I4555" s="6" t="str">
        <f>VLOOKUP(F4555,Customer,5,0)</f>
        <v>Jakarta</v>
      </c>
      <c r="J4555" s="2">
        <v>25658</v>
      </c>
      <c r="K4555" s="2">
        <v>24466</v>
      </c>
      <c r="L4555" s="2">
        <v>1</v>
      </c>
      <c r="M4555" s="7">
        <f t="shared" ref="M4555:M4618" si="355">K4555*L4555</f>
        <v>24466</v>
      </c>
      <c r="N4555" s="7">
        <f t="shared" ref="N4555:N4618" si="356">J4555*L4555</f>
        <v>25658</v>
      </c>
      <c r="O4555" s="2">
        <v>60</v>
      </c>
      <c r="P4555" s="8">
        <f t="shared" ref="P4555:P4618" si="357">N4555+O4555</f>
        <v>25718</v>
      </c>
      <c r="Q4555" s="8">
        <f t="shared" ref="Q4555:Q4618" si="358">N4555-M4555</f>
        <v>1192</v>
      </c>
      <c r="R4555" s="2" t="s">
        <v>28</v>
      </c>
      <c r="S4555" s="24">
        <f t="shared" ref="S4555:S4618" si="359">VLOOKUP(N4555,$T$1:$U$7,2,TRUE)</f>
        <v>7.0000000000000007E-2</v>
      </c>
    </row>
    <row r="4556" spans="1:19" x14ac:dyDescent="0.25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>VLOOKUP(F4556,'Customer Info'!$A:$B,2,0)</f>
        <v>John</v>
      </c>
      <c r="H4556" s="6" t="str">
        <f>VLOOKUP(F4556,'Customer Info'!$A$1:$C$501,3,0)</f>
        <v>Lucas</v>
      </c>
      <c r="I4556" s="6" t="str">
        <f>VLOOKUP(F4556,Customer,5,0)</f>
        <v>Beijing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8">
        <f t="shared" si="357"/>
        <v>7716</v>
      </c>
      <c r="Q4556" s="8">
        <f t="shared" si="358"/>
        <v>285</v>
      </c>
      <c r="R4556" s="2" t="s">
        <v>28</v>
      </c>
      <c r="S4556" s="24">
        <f t="shared" si="359"/>
        <v>0.05</v>
      </c>
    </row>
    <row r="4557" spans="1:19" x14ac:dyDescent="0.25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>VLOOKUP(F4557,'Customer Info'!$A:$B,2,0)</f>
        <v>Rachel</v>
      </c>
      <c r="H4557" s="6" t="str">
        <f>VLOOKUP(F4557,'Customer Info'!$A$1:$C$501,3,0)</f>
        <v>Payne</v>
      </c>
      <c r="I4557" s="6" t="str">
        <f>VLOOKUP(F4557,Customer,5,0)</f>
        <v>Caloundra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8">
        <f t="shared" si="357"/>
        <v>5013</v>
      </c>
      <c r="Q4557" s="8">
        <f t="shared" si="358"/>
        <v>144</v>
      </c>
      <c r="R4557" s="2" t="s">
        <v>28</v>
      </c>
      <c r="S4557" s="24">
        <f t="shared" si="359"/>
        <v>0.02</v>
      </c>
    </row>
    <row r="4558" spans="1:19" x14ac:dyDescent="0.25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>VLOOKUP(F4558,'Customer Info'!$A:$B,2,0)</f>
        <v>Resi</v>
      </c>
      <c r="H4558" s="6" t="str">
        <f>VLOOKUP(F4558,'Customer Info'!$A$1:$C$501,3,0)</f>
        <v>Pšlking</v>
      </c>
      <c r="I4558" s="6" t="str">
        <f>VLOOKUP(F4558,Customer,5,0)</f>
        <v>Gelsenkirchen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8">
        <f t="shared" si="357"/>
        <v>14177</v>
      </c>
      <c r="Q4558" s="8">
        <f t="shared" si="358"/>
        <v>1281</v>
      </c>
      <c r="R4558" s="2" t="s">
        <v>56</v>
      </c>
      <c r="S4558" s="24">
        <f t="shared" si="359"/>
        <v>0.05</v>
      </c>
    </row>
    <row r="4559" spans="1:19" x14ac:dyDescent="0.25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>VLOOKUP(F4559,'Customer Info'!$A:$B,2,0)</f>
        <v>Natalie</v>
      </c>
      <c r="H4559" s="6" t="str">
        <f>VLOOKUP(F4559,'Customer Info'!$A$1:$C$501,3,0)</f>
        <v>DeCherney</v>
      </c>
      <c r="I4559" s="6" t="str">
        <f>VLOOKUP(F4559,Customer,5,0)</f>
        <v>Anqing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8">
        <f t="shared" si="357"/>
        <v>17596</v>
      </c>
      <c r="Q4559" s="8">
        <f t="shared" si="358"/>
        <v>1902</v>
      </c>
      <c r="R4559" s="2" t="s">
        <v>50</v>
      </c>
      <c r="S4559" s="24">
        <f t="shared" si="359"/>
        <v>0.05</v>
      </c>
    </row>
    <row r="4560" spans="1:19" x14ac:dyDescent="0.25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>VLOOKUP(F4560,'Customer Info'!$A:$B,2,0)</f>
        <v>MaryBeth</v>
      </c>
      <c r="H4560" s="6" t="str">
        <f>VLOOKUP(F4560,'Customer Info'!$A$1:$C$501,3,0)</f>
        <v>Skach</v>
      </c>
      <c r="I4560" s="6" t="str">
        <f>VLOOKUP(F4560,Customer,5,0)</f>
        <v>Licheng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66132</v>
      </c>
      <c r="O4560" s="2">
        <v>99</v>
      </c>
      <c r="P4560" s="8">
        <f t="shared" si="357"/>
        <v>66231</v>
      </c>
      <c r="Q4560" s="8">
        <f t="shared" si="358"/>
        <v>3685</v>
      </c>
      <c r="R4560" s="2" t="s">
        <v>28</v>
      </c>
      <c r="S4560" s="24">
        <f t="shared" si="359"/>
        <v>0.09</v>
      </c>
    </row>
    <row r="4561" spans="1:19" x14ac:dyDescent="0.25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>VLOOKUP(F4561,'Customer Info'!$A:$B,2,0)</f>
        <v>Harold</v>
      </c>
      <c r="H4561" s="6" t="str">
        <f>VLOOKUP(F4561,'Customer Info'!$A$1:$C$501,3,0)</f>
        <v>Dahlen</v>
      </c>
      <c r="I4561" s="6" t="str">
        <f>VLOOKUP(F4561,Customer,5,0)</f>
        <v>Melbourne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7578</v>
      </c>
      <c r="O4561" s="2">
        <v>30</v>
      </c>
      <c r="P4561" s="8">
        <f t="shared" si="357"/>
        <v>7608</v>
      </c>
      <c r="Q4561" s="8">
        <f t="shared" si="358"/>
        <v>354</v>
      </c>
      <c r="R4561" s="2" t="s">
        <v>50</v>
      </c>
      <c r="S4561" s="24">
        <f t="shared" si="359"/>
        <v>0.05</v>
      </c>
    </row>
    <row r="4562" spans="1:19" x14ac:dyDescent="0.25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>VLOOKUP(F4562,'Customer Info'!$A:$B,2,0)</f>
        <v>Irene</v>
      </c>
      <c r="H4562" s="6" t="str">
        <f>VLOOKUP(F4562,'Customer Info'!$A$1:$C$501,3,0)</f>
        <v>Maddox</v>
      </c>
      <c r="I4562" s="6" t="str">
        <f>VLOOKUP(F4562,Customer,5,0)</f>
        <v>Bhavnagar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24078</v>
      </c>
      <c r="O4562" s="2">
        <v>86</v>
      </c>
      <c r="P4562" s="8">
        <f t="shared" si="357"/>
        <v>24164</v>
      </c>
      <c r="Q4562" s="8">
        <f t="shared" si="358"/>
        <v>1362</v>
      </c>
      <c r="R4562" s="2" t="s">
        <v>28</v>
      </c>
      <c r="S4562" s="24">
        <f t="shared" si="359"/>
        <v>0.05</v>
      </c>
    </row>
    <row r="4563" spans="1:19" x14ac:dyDescent="0.25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>VLOOKUP(F4563,'Customer Info'!$A:$B,2,0)</f>
        <v>Laurel</v>
      </c>
      <c r="H4563" s="6" t="str">
        <f>VLOOKUP(F4563,'Customer Info'!$A$1:$C$501,3,0)</f>
        <v>Workman</v>
      </c>
      <c r="I4563" s="6" t="str">
        <f>VLOOKUP(F4563,Customer,5,0)</f>
        <v>Dongguan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8185</v>
      </c>
      <c r="O4563" s="2">
        <v>100</v>
      </c>
      <c r="P4563" s="8">
        <f t="shared" si="357"/>
        <v>8285</v>
      </c>
      <c r="Q4563" s="8">
        <f t="shared" si="358"/>
        <v>230</v>
      </c>
      <c r="R4563" s="2" t="s">
        <v>50</v>
      </c>
      <c r="S4563" s="24">
        <f t="shared" si="359"/>
        <v>0.05</v>
      </c>
    </row>
    <row r="4564" spans="1:19" x14ac:dyDescent="0.25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>VLOOKUP(F4564,'Customer Info'!$A:$B,2,0)</f>
        <v>Dennis</v>
      </c>
      <c r="H4564" s="6" t="str">
        <f>VLOOKUP(F4564,'Customer Info'!$A$1:$C$501,3,0)</f>
        <v>Pardue</v>
      </c>
      <c r="I4564" s="6" t="str">
        <f>VLOOKUP(F4564,Customer,5,0)</f>
        <v>Townsville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177</v>
      </c>
      <c r="O4564" s="2">
        <v>10</v>
      </c>
      <c r="P4564" s="8">
        <f t="shared" si="357"/>
        <v>187</v>
      </c>
      <c r="Q4564" s="8">
        <f t="shared" si="358"/>
        <v>12</v>
      </c>
      <c r="R4564" s="2" t="s">
        <v>50</v>
      </c>
      <c r="S4564" s="24">
        <f t="shared" si="359"/>
        <v>0.02</v>
      </c>
    </row>
    <row r="4565" spans="1:19" x14ac:dyDescent="0.25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>VLOOKUP(F4565,'Customer Info'!$A:$B,2,0)</f>
        <v>Ivan</v>
      </c>
      <c r="H4565" s="6" t="str">
        <f>VLOOKUP(F4565,'Customer Info'!$A$1:$C$501,3,0)</f>
        <v>Gibson</v>
      </c>
      <c r="I4565" s="6" t="str">
        <f>VLOOKUP(F4565,Customer,5,0)</f>
        <v>Perth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27405</v>
      </c>
      <c r="O4565" s="2">
        <v>69</v>
      </c>
      <c r="P4565" s="8">
        <f t="shared" si="357"/>
        <v>27474</v>
      </c>
      <c r="Q4565" s="8">
        <f t="shared" si="358"/>
        <v>2976</v>
      </c>
      <c r="R4565" s="2" t="s">
        <v>28</v>
      </c>
      <c r="S4565" s="24">
        <f t="shared" si="359"/>
        <v>7.0000000000000007E-2</v>
      </c>
    </row>
    <row r="4566" spans="1:19" x14ac:dyDescent="0.25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>VLOOKUP(F4566,'Customer Info'!$A:$B,2,0)</f>
        <v>Sanjit</v>
      </c>
      <c r="H4566" s="6" t="str">
        <f>VLOOKUP(F4566,'Customer Info'!$A$1:$C$501,3,0)</f>
        <v>Chand</v>
      </c>
      <c r="I4566" s="6" t="str">
        <f>VLOOKUP(F4566,Customer,5,0)</f>
        <v>Thiruvananthapuram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6936</v>
      </c>
      <c r="O4566" s="2">
        <v>93</v>
      </c>
      <c r="P4566" s="8">
        <f t="shared" si="357"/>
        <v>7029</v>
      </c>
      <c r="Q4566" s="8">
        <f t="shared" si="358"/>
        <v>128</v>
      </c>
      <c r="R4566" s="2" t="s">
        <v>50</v>
      </c>
      <c r="S4566" s="24">
        <f t="shared" si="359"/>
        <v>0.05</v>
      </c>
    </row>
    <row r="4567" spans="1:19" x14ac:dyDescent="0.25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>VLOOKUP(F4567,'Customer Info'!$A:$B,2,0)</f>
        <v>Laurel</v>
      </c>
      <c r="H4567" s="6" t="str">
        <f>VLOOKUP(F4567,'Customer Info'!$A$1:$C$501,3,0)</f>
        <v>Workman</v>
      </c>
      <c r="I4567" s="6" t="str">
        <f>VLOOKUP(F4567,Customer,5,0)</f>
        <v>Dongguan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1413</v>
      </c>
      <c r="O4567" s="2">
        <v>22</v>
      </c>
      <c r="P4567" s="8">
        <f t="shared" si="357"/>
        <v>1435</v>
      </c>
      <c r="Q4567" s="8">
        <f t="shared" si="358"/>
        <v>79</v>
      </c>
      <c r="R4567" s="2" t="s">
        <v>28</v>
      </c>
      <c r="S4567" s="24">
        <f t="shared" si="359"/>
        <v>0.02</v>
      </c>
    </row>
    <row r="4568" spans="1:19" x14ac:dyDescent="0.25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>VLOOKUP(F4568,'Customer Info'!$A:$B,2,0)</f>
        <v>Vivek</v>
      </c>
      <c r="H4568" s="6" t="str">
        <f>VLOOKUP(F4568,'Customer Info'!$A$1:$C$501,3,0)</f>
        <v>Sundaresam</v>
      </c>
      <c r="I4568" s="6" t="str">
        <f>VLOOKUP(F4568,Customer,5,0)</f>
        <v>Hamburg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17520</v>
      </c>
      <c r="O4568" s="2">
        <v>59</v>
      </c>
      <c r="P4568" s="8">
        <f t="shared" si="357"/>
        <v>17579</v>
      </c>
      <c r="Q4568" s="8">
        <f t="shared" si="358"/>
        <v>1760</v>
      </c>
      <c r="R4568" s="2" t="s">
        <v>28</v>
      </c>
      <c r="S4568" s="24">
        <f t="shared" si="359"/>
        <v>0.05</v>
      </c>
    </row>
    <row r="4569" spans="1:19" x14ac:dyDescent="0.25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>VLOOKUP(F4569,'Customer Info'!$A:$B,2,0)</f>
        <v>Carl</v>
      </c>
      <c r="H4569" s="6" t="str">
        <f>VLOOKUP(F4569,'Customer Info'!$A$1:$C$501,3,0)</f>
        <v>Weiss</v>
      </c>
      <c r="I4569" s="6" t="str">
        <f>VLOOKUP(F4569,Customer,5,0)</f>
        <v>Tianjin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25299</v>
      </c>
      <c r="O4569" s="2">
        <v>97</v>
      </c>
      <c r="P4569" s="8">
        <f t="shared" si="357"/>
        <v>25396</v>
      </c>
      <c r="Q4569" s="8">
        <f t="shared" si="358"/>
        <v>1896</v>
      </c>
      <c r="R4569" s="2" t="s">
        <v>28</v>
      </c>
      <c r="S4569" s="24">
        <f t="shared" si="359"/>
        <v>7.0000000000000007E-2</v>
      </c>
    </row>
    <row r="4570" spans="1:19" x14ac:dyDescent="0.25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>VLOOKUP(F4570,'Customer Info'!$A:$B,2,0)</f>
        <v>Quincy</v>
      </c>
      <c r="H4570" s="6" t="str">
        <f>VLOOKUP(F4570,'Customer Info'!$A$1:$C$501,3,0)</f>
        <v>Jones</v>
      </c>
      <c r="I4570" s="6" t="str">
        <f>VLOOKUP(F4570,Customer,5,0)</f>
        <v>Gold Coast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315</v>
      </c>
      <c r="O4570" s="2">
        <v>10</v>
      </c>
      <c r="P4570" s="8">
        <f t="shared" si="357"/>
        <v>325</v>
      </c>
      <c r="Q4570" s="8">
        <f t="shared" si="358"/>
        <v>25</v>
      </c>
      <c r="R4570" s="2" t="s">
        <v>28</v>
      </c>
      <c r="S4570" s="24">
        <f t="shared" si="359"/>
        <v>0.02</v>
      </c>
    </row>
    <row r="4571" spans="1:19" x14ac:dyDescent="0.25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>VLOOKUP(F4571,'Customer Info'!$A:$B,2,0)</f>
        <v>Mark</v>
      </c>
      <c r="H4571" s="6" t="str">
        <f>VLOOKUP(F4571,'Customer Info'!$A$1:$C$501,3,0)</f>
        <v>Cousins</v>
      </c>
      <c r="I4571" s="6" t="str">
        <f>VLOOKUP(F4571,Customer,5,0)</f>
        <v>Karimnagar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1062</v>
      </c>
      <c r="O4571" s="2">
        <v>88</v>
      </c>
      <c r="P4571" s="8">
        <f t="shared" si="357"/>
        <v>1150</v>
      </c>
      <c r="Q4571" s="8">
        <f t="shared" si="358"/>
        <v>88</v>
      </c>
      <c r="R4571" s="2" t="s">
        <v>28</v>
      </c>
      <c r="S4571" s="24">
        <f t="shared" si="359"/>
        <v>0.02</v>
      </c>
    </row>
    <row r="4572" spans="1:19" x14ac:dyDescent="0.25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>VLOOKUP(F4572,'Customer Info'!$A:$B,2,0)</f>
        <v>Allen</v>
      </c>
      <c r="H4572" s="6" t="str">
        <f>VLOOKUP(F4572,'Customer Info'!$A$1:$C$501,3,0)</f>
        <v>Armold</v>
      </c>
      <c r="I4572" s="6" t="str">
        <f>VLOOKUP(F4572,Customer,5,0)</f>
        <v>Wuchuan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3256</v>
      </c>
      <c r="O4572" s="2">
        <v>46</v>
      </c>
      <c r="P4572" s="8">
        <f t="shared" si="357"/>
        <v>3302</v>
      </c>
      <c r="Q4572" s="8">
        <f t="shared" si="358"/>
        <v>297</v>
      </c>
      <c r="R4572" s="2" t="s">
        <v>50</v>
      </c>
      <c r="S4572" s="24">
        <f t="shared" si="359"/>
        <v>0.02</v>
      </c>
    </row>
    <row r="4573" spans="1:19" x14ac:dyDescent="0.25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>VLOOKUP(F4573,'Customer Info'!$A:$B,2,0)</f>
        <v>Jim</v>
      </c>
      <c r="H4573" s="6" t="str">
        <f>VLOOKUP(F4573,'Customer Info'!$A$1:$C$501,3,0)</f>
        <v>Epp</v>
      </c>
      <c r="I4573" s="6" t="str">
        <f>VLOOKUP(F4573,Customer,5,0)</f>
        <v>Qingdao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700</v>
      </c>
      <c r="O4573" s="2">
        <v>10</v>
      </c>
      <c r="P4573" s="8">
        <f t="shared" si="357"/>
        <v>710</v>
      </c>
      <c r="Q4573" s="8">
        <f t="shared" si="358"/>
        <v>35</v>
      </c>
      <c r="R4573" s="2" t="s">
        <v>28</v>
      </c>
      <c r="S4573" s="24">
        <f t="shared" si="359"/>
        <v>0.02</v>
      </c>
    </row>
    <row r="4574" spans="1:19" x14ac:dyDescent="0.25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>VLOOKUP(F4574,'Customer Info'!$A:$B,2,0)</f>
        <v>Harry</v>
      </c>
      <c r="H4574" s="6" t="str">
        <f>VLOOKUP(F4574,'Customer Info'!$A$1:$C$501,3,0)</f>
        <v>Marie</v>
      </c>
      <c r="I4574" s="6" t="str">
        <f>VLOOKUP(F4574,Customer,5,0)</f>
        <v>Mataram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3148</v>
      </c>
      <c r="O4574" s="2">
        <v>87</v>
      </c>
      <c r="P4574" s="8">
        <f t="shared" si="357"/>
        <v>3235</v>
      </c>
      <c r="Q4574" s="8">
        <f t="shared" si="358"/>
        <v>232</v>
      </c>
      <c r="R4574" s="2" t="s">
        <v>50</v>
      </c>
      <c r="S4574" s="24">
        <f t="shared" si="359"/>
        <v>0.02</v>
      </c>
    </row>
    <row r="4575" spans="1:19" x14ac:dyDescent="0.25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>VLOOKUP(F4575,'Customer Info'!$A:$B,2,0)</f>
        <v>Harold</v>
      </c>
      <c r="H4575" s="6" t="str">
        <f>VLOOKUP(F4575,'Customer Info'!$A$1:$C$501,3,0)</f>
        <v>Pawlan</v>
      </c>
      <c r="I4575" s="6" t="str">
        <f>VLOOKUP(F4575,Customer,5,0)</f>
        <v>Banda Aceh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11160</v>
      </c>
      <c r="O4575" s="2">
        <v>55</v>
      </c>
      <c r="P4575" s="8">
        <f t="shared" si="357"/>
        <v>11215</v>
      </c>
      <c r="Q4575" s="8">
        <f t="shared" si="358"/>
        <v>932</v>
      </c>
      <c r="R4575" s="2" t="s">
        <v>28</v>
      </c>
      <c r="S4575" s="24">
        <f t="shared" si="359"/>
        <v>0.05</v>
      </c>
    </row>
    <row r="4576" spans="1:19" x14ac:dyDescent="0.25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>VLOOKUP(F4576,'Customer Info'!$A:$B,2,0)</f>
        <v>Thomas</v>
      </c>
      <c r="H4576" s="6" t="str">
        <f>VLOOKUP(F4576,'Customer Info'!$A$1:$C$501,3,0)</f>
        <v>Boland</v>
      </c>
      <c r="I4576" s="6" t="str">
        <f>VLOOKUP(F4576,Customer,5,0)</f>
        <v>Newcastle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1572</v>
      </c>
      <c r="O4576" s="2">
        <v>47</v>
      </c>
      <c r="P4576" s="8">
        <f t="shared" si="357"/>
        <v>1619</v>
      </c>
      <c r="Q4576" s="8">
        <f t="shared" si="358"/>
        <v>76</v>
      </c>
      <c r="R4576" s="2" t="s">
        <v>28</v>
      </c>
      <c r="S4576" s="24">
        <f t="shared" si="359"/>
        <v>0.02</v>
      </c>
    </row>
    <row r="4577" spans="1:19" x14ac:dyDescent="0.25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>VLOOKUP(F4577,'Customer Info'!$A:$B,2,0)</f>
        <v>Ed</v>
      </c>
      <c r="H4577" s="6" t="str">
        <f>VLOOKUP(F4577,'Customer Info'!$A$1:$C$501,3,0)</f>
        <v>Braxton</v>
      </c>
      <c r="I4577" s="6" t="str">
        <f>VLOOKUP(F4577,Customer,5,0)</f>
        <v>Bhatpara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8043</v>
      </c>
      <c r="O4577" s="2">
        <v>68</v>
      </c>
      <c r="P4577" s="8">
        <f t="shared" si="357"/>
        <v>8111</v>
      </c>
      <c r="Q4577" s="8">
        <f t="shared" si="358"/>
        <v>669</v>
      </c>
      <c r="R4577" s="2" t="s">
        <v>28</v>
      </c>
      <c r="S4577" s="24">
        <f t="shared" si="359"/>
        <v>0.05</v>
      </c>
    </row>
    <row r="4578" spans="1:19" x14ac:dyDescent="0.25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>VLOOKUP(F4578,'Customer Info'!$A:$B,2,0)</f>
        <v>Joy</v>
      </c>
      <c r="H4578" s="6" t="str">
        <f>VLOOKUP(F4578,'Customer Info'!$A$1:$C$501,3,0)</f>
        <v>Bell</v>
      </c>
      <c r="I4578" s="6" t="str">
        <f>VLOOKUP(F4578,Customer,5,0)</f>
        <v>Tongchuan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53312</v>
      </c>
      <c r="O4578" s="2">
        <v>62</v>
      </c>
      <c r="P4578" s="8">
        <f t="shared" si="357"/>
        <v>53374</v>
      </c>
      <c r="Q4578" s="8">
        <f t="shared" si="358"/>
        <v>1528</v>
      </c>
      <c r="R4578" s="2" t="s">
        <v>50</v>
      </c>
      <c r="S4578" s="24">
        <f t="shared" si="359"/>
        <v>0.09</v>
      </c>
    </row>
    <row r="4579" spans="1:19" x14ac:dyDescent="0.25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>VLOOKUP(F4579,'Customer Info'!$A:$B,2,0)</f>
        <v>Brendan</v>
      </c>
      <c r="H4579" s="6" t="str">
        <f>VLOOKUP(F4579,'Customer Info'!$A$1:$C$501,3,0)</f>
        <v>Murry</v>
      </c>
      <c r="I4579" s="6" t="str">
        <f>VLOOKUP(F4579,Customer,5,0)</f>
        <v>Brahmapur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25658</v>
      </c>
      <c r="O4579" s="2">
        <v>34</v>
      </c>
      <c r="P4579" s="8">
        <f t="shared" si="357"/>
        <v>25692</v>
      </c>
      <c r="Q4579" s="8">
        <f t="shared" si="358"/>
        <v>1192</v>
      </c>
      <c r="R4579" s="2" t="s">
        <v>28</v>
      </c>
      <c r="S4579" s="24">
        <f t="shared" si="359"/>
        <v>7.0000000000000007E-2</v>
      </c>
    </row>
    <row r="4580" spans="1:19" x14ac:dyDescent="0.25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>VLOOKUP(F4580,'Customer Info'!$A:$B,2,0)</f>
        <v>Thomas</v>
      </c>
      <c r="H4580" s="6" t="str">
        <f>VLOOKUP(F4580,'Customer Info'!$A$1:$C$501,3,0)</f>
        <v>Brumley</v>
      </c>
      <c r="I4580" s="6" t="str">
        <f>VLOOKUP(F4580,Customer,5,0)</f>
        <v>Launceston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28848</v>
      </c>
      <c r="O4580" s="2">
        <v>47</v>
      </c>
      <c r="P4580" s="8">
        <f t="shared" si="357"/>
        <v>28895</v>
      </c>
      <c r="Q4580" s="8">
        <f t="shared" si="358"/>
        <v>2130</v>
      </c>
      <c r="R4580" s="2" t="s">
        <v>28</v>
      </c>
      <c r="S4580" s="24">
        <f t="shared" si="359"/>
        <v>7.0000000000000007E-2</v>
      </c>
    </row>
    <row r="4581" spans="1:19" x14ac:dyDescent="0.25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>VLOOKUP(F4581,'Customer Info'!$A:$B,2,0)</f>
        <v>Laurel</v>
      </c>
      <c r="H4581" s="6" t="str">
        <f>VLOOKUP(F4581,'Customer Info'!$A$1:$C$501,3,0)</f>
        <v>Beltran</v>
      </c>
      <c r="I4581" s="6" t="str">
        <f>VLOOKUP(F4581,Customer,5,0)</f>
        <v>Melbourne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116</v>
      </c>
      <c r="O4581" s="2">
        <v>10</v>
      </c>
      <c r="P4581" s="8">
        <f t="shared" si="357"/>
        <v>126</v>
      </c>
      <c r="Q4581" s="8">
        <f t="shared" si="358"/>
        <v>4</v>
      </c>
      <c r="R4581" s="2" t="s">
        <v>28</v>
      </c>
      <c r="S4581" s="24">
        <f t="shared" si="359"/>
        <v>0.02</v>
      </c>
    </row>
    <row r="4582" spans="1:19" x14ac:dyDescent="0.25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>VLOOKUP(F4582,'Customer Info'!$A:$B,2,0)</f>
        <v>Bill</v>
      </c>
      <c r="H4582" s="6" t="str">
        <f>VLOOKUP(F4582,'Customer Info'!$A$1:$C$501,3,0)</f>
        <v>Shonely</v>
      </c>
      <c r="I4582" s="6" t="str">
        <f>VLOOKUP(F4582,Customer,5,0)</f>
        <v>Jinjiang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4155</v>
      </c>
      <c r="O4582" s="2">
        <v>55</v>
      </c>
      <c r="P4582" s="8">
        <f t="shared" si="357"/>
        <v>4210</v>
      </c>
      <c r="Q4582" s="8">
        <f t="shared" si="358"/>
        <v>270</v>
      </c>
      <c r="R4582" s="2" t="s">
        <v>50</v>
      </c>
      <c r="S4582" s="24">
        <f t="shared" si="359"/>
        <v>0.02</v>
      </c>
    </row>
    <row r="4583" spans="1:19" x14ac:dyDescent="0.25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>VLOOKUP(F4583,'Customer Info'!$A:$B,2,0)</f>
        <v>Brendan</v>
      </c>
      <c r="H4583" s="6" t="str">
        <f>VLOOKUP(F4583,'Customer Info'!$A$1:$C$501,3,0)</f>
        <v>Dodson</v>
      </c>
      <c r="I4583" s="6" t="str">
        <f>VLOOKUP(F4583,Customer,5,0)</f>
        <v>Adelaide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1752</v>
      </c>
      <c r="O4583" s="2">
        <v>28</v>
      </c>
      <c r="P4583" s="8">
        <f t="shared" si="357"/>
        <v>1780</v>
      </c>
      <c r="Q4583" s="8">
        <f t="shared" si="358"/>
        <v>176</v>
      </c>
      <c r="R4583" s="2" t="s">
        <v>28</v>
      </c>
      <c r="S4583" s="24">
        <f t="shared" si="359"/>
        <v>0.02</v>
      </c>
    </row>
    <row r="4584" spans="1:19" x14ac:dyDescent="0.25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>VLOOKUP(F4584,'Customer Info'!$A:$B,2,0)</f>
        <v>Dave</v>
      </c>
      <c r="H4584" s="6" t="str">
        <f>VLOOKUP(F4584,'Customer Info'!$A$1:$C$501,3,0)</f>
        <v>Hallsten</v>
      </c>
      <c r="I4584" s="6" t="str">
        <f>VLOOKUP(F4584,Customer,5,0)</f>
        <v>Melbourne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680</v>
      </c>
      <c r="O4584" s="2">
        <v>30</v>
      </c>
      <c r="P4584" s="8">
        <f t="shared" si="357"/>
        <v>710</v>
      </c>
      <c r="Q4584" s="8">
        <f t="shared" si="358"/>
        <v>30</v>
      </c>
      <c r="R4584" s="2" t="s">
        <v>50</v>
      </c>
      <c r="S4584" s="24">
        <f t="shared" si="359"/>
        <v>0.02</v>
      </c>
    </row>
    <row r="4585" spans="1:19" x14ac:dyDescent="0.25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>VLOOKUP(F4585,'Customer Info'!$A:$B,2,0)</f>
        <v>Charlotte</v>
      </c>
      <c r="H4585" s="6" t="str">
        <f>VLOOKUP(F4585,'Customer Info'!$A$1:$C$501,3,0)</f>
        <v>Melton</v>
      </c>
      <c r="I4585" s="6" t="str">
        <f>VLOOKUP(F4585,Customer,5,0)</f>
        <v>Canberra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1362</v>
      </c>
      <c r="O4585" s="2">
        <v>26</v>
      </c>
      <c r="P4585" s="8">
        <f t="shared" si="357"/>
        <v>1388</v>
      </c>
      <c r="Q4585" s="8">
        <f t="shared" si="358"/>
        <v>78</v>
      </c>
      <c r="R4585" s="2" t="s">
        <v>28</v>
      </c>
      <c r="S4585" s="24">
        <f t="shared" si="359"/>
        <v>0.02</v>
      </c>
    </row>
    <row r="4586" spans="1:19" x14ac:dyDescent="0.25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>VLOOKUP(F4586,'Customer Info'!$A:$B,2,0)</f>
        <v>Eileen</v>
      </c>
      <c r="H4586" s="6" t="str">
        <f>VLOOKUP(F4586,'Customer Info'!$A$1:$C$501,3,0)</f>
        <v>Kiefer</v>
      </c>
      <c r="I4586" s="6" t="str">
        <f>VLOOKUP(F4586,Customer,5,0)</f>
        <v>Hamm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1332</v>
      </c>
      <c r="O4586" s="2">
        <v>46</v>
      </c>
      <c r="P4586" s="8">
        <f t="shared" si="357"/>
        <v>1378</v>
      </c>
      <c r="Q4586" s="8">
        <f t="shared" si="358"/>
        <v>50</v>
      </c>
      <c r="R4586" s="2" t="s">
        <v>50</v>
      </c>
      <c r="S4586" s="24">
        <f t="shared" si="359"/>
        <v>0.02</v>
      </c>
    </row>
    <row r="4587" spans="1:19" x14ac:dyDescent="0.25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>VLOOKUP(F4587,'Customer Info'!$A:$B,2,0)</f>
        <v>Dana</v>
      </c>
      <c r="H4587" s="6" t="str">
        <f>VLOOKUP(F4587,'Customer Info'!$A$1:$C$501,3,0)</f>
        <v>Kaydos</v>
      </c>
      <c r="I4587" s="6" t="str">
        <f>VLOOKUP(F4587,Customer,5,0)</f>
        <v>Nagercoil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14712</v>
      </c>
      <c r="O4587" s="2">
        <v>34</v>
      </c>
      <c r="P4587" s="8">
        <f t="shared" si="357"/>
        <v>14746</v>
      </c>
      <c r="Q4587" s="8">
        <f t="shared" si="358"/>
        <v>1215</v>
      </c>
      <c r="R4587" s="2" t="s">
        <v>28</v>
      </c>
      <c r="S4587" s="24">
        <f t="shared" si="359"/>
        <v>0.05</v>
      </c>
    </row>
    <row r="4588" spans="1:19" x14ac:dyDescent="0.25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>VLOOKUP(F4588,'Customer Info'!$A:$B,2,0)</f>
        <v>Ben</v>
      </c>
      <c r="H4588" s="6" t="str">
        <f>VLOOKUP(F4588,'Customer Info'!$A$1:$C$501,3,0)</f>
        <v>Wallace</v>
      </c>
      <c r="I4588" s="6" t="str">
        <f>VLOOKUP(F4588,Customer,5,0)</f>
        <v>Shanghai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37016</v>
      </c>
      <c r="O4588" s="2">
        <v>37</v>
      </c>
      <c r="P4588" s="8">
        <f t="shared" si="357"/>
        <v>37053</v>
      </c>
      <c r="Q4588" s="8">
        <f t="shared" si="358"/>
        <v>3066</v>
      </c>
      <c r="R4588" s="2" t="s">
        <v>28</v>
      </c>
      <c r="S4588" s="24">
        <f t="shared" si="359"/>
        <v>7.0000000000000007E-2</v>
      </c>
    </row>
    <row r="4589" spans="1:19" x14ac:dyDescent="0.25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>VLOOKUP(F4589,'Customer Info'!$A:$B,2,0)</f>
        <v>Liz</v>
      </c>
      <c r="H4589" s="6" t="str">
        <f>VLOOKUP(F4589,'Customer Info'!$A$1:$C$501,3,0)</f>
        <v>Pelletier</v>
      </c>
      <c r="I4589" s="6" t="str">
        <f>VLOOKUP(F4589,Customer,5,0)</f>
        <v>Zigong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12120</v>
      </c>
      <c r="O4589" s="2">
        <v>85</v>
      </c>
      <c r="P4589" s="8">
        <f t="shared" si="357"/>
        <v>12205</v>
      </c>
      <c r="Q4589" s="8">
        <f t="shared" si="358"/>
        <v>116</v>
      </c>
      <c r="R4589" s="2" t="s">
        <v>28</v>
      </c>
      <c r="S4589" s="24">
        <f t="shared" si="359"/>
        <v>0.05</v>
      </c>
    </row>
    <row r="4590" spans="1:19" x14ac:dyDescent="0.25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>VLOOKUP(F4590,'Customer Info'!$A:$B,2,0)</f>
        <v>Helen</v>
      </c>
      <c r="H4590" s="6" t="str">
        <f>VLOOKUP(F4590,'Customer Info'!$A$1:$C$501,3,0)</f>
        <v>Abelman</v>
      </c>
      <c r="I4590" s="6" t="str">
        <f>VLOOKUP(F4590,Customer,5,0)</f>
        <v>Munich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2706</v>
      </c>
      <c r="O4590" s="2">
        <v>63</v>
      </c>
      <c r="P4590" s="8">
        <f t="shared" si="357"/>
        <v>2769</v>
      </c>
      <c r="Q4590" s="8">
        <f t="shared" si="358"/>
        <v>153</v>
      </c>
      <c r="R4590" s="2" t="s">
        <v>28</v>
      </c>
      <c r="S4590" s="24">
        <f t="shared" si="359"/>
        <v>0.02</v>
      </c>
    </row>
    <row r="4591" spans="1:19" x14ac:dyDescent="0.25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>VLOOKUP(F4591,'Customer Info'!$A:$B,2,0)</f>
        <v>Philisse</v>
      </c>
      <c r="H4591" s="6" t="str">
        <f>VLOOKUP(F4591,'Customer Info'!$A$1:$C$501,3,0)</f>
        <v>Overcash</v>
      </c>
      <c r="I4591" s="6" t="str">
        <f>VLOOKUP(F4591,Customer,5,0)</f>
        <v>Devonport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9448</v>
      </c>
      <c r="O4591" s="2">
        <v>94</v>
      </c>
      <c r="P4591" s="8">
        <f t="shared" si="357"/>
        <v>9542</v>
      </c>
      <c r="Q4591" s="8">
        <f t="shared" si="358"/>
        <v>360</v>
      </c>
      <c r="R4591" s="2" t="s">
        <v>28</v>
      </c>
      <c r="S4591" s="24">
        <f t="shared" si="359"/>
        <v>0.05</v>
      </c>
    </row>
    <row r="4592" spans="1:19" x14ac:dyDescent="0.25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>VLOOKUP(F4592,'Customer Info'!$A:$B,2,0)</f>
        <v>Bryan</v>
      </c>
      <c r="H4592" s="6" t="str">
        <f>VLOOKUP(F4592,'Customer Info'!$A$1:$C$501,3,0)</f>
        <v>Davis</v>
      </c>
      <c r="I4592" s="6" t="str">
        <f>VLOOKUP(F4592,Customer,5,0)</f>
        <v>Delhi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1382</v>
      </c>
      <c r="O4592" s="2">
        <v>77</v>
      </c>
      <c r="P4592" s="8">
        <f t="shared" si="357"/>
        <v>1459</v>
      </c>
      <c r="Q4592" s="8">
        <f t="shared" si="358"/>
        <v>128</v>
      </c>
      <c r="R4592" s="2" t="s">
        <v>28</v>
      </c>
      <c r="S4592" s="24">
        <f t="shared" si="359"/>
        <v>0.02</v>
      </c>
    </row>
    <row r="4593" spans="1:19" x14ac:dyDescent="0.25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>VLOOKUP(F4593,'Customer Info'!$A:$B,2,0)</f>
        <v>Jim</v>
      </c>
      <c r="H4593" s="6" t="str">
        <f>VLOOKUP(F4593,'Customer Info'!$A$1:$C$501,3,0)</f>
        <v>Epp</v>
      </c>
      <c r="I4593" s="6" t="str">
        <f>VLOOKUP(F4593,Customer,5,0)</f>
        <v>Jingmen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9840</v>
      </c>
      <c r="O4593" s="2">
        <v>52</v>
      </c>
      <c r="P4593" s="8">
        <f t="shared" si="357"/>
        <v>9892</v>
      </c>
      <c r="Q4593" s="8">
        <f t="shared" si="358"/>
        <v>735</v>
      </c>
      <c r="R4593" s="2" t="s">
        <v>28</v>
      </c>
      <c r="S4593" s="24">
        <f t="shared" si="359"/>
        <v>0.05</v>
      </c>
    </row>
    <row r="4594" spans="1:19" x14ac:dyDescent="0.25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>VLOOKUP(F4594,'Customer Info'!$A:$B,2,0)</f>
        <v>Harold</v>
      </c>
      <c r="H4594" s="6" t="str">
        <f>VLOOKUP(F4594,'Customer Info'!$A$1:$C$501,3,0)</f>
        <v>Engle</v>
      </c>
      <c r="I4594" s="6" t="str">
        <f>VLOOKUP(F4594,Customer,5,0)</f>
        <v>Chennai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1828</v>
      </c>
      <c r="O4594" s="2">
        <v>21</v>
      </c>
      <c r="P4594" s="8">
        <f t="shared" si="357"/>
        <v>1849</v>
      </c>
      <c r="Q4594" s="8">
        <f t="shared" si="358"/>
        <v>168</v>
      </c>
      <c r="R4594" s="2" t="s">
        <v>28</v>
      </c>
      <c r="S4594" s="24">
        <f t="shared" si="359"/>
        <v>0.02</v>
      </c>
    </row>
    <row r="4595" spans="1:19" x14ac:dyDescent="0.25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>VLOOKUP(F4595,'Customer Info'!$A:$B,2,0)</f>
        <v>Fred</v>
      </c>
      <c r="H4595" s="6" t="str">
        <f>VLOOKUP(F4595,'Customer Info'!$A$1:$C$501,3,0)</f>
        <v>Hopkins</v>
      </c>
      <c r="I4595" s="6" t="str">
        <f>VLOOKUP(F4595,Customer,5,0)</f>
        <v>Sydney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18546</v>
      </c>
      <c r="O4595" s="2">
        <v>30</v>
      </c>
      <c r="P4595" s="8">
        <f t="shared" si="357"/>
        <v>18576</v>
      </c>
      <c r="Q4595" s="8">
        <f t="shared" si="358"/>
        <v>1212</v>
      </c>
      <c r="R4595" s="2" t="s">
        <v>28</v>
      </c>
      <c r="S4595" s="24">
        <f t="shared" si="359"/>
        <v>0.05</v>
      </c>
    </row>
    <row r="4596" spans="1:19" x14ac:dyDescent="0.25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>VLOOKUP(F4596,'Customer Info'!$A:$B,2,0)</f>
        <v>Bruce</v>
      </c>
      <c r="H4596" s="6" t="str">
        <f>VLOOKUP(F4596,'Customer Info'!$A$1:$C$501,3,0)</f>
        <v>Geld</v>
      </c>
      <c r="I4596" s="6" t="str">
        <f>VLOOKUP(F4596,Customer,5,0)</f>
        <v>Wollongong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1717</v>
      </c>
      <c r="O4596" s="2">
        <v>81</v>
      </c>
      <c r="P4596" s="8">
        <f t="shared" si="357"/>
        <v>1798</v>
      </c>
      <c r="Q4596" s="8">
        <f t="shared" si="358"/>
        <v>65</v>
      </c>
      <c r="R4596" s="2" t="s">
        <v>56</v>
      </c>
      <c r="S4596" s="24">
        <f t="shared" si="359"/>
        <v>0.02</v>
      </c>
    </row>
    <row r="4597" spans="1:19" x14ac:dyDescent="0.25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>VLOOKUP(F4597,'Customer Info'!$A:$B,2,0)</f>
        <v>Sonia</v>
      </c>
      <c r="H4597" s="6" t="str">
        <f>VLOOKUP(F4597,'Customer Info'!$A$1:$C$501,3,0)</f>
        <v>Sunley</v>
      </c>
      <c r="I4597" s="6" t="str">
        <f>VLOOKUP(F4597,Customer,5,0)</f>
        <v>Canberra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1512</v>
      </c>
      <c r="O4597" s="2">
        <v>68</v>
      </c>
      <c r="P4597" s="8">
        <f t="shared" si="357"/>
        <v>1580</v>
      </c>
      <c r="Q4597" s="8">
        <f t="shared" si="358"/>
        <v>15</v>
      </c>
      <c r="R4597" s="2" t="s">
        <v>28</v>
      </c>
      <c r="S4597" s="24">
        <f t="shared" si="359"/>
        <v>0.02</v>
      </c>
    </row>
    <row r="4598" spans="1:19" x14ac:dyDescent="0.25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>VLOOKUP(F4598,'Customer Info'!$A:$B,2,0)</f>
        <v>Thomas</v>
      </c>
      <c r="H4598" s="6" t="str">
        <f>VLOOKUP(F4598,'Customer Info'!$A$1:$C$501,3,0)</f>
        <v>Brumley</v>
      </c>
      <c r="I4598" s="6" t="str">
        <f>VLOOKUP(F4598,Customer,5,0)</f>
        <v>Jinan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2433</v>
      </c>
      <c r="O4598" s="2">
        <v>41</v>
      </c>
      <c r="P4598" s="8">
        <f t="shared" si="357"/>
        <v>2474</v>
      </c>
      <c r="Q4598" s="8">
        <f t="shared" si="358"/>
        <v>93</v>
      </c>
      <c r="R4598" s="2" t="s">
        <v>26</v>
      </c>
      <c r="S4598" s="24">
        <f t="shared" si="359"/>
        <v>0.02</v>
      </c>
    </row>
    <row r="4599" spans="1:19" x14ac:dyDescent="0.25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>VLOOKUP(F4599,'Customer Info'!$A:$B,2,0)</f>
        <v>Robert</v>
      </c>
      <c r="H4599" s="6" t="str">
        <f>VLOOKUP(F4599,'Customer Info'!$A$1:$C$501,3,0)</f>
        <v>Waldorf</v>
      </c>
      <c r="I4599" s="6" t="str">
        <f>VLOOKUP(F4599,Customer,5,0)</f>
        <v>Emden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2362</v>
      </c>
      <c r="O4599" s="2">
        <v>22</v>
      </c>
      <c r="P4599" s="8">
        <f t="shared" si="357"/>
        <v>2384</v>
      </c>
      <c r="Q4599" s="8">
        <f t="shared" si="358"/>
        <v>90</v>
      </c>
      <c r="R4599" s="2" t="s">
        <v>28</v>
      </c>
      <c r="S4599" s="24">
        <f t="shared" si="359"/>
        <v>0.02</v>
      </c>
    </row>
    <row r="4600" spans="1:19" x14ac:dyDescent="0.25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>VLOOKUP(F4600,'Customer Info'!$A:$B,2,0)</f>
        <v>Neil</v>
      </c>
      <c r="H4600" s="6" t="str">
        <f>VLOOKUP(F4600,'Customer Info'!$A$1:$C$501,3,0)</f>
        <v>Franzšsisch</v>
      </c>
      <c r="I4600" s="6" t="str">
        <f>VLOOKUP(F4600,Customer,5,0)</f>
        <v>Mount Isa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809</v>
      </c>
      <c r="O4600" s="2">
        <v>89</v>
      </c>
      <c r="P4600" s="8">
        <f t="shared" si="357"/>
        <v>898</v>
      </c>
      <c r="Q4600" s="8">
        <f t="shared" si="358"/>
        <v>39</v>
      </c>
      <c r="R4600" s="2" t="s">
        <v>28</v>
      </c>
      <c r="S4600" s="24">
        <f t="shared" si="359"/>
        <v>0.02</v>
      </c>
    </row>
    <row r="4601" spans="1:19" x14ac:dyDescent="0.25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>VLOOKUP(F4601,'Customer Info'!$A:$B,2,0)</f>
        <v>Max</v>
      </c>
      <c r="H4601" s="6" t="str">
        <f>VLOOKUP(F4601,'Customer Info'!$A$1:$C$501,3,0)</f>
        <v>Jones</v>
      </c>
      <c r="I4601" s="6" t="str">
        <f>VLOOKUP(F4601,Customer,5,0)</f>
        <v>Yuncheng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990</v>
      </c>
      <c r="O4601" s="2">
        <v>36</v>
      </c>
      <c r="P4601" s="8">
        <f t="shared" si="357"/>
        <v>1026</v>
      </c>
      <c r="Q4601" s="8">
        <f t="shared" si="358"/>
        <v>74</v>
      </c>
      <c r="R4601" s="2" t="s">
        <v>50</v>
      </c>
      <c r="S4601" s="24">
        <f t="shared" si="359"/>
        <v>0.02</v>
      </c>
    </row>
    <row r="4602" spans="1:19" x14ac:dyDescent="0.25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>VLOOKUP(F4602,'Customer Info'!$A:$B,2,0)</f>
        <v>Alex</v>
      </c>
      <c r="H4602" s="6" t="str">
        <f>VLOOKUP(F4602,'Customer Info'!$A$1:$C$501,3,0)</f>
        <v>Avila</v>
      </c>
      <c r="I4602" s="6" t="str">
        <f>VLOOKUP(F4602,Customer,5,0)</f>
        <v>Agra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15246</v>
      </c>
      <c r="O4602" s="2">
        <v>58</v>
      </c>
      <c r="P4602" s="8">
        <f t="shared" si="357"/>
        <v>15304</v>
      </c>
      <c r="Q4602" s="8">
        <f t="shared" si="358"/>
        <v>1118</v>
      </c>
      <c r="R4602" s="2" t="s">
        <v>28</v>
      </c>
      <c r="S4602" s="24">
        <f t="shared" si="359"/>
        <v>0.05</v>
      </c>
    </row>
    <row r="4603" spans="1:19" x14ac:dyDescent="0.25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>VLOOKUP(F4603,'Customer Info'!$A:$B,2,0)</f>
        <v>Beth</v>
      </c>
      <c r="H4603" s="6" t="str">
        <f>VLOOKUP(F4603,'Customer Info'!$A$1:$C$501,3,0)</f>
        <v>Thompson</v>
      </c>
      <c r="I4603" s="6" t="str">
        <f>VLOOKUP(F4603,Customer,5,0)</f>
        <v>Lohne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29530</v>
      </c>
      <c r="O4603" s="2">
        <v>91</v>
      </c>
      <c r="P4603" s="8">
        <f t="shared" si="357"/>
        <v>29621</v>
      </c>
      <c r="Q4603" s="8">
        <f t="shared" si="358"/>
        <v>3200</v>
      </c>
      <c r="R4603" s="2" t="s">
        <v>26</v>
      </c>
      <c r="S4603" s="24">
        <f t="shared" si="359"/>
        <v>7.0000000000000007E-2</v>
      </c>
    </row>
    <row r="4604" spans="1:19" x14ac:dyDescent="0.25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>VLOOKUP(F4604,'Customer Info'!$A:$B,2,0)</f>
        <v>Anthony</v>
      </c>
      <c r="H4604" s="6" t="str">
        <f>VLOOKUP(F4604,'Customer Info'!$A$1:$C$501,3,0)</f>
        <v>Rawles</v>
      </c>
      <c r="I4604" s="6" t="str">
        <f>VLOOKUP(F4604,Customer,5,0)</f>
        <v>Samarinda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8850</v>
      </c>
      <c r="O4604" s="2">
        <v>54</v>
      </c>
      <c r="P4604" s="8">
        <f t="shared" si="357"/>
        <v>8904</v>
      </c>
      <c r="Q4604" s="8">
        <f t="shared" si="358"/>
        <v>890</v>
      </c>
      <c r="R4604" s="2" t="s">
        <v>28</v>
      </c>
      <c r="S4604" s="24">
        <f t="shared" si="359"/>
        <v>0.05</v>
      </c>
    </row>
    <row r="4605" spans="1:19" x14ac:dyDescent="0.25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>VLOOKUP(F4605,'Customer Info'!$A:$B,2,0)</f>
        <v>Frank</v>
      </c>
      <c r="H4605" s="6" t="str">
        <f>VLOOKUP(F4605,'Customer Info'!$A$1:$C$501,3,0)</f>
        <v>Hawley</v>
      </c>
      <c r="I4605" s="6" t="str">
        <f>VLOOKUP(F4605,Customer,5,0)</f>
        <v>Gold Coast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8187</v>
      </c>
      <c r="O4605" s="2">
        <v>27</v>
      </c>
      <c r="P4605" s="8">
        <f t="shared" si="357"/>
        <v>8214</v>
      </c>
      <c r="Q4605" s="8">
        <f t="shared" si="358"/>
        <v>388</v>
      </c>
      <c r="R4605" s="2" t="s">
        <v>28</v>
      </c>
      <c r="S4605" s="24">
        <f t="shared" si="359"/>
        <v>0.05</v>
      </c>
    </row>
    <row r="4606" spans="1:19" x14ac:dyDescent="0.25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>VLOOKUP(F4606,'Customer Info'!$A:$B,2,0)</f>
        <v>Greg</v>
      </c>
      <c r="H4606" s="6" t="str">
        <f>VLOOKUP(F4606,'Customer Info'!$A$1:$C$501,3,0)</f>
        <v>Tran</v>
      </c>
      <c r="I4606" s="6" t="str">
        <f>VLOOKUP(F4606,Customer,5,0)</f>
        <v>Recklinghausen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79029</v>
      </c>
      <c r="O4606" s="2">
        <v>41</v>
      </c>
      <c r="P4606" s="8">
        <f t="shared" si="357"/>
        <v>79070</v>
      </c>
      <c r="Q4606" s="8">
        <f t="shared" si="358"/>
        <v>8577</v>
      </c>
      <c r="R4606" s="2" t="s">
        <v>50</v>
      </c>
      <c r="S4606" s="24">
        <f t="shared" si="359"/>
        <v>0.09</v>
      </c>
    </row>
    <row r="4607" spans="1:19" x14ac:dyDescent="0.25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>VLOOKUP(F4607,'Customer Info'!$A:$B,2,0)</f>
        <v>Meg</v>
      </c>
      <c r="H4607" s="6" t="str">
        <f>VLOOKUP(F4607,'Customer Info'!$A$1:$C$501,3,0)</f>
        <v>Tillman</v>
      </c>
      <c r="I4607" s="6" t="str">
        <f>VLOOKUP(F4607,Customer,5,0)</f>
        <v>Bangalore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340</v>
      </c>
      <c r="O4607" s="2">
        <v>30</v>
      </c>
      <c r="P4607" s="8">
        <f t="shared" si="357"/>
        <v>370</v>
      </c>
      <c r="Q4607" s="8">
        <f t="shared" si="358"/>
        <v>20</v>
      </c>
      <c r="R4607" s="2" t="s">
        <v>50</v>
      </c>
      <c r="S4607" s="24">
        <f t="shared" si="359"/>
        <v>0.02</v>
      </c>
    </row>
    <row r="4608" spans="1:19" x14ac:dyDescent="0.25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>VLOOKUP(F4608,'Customer Info'!$A:$B,2,0)</f>
        <v>Rachel</v>
      </c>
      <c r="H4608" s="6" t="str">
        <f>VLOOKUP(F4608,'Customer Info'!$A$1:$C$501,3,0)</f>
        <v>Payne</v>
      </c>
      <c r="I4608" s="6" t="str">
        <f>VLOOKUP(F4608,Customer,5,0)</f>
        <v>Caloundra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6995</v>
      </c>
      <c r="O4608" s="2">
        <v>95</v>
      </c>
      <c r="P4608" s="8">
        <f t="shared" si="357"/>
        <v>7090</v>
      </c>
      <c r="Q4608" s="8">
        <f t="shared" si="358"/>
        <v>330</v>
      </c>
      <c r="R4608" s="2" t="s">
        <v>28</v>
      </c>
      <c r="S4608" s="24">
        <f t="shared" si="359"/>
        <v>0.05</v>
      </c>
    </row>
    <row r="4609" spans="1:19" x14ac:dyDescent="0.25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>VLOOKUP(F4609,'Customer Info'!$A:$B,2,0)</f>
        <v>Michelle</v>
      </c>
      <c r="H4609" s="6" t="str">
        <f>VLOOKUP(F4609,'Customer Info'!$A$1:$C$501,3,0)</f>
        <v>Arnett</v>
      </c>
      <c r="I4609" s="6" t="str">
        <f>VLOOKUP(F4609,Customer,5,0)</f>
        <v>Palembang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290</v>
      </c>
      <c r="O4609" s="2">
        <v>10</v>
      </c>
      <c r="P4609" s="8">
        <f t="shared" si="357"/>
        <v>300</v>
      </c>
      <c r="Q4609" s="8">
        <f t="shared" si="358"/>
        <v>10</v>
      </c>
      <c r="R4609" s="2" t="s">
        <v>50</v>
      </c>
      <c r="S4609" s="24">
        <f t="shared" si="359"/>
        <v>0.02</v>
      </c>
    </row>
    <row r="4610" spans="1:19" x14ac:dyDescent="0.25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>VLOOKUP(F4610,'Customer Info'!$A:$B,2,0)</f>
        <v>Sanjit</v>
      </c>
      <c r="H4610" s="6" t="str">
        <f>VLOOKUP(F4610,'Customer Info'!$A$1:$C$501,3,0)</f>
        <v>Chand</v>
      </c>
      <c r="I4610" s="6" t="str">
        <f>VLOOKUP(F4610,Customer,5,0)</f>
        <v>Thiruvananthapuram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84572</v>
      </c>
      <c r="O4610" s="2">
        <v>24</v>
      </c>
      <c r="P4610" s="8">
        <f t="shared" si="357"/>
        <v>84596</v>
      </c>
      <c r="Q4610" s="8">
        <f t="shared" si="358"/>
        <v>9180</v>
      </c>
      <c r="R4610" s="2" t="s">
        <v>28</v>
      </c>
      <c r="S4610" s="24">
        <f t="shared" si="359"/>
        <v>0.09</v>
      </c>
    </row>
    <row r="4611" spans="1:19" x14ac:dyDescent="0.25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>VLOOKUP(F4611,'Customer Info'!$A:$B,2,0)</f>
        <v>Dianna</v>
      </c>
      <c r="H4611" s="6" t="str">
        <f>VLOOKUP(F4611,'Customer Info'!$A$1:$C$501,3,0)</f>
        <v>Vittorini</v>
      </c>
      <c r="I4611" s="6" t="str">
        <f>VLOOKUP(F4611,Customer,5,0)</f>
        <v>Cottbus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210</v>
      </c>
      <c r="O4611" s="2">
        <v>30</v>
      </c>
      <c r="P4611" s="8">
        <f t="shared" si="357"/>
        <v>240</v>
      </c>
      <c r="Q4611" s="8">
        <f t="shared" si="358"/>
        <v>19</v>
      </c>
      <c r="R4611" s="2" t="s">
        <v>50</v>
      </c>
      <c r="S4611" s="24">
        <f t="shared" si="359"/>
        <v>0.02</v>
      </c>
    </row>
    <row r="4612" spans="1:19" x14ac:dyDescent="0.25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>VLOOKUP(F4612,'Customer Info'!$A:$B,2,0)</f>
        <v>Craig</v>
      </c>
      <c r="H4612" s="6" t="str">
        <f>VLOOKUP(F4612,'Customer Info'!$A$1:$C$501,3,0)</f>
        <v>Carreira</v>
      </c>
      <c r="I4612" s="6" t="str">
        <f>VLOOKUP(F4612,Customer,5,0)</f>
        <v>Worms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5845</v>
      </c>
      <c r="O4612" s="2">
        <v>37</v>
      </c>
      <c r="P4612" s="8">
        <f t="shared" si="357"/>
        <v>5882</v>
      </c>
      <c r="Q4612" s="8">
        <f t="shared" si="358"/>
        <v>273</v>
      </c>
      <c r="R4612" s="2" t="s">
        <v>28</v>
      </c>
      <c r="S4612" s="24">
        <f t="shared" si="359"/>
        <v>0.05</v>
      </c>
    </row>
    <row r="4613" spans="1:19" x14ac:dyDescent="0.25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>VLOOKUP(F4613,'Customer Info'!$A:$B,2,0)</f>
        <v>Russell</v>
      </c>
      <c r="H4613" s="6" t="str">
        <f>VLOOKUP(F4613,'Customer Info'!$A$1:$C$501,3,0)</f>
        <v>Applegate</v>
      </c>
      <c r="I4613" s="6" t="str">
        <f>VLOOKUP(F4613,Customer,5,0)</f>
        <v>Gorakhpur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9444</v>
      </c>
      <c r="O4613" s="2">
        <v>23</v>
      </c>
      <c r="P4613" s="8">
        <f t="shared" si="357"/>
        <v>9467</v>
      </c>
      <c r="Q4613" s="8">
        <f t="shared" si="358"/>
        <v>696</v>
      </c>
      <c r="R4613" s="2" t="s">
        <v>28</v>
      </c>
      <c r="S4613" s="24">
        <f t="shared" si="359"/>
        <v>0.05</v>
      </c>
    </row>
    <row r="4614" spans="1:19" x14ac:dyDescent="0.25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>VLOOKUP(F4614,'Customer Info'!$A:$B,2,0)</f>
        <v>Maribeth</v>
      </c>
      <c r="H4614" s="6" t="str">
        <f>VLOOKUP(F4614,'Customer Info'!$A$1:$C$501,3,0)</f>
        <v>Dona</v>
      </c>
      <c r="I4614" s="6" t="str">
        <f>VLOOKUP(F4614,Customer,5,0)</f>
        <v>Adelaide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8068</v>
      </c>
      <c r="O4614" s="2">
        <v>35</v>
      </c>
      <c r="P4614" s="8">
        <f t="shared" si="357"/>
        <v>8103</v>
      </c>
      <c r="Q4614" s="8">
        <f t="shared" si="358"/>
        <v>732</v>
      </c>
      <c r="R4614" s="2" t="s">
        <v>28</v>
      </c>
      <c r="S4614" s="24">
        <f t="shared" si="359"/>
        <v>0.05</v>
      </c>
    </row>
    <row r="4615" spans="1:19" x14ac:dyDescent="0.25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>VLOOKUP(F4615,'Customer Info'!$A:$B,2,0)</f>
        <v>Jenna</v>
      </c>
      <c r="H4615" s="6" t="str">
        <f>VLOOKUP(F4615,'Customer Info'!$A$1:$C$501,3,0)</f>
        <v>Caffey</v>
      </c>
      <c r="I4615" s="6" t="str">
        <f>VLOOKUP(F4615,Customer,5,0)</f>
        <v>Kanpur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6492</v>
      </c>
      <c r="O4615" s="2">
        <v>77</v>
      </c>
      <c r="P4615" s="8">
        <f t="shared" si="357"/>
        <v>6569</v>
      </c>
      <c r="Q4615" s="8">
        <f t="shared" si="358"/>
        <v>308</v>
      </c>
      <c r="R4615" s="2" t="s">
        <v>28</v>
      </c>
      <c r="S4615" s="24">
        <f t="shared" si="359"/>
        <v>0.05</v>
      </c>
    </row>
    <row r="4616" spans="1:19" x14ac:dyDescent="0.25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>VLOOKUP(F4616,'Customer Info'!$A:$B,2,0)</f>
        <v>Brian</v>
      </c>
      <c r="H4616" s="6" t="str">
        <f>VLOOKUP(F4616,'Customer Info'!$A$1:$C$501,3,0)</f>
        <v>Stugart</v>
      </c>
      <c r="I4616" s="6" t="str">
        <f>VLOOKUP(F4616,Customer,5,0)</f>
        <v>Jakarta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1552</v>
      </c>
      <c r="O4616" s="2">
        <v>30</v>
      </c>
      <c r="P4616" s="8">
        <f t="shared" si="357"/>
        <v>1582</v>
      </c>
      <c r="Q4616" s="8">
        <f t="shared" si="358"/>
        <v>144</v>
      </c>
      <c r="R4616" s="2" t="s">
        <v>50</v>
      </c>
      <c r="S4616" s="24">
        <f t="shared" si="359"/>
        <v>0.02</v>
      </c>
    </row>
    <row r="4617" spans="1:19" x14ac:dyDescent="0.25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>VLOOKUP(F4617,'Customer Info'!$A:$B,2,0)</f>
        <v>Anemone</v>
      </c>
      <c r="H4617" s="6" t="str">
        <f>VLOOKUP(F4617,'Customer Info'!$A$1:$C$501,3,0)</f>
        <v>Ratner</v>
      </c>
      <c r="I4617" s="6" t="str">
        <f>VLOOKUP(F4617,Customer,5,0)</f>
        <v>Pune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755</v>
      </c>
      <c r="O4617" s="2">
        <v>30</v>
      </c>
      <c r="P4617" s="8">
        <f t="shared" si="357"/>
        <v>785</v>
      </c>
      <c r="Q4617" s="8">
        <f t="shared" si="358"/>
        <v>60</v>
      </c>
      <c r="R4617" s="2" t="s">
        <v>50</v>
      </c>
      <c r="S4617" s="24">
        <f t="shared" si="359"/>
        <v>0.02</v>
      </c>
    </row>
    <row r="4618" spans="1:19" x14ac:dyDescent="0.25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>VLOOKUP(F4618,'Customer Info'!$A:$B,2,0)</f>
        <v>Peter</v>
      </c>
      <c r="H4618" s="6" t="str">
        <f>VLOOKUP(F4618,'Customer Info'!$A$1:$C$501,3,0)</f>
        <v>BŸhler</v>
      </c>
      <c r="I4618" s="6" t="str">
        <f>VLOOKUP(F4618,Customer,5,0)</f>
        <v>Dresden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204</v>
      </c>
      <c r="O4618" s="2">
        <v>10</v>
      </c>
      <c r="P4618" s="8">
        <f t="shared" si="357"/>
        <v>214</v>
      </c>
      <c r="Q4618" s="8">
        <f t="shared" si="358"/>
        <v>15</v>
      </c>
      <c r="R4618" s="2" t="s">
        <v>50</v>
      </c>
      <c r="S4618" s="24">
        <f t="shared" si="359"/>
        <v>0.02</v>
      </c>
    </row>
    <row r="4619" spans="1:19" x14ac:dyDescent="0.25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>VLOOKUP(F4619,'Customer Info'!$A:$B,2,0)</f>
        <v>Helen</v>
      </c>
      <c r="H4619" s="6" t="str">
        <f>VLOOKUP(F4619,'Customer Info'!$A$1:$C$501,3,0)</f>
        <v>Abelman</v>
      </c>
      <c r="I4619" s="6" t="str">
        <f>VLOOKUP(F4619,Customer,5,0)</f>
        <v>Berlin</v>
      </c>
      <c r="J4619" s="2">
        <v>1615</v>
      </c>
      <c r="K4619" s="2">
        <v>1525</v>
      </c>
      <c r="L4619" s="2">
        <v>2</v>
      </c>
      <c r="M4619" s="7">
        <f t="shared" ref="M4619:M4682" si="360">K4619*L4619</f>
        <v>3050</v>
      </c>
      <c r="N4619" s="7">
        <f t="shared" ref="N4619:N4682" si="361">J4619*L4619</f>
        <v>3230</v>
      </c>
      <c r="O4619" s="2">
        <v>52</v>
      </c>
      <c r="P4619" s="8">
        <f t="shared" ref="P4619:P4682" si="362">N4619+O4619</f>
        <v>3282</v>
      </c>
      <c r="Q4619" s="8">
        <f t="shared" ref="Q4619:Q4682" si="363">N4619-M4619</f>
        <v>180</v>
      </c>
      <c r="R4619" s="2" t="s">
        <v>50</v>
      </c>
      <c r="S4619" s="24">
        <f t="shared" ref="S4619:S4682" si="364">VLOOKUP(N4619,$T$1:$U$7,2,TRUE)</f>
        <v>0.02</v>
      </c>
    </row>
    <row r="4620" spans="1:19" x14ac:dyDescent="0.25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>VLOOKUP(F4620,'Customer Info'!$A:$B,2,0)</f>
        <v>Meg</v>
      </c>
      <c r="H4620" s="6" t="str">
        <f>VLOOKUP(F4620,'Customer Info'!$A$1:$C$501,3,0)</f>
        <v>Tillman</v>
      </c>
      <c r="I4620" s="6" t="str">
        <f>VLOOKUP(F4620,Customer,5,0)</f>
        <v>Melbourne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8">
        <f t="shared" si="362"/>
        <v>669</v>
      </c>
      <c r="Q4620" s="8">
        <f t="shared" si="363"/>
        <v>42</v>
      </c>
      <c r="R4620" s="2" t="s">
        <v>28</v>
      </c>
      <c r="S4620" s="24">
        <f t="shared" si="364"/>
        <v>0.02</v>
      </c>
    </row>
    <row r="4621" spans="1:19" x14ac:dyDescent="0.25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>VLOOKUP(F4621,'Customer Info'!$A:$B,2,0)</f>
        <v>Sara</v>
      </c>
      <c r="H4621" s="6" t="str">
        <f>VLOOKUP(F4621,'Customer Info'!$A$1:$C$501,3,0)</f>
        <v>Luxemburg</v>
      </c>
      <c r="I4621" s="6" t="str">
        <f>VLOOKUP(F4621,Customer,5,0)</f>
        <v>Luoyang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8">
        <f t="shared" si="362"/>
        <v>2957</v>
      </c>
      <c r="Q4621" s="8">
        <f t="shared" si="363"/>
        <v>320</v>
      </c>
      <c r="R4621" s="2" t="s">
        <v>50</v>
      </c>
      <c r="S4621" s="24">
        <f t="shared" si="364"/>
        <v>0.02</v>
      </c>
    </row>
    <row r="4622" spans="1:19" x14ac:dyDescent="0.25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>VLOOKUP(F4622,'Customer Info'!$A:$B,2,0)</f>
        <v>Alejandro</v>
      </c>
      <c r="H4622" s="6" t="str">
        <f>VLOOKUP(F4622,'Customer Info'!$A$1:$C$501,3,0)</f>
        <v>Ballentine</v>
      </c>
      <c r="I4622" s="6" t="str">
        <f>VLOOKUP(F4622,Customer,5,0)</f>
        <v>Mannheim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8">
        <f t="shared" si="362"/>
        <v>3440</v>
      </c>
      <c r="Q4622" s="8">
        <f t="shared" si="363"/>
        <v>193</v>
      </c>
      <c r="R4622" s="2" t="s">
        <v>28</v>
      </c>
      <c r="S4622" s="24">
        <f t="shared" si="364"/>
        <v>0.02</v>
      </c>
    </row>
    <row r="4623" spans="1:19" x14ac:dyDescent="0.25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>VLOOKUP(F4623,'Customer Info'!$A:$B,2,0)</f>
        <v>Laura</v>
      </c>
      <c r="H4623" s="6" t="str">
        <f>VLOOKUP(F4623,'Customer Info'!$A$1:$C$501,3,0)</f>
        <v>Armstrong</v>
      </c>
      <c r="I4623" s="6" t="str">
        <f>VLOOKUP(F4623,Customer,5,0)</f>
        <v>Torquay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8">
        <f t="shared" si="362"/>
        <v>15284</v>
      </c>
      <c r="Q4623" s="8">
        <f t="shared" si="363"/>
        <v>1118</v>
      </c>
      <c r="R4623" s="2" t="s">
        <v>50</v>
      </c>
      <c r="S4623" s="24">
        <f t="shared" si="364"/>
        <v>0.05</v>
      </c>
    </row>
    <row r="4624" spans="1:19" x14ac:dyDescent="0.25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>VLOOKUP(F4624,'Customer Info'!$A:$B,2,0)</f>
        <v>Charles</v>
      </c>
      <c r="H4624" s="6" t="str">
        <f>VLOOKUP(F4624,'Customer Info'!$A$1:$C$501,3,0)</f>
        <v>Sheldon</v>
      </c>
      <c r="I4624" s="6" t="str">
        <f>VLOOKUP(F4624,Customer,5,0)</f>
        <v>Jakarta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4074</v>
      </c>
      <c r="O4624" s="2">
        <v>28</v>
      </c>
      <c r="P4624" s="8">
        <f t="shared" si="362"/>
        <v>4102</v>
      </c>
      <c r="Q4624" s="8">
        <f t="shared" si="363"/>
        <v>192</v>
      </c>
      <c r="R4624" s="2" t="s">
        <v>28</v>
      </c>
      <c r="S4624" s="24">
        <f t="shared" si="364"/>
        <v>0.02</v>
      </c>
    </row>
    <row r="4625" spans="1:19" x14ac:dyDescent="0.25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>VLOOKUP(F4625,'Customer Info'!$A:$B,2,0)</f>
        <v>Darrin</v>
      </c>
      <c r="H4625" s="6" t="str">
        <f>VLOOKUP(F4625,'Customer Info'!$A$1:$C$501,3,0)</f>
        <v>Martin</v>
      </c>
      <c r="I4625" s="6" t="str">
        <f>VLOOKUP(F4625,Customer,5,0)</f>
        <v>Berlin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915</v>
      </c>
      <c r="O4625" s="2">
        <v>30</v>
      </c>
      <c r="P4625" s="8">
        <f t="shared" si="362"/>
        <v>945</v>
      </c>
      <c r="Q4625" s="8">
        <f t="shared" si="363"/>
        <v>75</v>
      </c>
      <c r="R4625" s="2" t="s">
        <v>28</v>
      </c>
      <c r="S4625" s="24">
        <f t="shared" si="364"/>
        <v>0.02</v>
      </c>
    </row>
    <row r="4626" spans="1:19" x14ac:dyDescent="0.25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>VLOOKUP(F4626,'Customer Info'!$A:$B,2,0)</f>
        <v>Frank</v>
      </c>
      <c r="H4626" s="6" t="str">
        <f>VLOOKUP(F4626,'Customer Info'!$A$1:$C$501,3,0)</f>
        <v>Hawley</v>
      </c>
      <c r="I4626" s="6" t="str">
        <f>VLOOKUP(F4626,Customer,5,0)</f>
        <v>Gold Coast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116</v>
      </c>
      <c r="O4626" s="2">
        <v>10</v>
      </c>
      <c r="P4626" s="8">
        <f t="shared" si="362"/>
        <v>126</v>
      </c>
      <c r="Q4626" s="8">
        <f t="shared" si="363"/>
        <v>4</v>
      </c>
      <c r="R4626" s="2" t="s">
        <v>26</v>
      </c>
      <c r="S4626" s="24">
        <f t="shared" si="364"/>
        <v>0.02</v>
      </c>
    </row>
    <row r="4627" spans="1:19" x14ac:dyDescent="0.25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>VLOOKUP(F4627,'Customer Info'!$A:$B,2,0)</f>
        <v>David</v>
      </c>
      <c r="H4627" s="6" t="str">
        <f>VLOOKUP(F4627,'Customer Info'!$A$1:$C$501,3,0)</f>
        <v>Kendrick</v>
      </c>
      <c r="I4627" s="6" t="str">
        <f>VLOOKUP(F4627,Customer,5,0)</f>
        <v>Kunming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1530</v>
      </c>
      <c r="O4627" s="2">
        <v>98</v>
      </c>
      <c r="P4627" s="8">
        <f t="shared" si="362"/>
        <v>1628</v>
      </c>
      <c r="Q4627" s="8">
        <f t="shared" si="363"/>
        <v>128</v>
      </c>
      <c r="R4627" s="2" t="s">
        <v>50</v>
      </c>
      <c r="S4627" s="24">
        <f t="shared" si="364"/>
        <v>0.02</v>
      </c>
    </row>
    <row r="4628" spans="1:19" x14ac:dyDescent="0.25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>VLOOKUP(F4628,'Customer Info'!$A:$B,2,0)</f>
        <v>Darrin</v>
      </c>
      <c r="H4628" s="6" t="str">
        <f>VLOOKUP(F4628,'Customer Info'!$A$1:$C$501,3,0)</f>
        <v>Martin</v>
      </c>
      <c r="I4628" s="6" t="str">
        <f>VLOOKUP(F4628,Customer,5,0)</f>
        <v>Berlin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4840</v>
      </c>
      <c r="O4628" s="2">
        <v>28</v>
      </c>
      <c r="P4628" s="8">
        <f t="shared" si="362"/>
        <v>4868</v>
      </c>
      <c r="Q4628" s="8">
        <f t="shared" si="363"/>
        <v>184</v>
      </c>
      <c r="R4628" s="2" t="s">
        <v>28</v>
      </c>
      <c r="S4628" s="24">
        <f t="shared" si="364"/>
        <v>0.02</v>
      </c>
    </row>
    <row r="4629" spans="1:19" x14ac:dyDescent="0.25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>VLOOKUP(F4629,'Customer Info'!$A:$B,2,0)</f>
        <v>Michael</v>
      </c>
      <c r="H4629" s="6" t="str">
        <f>VLOOKUP(F4629,'Customer Info'!$A$1:$C$501,3,0)</f>
        <v>Moore</v>
      </c>
      <c r="I4629" s="6" t="str">
        <f>VLOOKUP(F4629,Customer,5,0)</f>
        <v>Vadodara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5100</v>
      </c>
      <c r="O4629" s="2">
        <v>82</v>
      </c>
      <c r="P4629" s="8">
        <f t="shared" si="362"/>
        <v>5182</v>
      </c>
      <c r="Q4629" s="8">
        <f t="shared" si="363"/>
        <v>240</v>
      </c>
      <c r="R4629" s="2" t="s">
        <v>28</v>
      </c>
      <c r="S4629" s="24">
        <f t="shared" si="364"/>
        <v>0.05</v>
      </c>
    </row>
    <row r="4630" spans="1:19" x14ac:dyDescent="0.25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>VLOOKUP(F4630,'Customer Info'!$A:$B,2,0)</f>
        <v>Duane</v>
      </c>
      <c r="H4630" s="6" t="str">
        <f>VLOOKUP(F4630,'Customer Info'!$A$1:$C$501,3,0)</f>
        <v>Noonan</v>
      </c>
      <c r="I4630" s="6" t="str">
        <f>VLOOKUP(F4630,Customer,5,0)</f>
        <v>Durg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6611</v>
      </c>
      <c r="O4630" s="2">
        <v>58</v>
      </c>
      <c r="P4630" s="8">
        <f t="shared" si="362"/>
        <v>6669</v>
      </c>
      <c r="Q4630" s="8">
        <f t="shared" si="363"/>
        <v>668</v>
      </c>
      <c r="R4630" s="2" t="s">
        <v>26</v>
      </c>
      <c r="S4630" s="24">
        <f t="shared" si="364"/>
        <v>0.05</v>
      </c>
    </row>
    <row r="4631" spans="1:19" x14ac:dyDescent="0.25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>VLOOKUP(F4631,'Customer Info'!$A:$B,2,0)</f>
        <v>Vivek</v>
      </c>
      <c r="H4631" s="6" t="str">
        <f>VLOOKUP(F4631,'Customer Info'!$A$1:$C$501,3,0)</f>
        <v>Gonzalez</v>
      </c>
      <c r="I4631" s="6" t="str">
        <f>VLOOKUP(F4631,Customer,5,0)</f>
        <v>Nanyang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42084</v>
      </c>
      <c r="O4631" s="2">
        <v>51</v>
      </c>
      <c r="P4631" s="8">
        <f t="shared" si="362"/>
        <v>42135</v>
      </c>
      <c r="Q4631" s="8">
        <f t="shared" si="363"/>
        <v>2345</v>
      </c>
      <c r="R4631" s="2" t="s">
        <v>50</v>
      </c>
      <c r="S4631" s="24">
        <f t="shared" si="364"/>
        <v>7.0000000000000007E-2</v>
      </c>
    </row>
    <row r="4632" spans="1:19" x14ac:dyDescent="0.25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>VLOOKUP(F4632,'Customer Info'!$A:$B,2,0)</f>
        <v>Ted</v>
      </c>
      <c r="H4632" s="6" t="str">
        <f>VLOOKUP(F4632,'Customer Info'!$A$1:$C$501,3,0)</f>
        <v>Trevino</v>
      </c>
      <c r="I4632" s="6" t="str">
        <f>VLOOKUP(F4632,Customer,5,0)</f>
        <v>Gold Coast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1623</v>
      </c>
      <c r="O4632" s="2">
        <v>45</v>
      </c>
      <c r="P4632" s="8">
        <f t="shared" si="362"/>
        <v>1668</v>
      </c>
      <c r="Q4632" s="8">
        <f t="shared" si="363"/>
        <v>77</v>
      </c>
      <c r="R4632" s="2" t="s">
        <v>28</v>
      </c>
      <c r="S4632" s="24">
        <f t="shared" si="364"/>
        <v>0.02</v>
      </c>
    </row>
    <row r="4633" spans="1:19" x14ac:dyDescent="0.25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>VLOOKUP(F4633,'Customer Info'!$A:$B,2,0)</f>
        <v>Adrian</v>
      </c>
      <c r="H4633" s="6" t="str">
        <f>VLOOKUP(F4633,'Customer Info'!$A$1:$C$501,3,0)</f>
        <v>Barton</v>
      </c>
      <c r="I4633" s="6" t="str">
        <f>VLOOKUP(F4633,Customer,5,0)</f>
        <v>Wetzlar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290</v>
      </c>
      <c r="O4633" s="2">
        <v>30</v>
      </c>
      <c r="P4633" s="8">
        <f t="shared" si="362"/>
        <v>320</v>
      </c>
      <c r="Q4633" s="8">
        <f t="shared" si="363"/>
        <v>30</v>
      </c>
      <c r="R4633" s="2" t="s">
        <v>50</v>
      </c>
      <c r="S4633" s="24">
        <f t="shared" si="364"/>
        <v>0.02</v>
      </c>
    </row>
    <row r="4634" spans="1:19" x14ac:dyDescent="0.25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>VLOOKUP(F4634,'Customer Info'!$A:$B,2,0)</f>
        <v>Adam</v>
      </c>
      <c r="H4634" s="6" t="str">
        <f>VLOOKUP(F4634,'Customer Info'!$A$1:$C$501,3,0)</f>
        <v>Bellavance</v>
      </c>
      <c r="I4634" s="6" t="str">
        <f>VLOOKUP(F4634,Customer,5,0)</f>
        <v>Kwinana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3138</v>
      </c>
      <c r="O4634" s="2">
        <v>57</v>
      </c>
      <c r="P4634" s="8">
        <f t="shared" si="362"/>
        <v>3195</v>
      </c>
      <c r="Q4634" s="8">
        <f t="shared" si="363"/>
        <v>206</v>
      </c>
      <c r="R4634" s="2" t="s">
        <v>50</v>
      </c>
      <c r="S4634" s="24">
        <f t="shared" si="364"/>
        <v>0.02</v>
      </c>
    </row>
    <row r="4635" spans="1:19" x14ac:dyDescent="0.25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>VLOOKUP(F4635,'Customer Info'!$A:$B,2,0)</f>
        <v>Deanra</v>
      </c>
      <c r="H4635" s="6" t="str">
        <f>VLOOKUP(F4635,'Customer Info'!$A$1:$C$501,3,0)</f>
        <v>Eno</v>
      </c>
      <c r="I4635" s="6" t="str">
        <f>VLOOKUP(F4635,Customer,5,0)</f>
        <v>Langen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1169</v>
      </c>
      <c r="O4635" s="2">
        <v>43</v>
      </c>
      <c r="P4635" s="8">
        <f t="shared" si="362"/>
        <v>1212</v>
      </c>
      <c r="Q4635" s="8">
        <f t="shared" si="363"/>
        <v>97</v>
      </c>
      <c r="R4635" s="2" t="s">
        <v>50</v>
      </c>
      <c r="S4635" s="24">
        <f t="shared" si="364"/>
        <v>0.02</v>
      </c>
    </row>
    <row r="4636" spans="1:19" x14ac:dyDescent="0.25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>VLOOKUP(F4636,'Customer Info'!$A:$B,2,0)</f>
        <v>Kelly</v>
      </c>
      <c r="H4636" s="6" t="str">
        <f>VLOOKUP(F4636,'Customer Info'!$A$1:$C$501,3,0)</f>
        <v>Collister</v>
      </c>
      <c r="I4636" s="6" t="str">
        <f>VLOOKUP(F4636,Customer,5,0)</f>
        <v>Tangshan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856</v>
      </c>
      <c r="O4636" s="2">
        <v>44</v>
      </c>
      <c r="P4636" s="8">
        <f t="shared" si="362"/>
        <v>900</v>
      </c>
      <c r="Q4636" s="8">
        <f t="shared" si="363"/>
        <v>60</v>
      </c>
      <c r="R4636" s="2" t="s">
        <v>28</v>
      </c>
      <c r="S4636" s="24">
        <f t="shared" si="364"/>
        <v>0.02</v>
      </c>
    </row>
    <row r="4637" spans="1:19" x14ac:dyDescent="0.25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>VLOOKUP(F4637,'Customer Info'!$A:$B,2,0)</f>
        <v>Peter</v>
      </c>
      <c r="H4637" s="6" t="str">
        <f>VLOOKUP(F4637,'Customer Info'!$A$1:$C$501,3,0)</f>
        <v>McVee</v>
      </c>
      <c r="I4637" s="6" t="str">
        <f>VLOOKUP(F4637,Customer,5,0)</f>
        <v>Hamburg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12575</v>
      </c>
      <c r="O4637" s="2">
        <v>34</v>
      </c>
      <c r="P4637" s="8">
        <f t="shared" si="362"/>
        <v>12609</v>
      </c>
      <c r="Q4637" s="8">
        <f t="shared" si="363"/>
        <v>590</v>
      </c>
      <c r="R4637" s="2" t="s">
        <v>50</v>
      </c>
      <c r="S4637" s="24">
        <f t="shared" si="364"/>
        <v>0.05</v>
      </c>
    </row>
    <row r="4638" spans="1:19" x14ac:dyDescent="0.25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>VLOOKUP(F4638,'Customer Info'!$A:$B,2,0)</f>
        <v>Roy</v>
      </c>
      <c r="H4638" s="6" t="str">
        <f>VLOOKUP(F4638,'Customer Info'!$A$1:$C$501,3,0)</f>
        <v>Phan</v>
      </c>
      <c r="I4638" s="6" t="str">
        <f>VLOOKUP(F4638,Customer,5,0)</f>
        <v>Melbourne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3220</v>
      </c>
      <c r="O4638" s="2">
        <v>20</v>
      </c>
      <c r="P4638" s="8">
        <f t="shared" si="362"/>
        <v>3240</v>
      </c>
      <c r="Q4638" s="8">
        <f t="shared" si="363"/>
        <v>236</v>
      </c>
      <c r="R4638" s="2" t="s">
        <v>50</v>
      </c>
      <c r="S4638" s="24">
        <f t="shared" si="364"/>
        <v>0.02</v>
      </c>
    </row>
    <row r="4639" spans="1:19" x14ac:dyDescent="0.25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>VLOOKUP(F4639,'Customer Info'!$A:$B,2,0)</f>
        <v>Max</v>
      </c>
      <c r="H4639" s="6" t="str">
        <f>VLOOKUP(F4639,'Customer Info'!$A$1:$C$501,3,0)</f>
        <v>Ludwig</v>
      </c>
      <c r="I4639" s="6" t="str">
        <f>VLOOKUP(F4639,Customer,5,0)</f>
        <v>Newcastle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14464</v>
      </c>
      <c r="O4639" s="2">
        <v>54</v>
      </c>
      <c r="P4639" s="8">
        <f t="shared" si="362"/>
        <v>14518</v>
      </c>
      <c r="Q4639" s="8">
        <f t="shared" si="363"/>
        <v>958</v>
      </c>
      <c r="R4639" s="2" t="s">
        <v>50</v>
      </c>
      <c r="S4639" s="24">
        <f t="shared" si="364"/>
        <v>0.05</v>
      </c>
    </row>
    <row r="4640" spans="1:19" x14ac:dyDescent="0.25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>VLOOKUP(F4640,'Customer Info'!$A:$B,2,0)</f>
        <v>Shahid</v>
      </c>
      <c r="H4640" s="6" t="str">
        <f>VLOOKUP(F4640,'Customer Info'!$A$1:$C$501,3,0)</f>
        <v>Collister</v>
      </c>
      <c r="I4640" s="6" t="str">
        <f>VLOOKUP(F4640,Customer,5,0)</f>
        <v>Leipzig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4240</v>
      </c>
      <c r="O4640" s="2">
        <v>91</v>
      </c>
      <c r="P4640" s="8">
        <f t="shared" si="362"/>
        <v>4331</v>
      </c>
      <c r="Q4640" s="8">
        <f t="shared" si="363"/>
        <v>384</v>
      </c>
      <c r="R4640" s="2" t="s">
        <v>28</v>
      </c>
      <c r="S4640" s="24">
        <f t="shared" si="364"/>
        <v>0.02</v>
      </c>
    </row>
    <row r="4641" spans="1:19" x14ac:dyDescent="0.25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>VLOOKUP(F4641,'Customer Info'!$A:$B,2,0)</f>
        <v>Eugene</v>
      </c>
      <c r="H4641" s="6" t="str">
        <f>VLOOKUP(F4641,'Customer Info'!$A$1:$C$501,3,0)</f>
        <v>Barchas</v>
      </c>
      <c r="I4641" s="6" t="str">
        <f>VLOOKUP(F4641,Customer,5,0)</f>
        <v>Aksu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73556</v>
      </c>
      <c r="O4641" s="2">
        <v>81</v>
      </c>
      <c r="P4641" s="8">
        <f t="shared" si="362"/>
        <v>73637</v>
      </c>
      <c r="Q4641" s="8">
        <f t="shared" si="363"/>
        <v>4138</v>
      </c>
      <c r="R4641" s="2" t="s">
        <v>28</v>
      </c>
      <c r="S4641" s="24">
        <f t="shared" si="364"/>
        <v>0.09</v>
      </c>
    </row>
    <row r="4642" spans="1:19" x14ac:dyDescent="0.25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>VLOOKUP(F4642,'Customer Info'!$A:$B,2,0)</f>
        <v>Max</v>
      </c>
      <c r="H4642" s="6" t="str">
        <f>VLOOKUP(F4642,'Customer Info'!$A$1:$C$501,3,0)</f>
        <v>Ludwig</v>
      </c>
      <c r="I4642" s="6" t="str">
        <f>VLOOKUP(F4642,Customer,5,0)</f>
        <v>Newcastle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172634</v>
      </c>
      <c r="O4642" s="2">
        <v>93</v>
      </c>
      <c r="P4642" s="8">
        <f t="shared" si="362"/>
        <v>172727</v>
      </c>
      <c r="Q4642" s="8">
        <f t="shared" si="363"/>
        <v>11207</v>
      </c>
      <c r="R4642" s="2" t="s">
        <v>28</v>
      </c>
      <c r="S4642" s="24">
        <f t="shared" si="364"/>
        <v>0.12</v>
      </c>
    </row>
    <row r="4643" spans="1:19" x14ac:dyDescent="0.25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>VLOOKUP(F4643,'Customer Info'!$A:$B,2,0)</f>
        <v>Cathy</v>
      </c>
      <c r="H4643" s="6" t="str">
        <f>VLOOKUP(F4643,'Customer Info'!$A$1:$C$501,3,0)</f>
        <v>Hwang</v>
      </c>
      <c r="I4643" s="6" t="str">
        <f>VLOOKUP(F4643,Customer,5,0)</f>
        <v>Ballarat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183</v>
      </c>
      <c r="O4643" s="2">
        <v>10</v>
      </c>
      <c r="P4643" s="8">
        <f t="shared" si="362"/>
        <v>193</v>
      </c>
      <c r="Q4643" s="8">
        <f t="shared" si="363"/>
        <v>12</v>
      </c>
      <c r="R4643" s="2" t="s">
        <v>28</v>
      </c>
      <c r="S4643" s="24">
        <f t="shared" si="364"/>
        <v>0.02</v>
      </c>
    </row>
    <row r="4644" spans="1:19" x14ac:dyDescent="0.25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>VLOOKUP(F4644,'Customer Info'!$A:$B,2,0)</f>
        <v>Craig</v>
      </c>
      <c r="H4644" s="6" t="str">
        <f>VLOOKUP(F4644,'Customer Info'!$A$1:$C$501,3,0)</f>
        <v>Carreira</v>
      </c>
      <c r="I4644" s="6" t="str">
        <f>VLOOKUP(F4644,Customer,5,0)</f>
        <v>Worms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4341</v>
      </c>
      <c r="O4644" s="2">
        <v>66</v>
      </c>
      <c r="P4644" s="8">
        <f t="shared" si="362"/>
        <v>4407</v>
      </c>
      <c r="Q4644" s="8">
        <f t="shared" si="363"/>
        <v>363</v>
      </c>
      <c r="R4644" s="2" t="s">
        <v>28</v>
      </c>
      <c r="S4644" s="24">
        <f t="shared" si="364"/>
        <v>0.02</v>
      </c>
    </row>
    <row r="4645" spans="1:19" x14ac:dyDescent="0.25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>VLOOKUP(F4645,'Customer Info'!$A:$B,2,0)</f>
        <v>Eugene</v>
      </c>
      <c r="H4645" s="6" t="str">
        <f>VLOOKUP(F4645,'Customer Info'!$A$1:$C$501,3,0)</f>
        <v>Barchas</v>
      </c>
      <c r="I4645" s="6" t="str">
        <f>VLOOKUP(F4645,Customer,5,0)</f>
        <v>Aksu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10164</v>
      </c>
      <c r="O4645" s="2">
        <v>65</v>
      </c>
      <c r="P4645" s="8">
        <f t="shared" si="362"/>
        <v>10229</v>
      </c>
      <c r="Q4645" s="8">
        <f t="shared" si="363"/>
        <v>1120</v>
      </c>
      <c r="R4645" s="2" t="s">
        <v>28</v>
      </c>
      <c r="S4645" s="24">
        <f t="shared" si="364"/>
        <v>0.05</v>
      </c>
    </row>
    <row r="4646" spans="1:19" x14ac:dyDescent="0.25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>VLOOKUP(F4646,'Customer Info'!$A:$B,2,0)</f>
        <v>Lindsay</v>
      </c>
      <c r="H4646" s="6" t="str">
        <f>VLOOKUP(F4646,'Customer Info'!$A$1:$C$501,3,0)</f>
        <v>Castell</v>
      </c>
      <c r="I4646" s="6" t="str">
        <f>VLOOKUP(F4646,Customer,5,0)</f>
        <v>Depok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26868</v>
      </c>
      <c r="O4646" s="2">
        <v>21</v>
      </c>
      <c r="P4646" s="8">
        <f t="shared" si="362"/>
        <v>26889</v>
      </c>
      <c r="Q4646" s="8">
        <f t="shared" si="363"/>
        <v>1716</v>
      </c>
      <c r="R4646" s="2" t="s">
        <v>28</v>
      </c>
      <c r="S4646" s="24">
        <f t="shared" si="364"/>
        <v>7.0000000000000007E-2</v>
      </c>
    </row>
    <row r="4647" spans="1:19" x14ac:dyDescent="0.25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>VLOOKUP(F4647,'Customer Info'!$A:$B,2,0)</f>
        <v>Evan</v>
      </c>
      <c r="H4647" s="6" t="str">
        <f>VLOOKUP(F4647,'Customer Info'!$A$1:$C$501,3,0)</f>
        <v>Henry</v>
      </c>
      <c r="I4647" s="6" t="str">
        <f>VLOOKUP(F4647,Customer,5,0)</f>
        <v>Zhoukou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21792</v>
      </c>
      <c r="O4647" s="2">
        <v>24</v>
      </c>
      <c r="P4647" s="8">
        <f t="shared" si="362"/>
        <v>21816</v>
      </c>
      <c r="Q4647" s="8">
        <f t="shared" si="363"/>
        <v>1392</v>
      </c>
      <c r="R4647" s="2" t="s">
        <v>56</v>
      </c>
      <c r="S4647" s="24">
        <f t="shared" si="364"/>
        <v>0.05</v>
      </c>
    </row>
    <row r="4648" spans="1:19" x14ac:dyDescent="0.25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>VLOOKUP(F4648,'Customer Info'!$A:$B,2,0)</f>
        <v>Jeremy</v>
      </c>
      <c r="H4648" s="6" t="str">
        <f>VLOOKUP(F4648,'Customer Info'!$A$1:$C$501,3,0)</f>
        <v>Ellison</v>
      </c>
      <c r="I4648" s="6" t="str">
        <f>VLOOKUP(F4648,Customer,5,0)</f>
        <v>Faridabad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501</v>
      </c>
      <c r="O4648" s="2">
        <v>30</v>
      </c>
      <c r="P4648" s="8">
        <f t="shared" si="362"/>
        <v>531</v>
      </c>
      <c r="Q4648" s="8">
        <f t="shared" si="363"/>
        <v>45</v>
      </c>
      <c r="R4648" s="2" t="s">
        <v>28</v>
      </c>
      <c r="S4648" s="24">
        <f t="shared" si="364"/>
        <v>0.02</v>
      </c>
    </row>
    <row r="4649" spans="1:19" x14ac:dyDescent="0.25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>VLOOKUP(F4649,'Customer Info'!$A:$B,2,0)</f>
        <v>Rick</v>
      </c>
      <c r="H4649" s="6" t="str">
        <f>VLOOKUP(F4649,'Customer Info'!$A$1:$C$501,3,0)</f>
        <v>Duston</v>
      </c>
      <c r="I4649" s="6" t="str">
        <f>VLOOKUP(F4649,Customer,5,0)</f>
        <v>Surakarta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10824</v>
      </c>
      <c r="O4649" s="2">
        <v>47</v>
      </c>
      <c r="P4649" s="8">
        <f t="shared" si="362"/>
        <v>10871</v>
      </c>
      <c r="Q4649" s="8">
        <f t="shared" si="363"/>
        <v>612</v>
      </c>
      <c r="R4649" s="2" t="s">
        <v>28</v>
      </c>
      <c r="S4649" s="24">
        <f t="shared" si="364"/>
        <v>0.05</v>
      </c>
    </row>
    <row r="4650" spans="1:19" x14ac:dyDescent="0.25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>VLOOKUP(F4650,'Customer Info'!$A:$B,2,0)</f>
        <v>Maureen</v>
      </c>
      <c r="H4650" s="6" t="str">
        <f>VLOOKUP(F4650,'Customer Info'!$A$1:$C$501,3,0)</f>
        <v>Gastineau</v>
      </c>
      <c r="I4650" s="6" t="str">
        <f>VLOOKUP(F4650,Customer,5,0)</f>
        <v>Melton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14142</v>
      </c>
      <c r="O4650" s="2">
        <v>27</v>
      </c>
      <c r="P4650" s="8">
        <f t="shared" si="362"/>
        <v>14169</v>
      </c>
      <c r="Q4650" s="8">
        <f t="shared" si="363"/>
        <v>1173</v>
      </c>
      <c r="R4650" s="2" t="s">
        <v>28</v>
      </c>
      <c r="S4650" s="24">
        <f t="shared" si="364"/>
        <v>0.05</v>
      </c>
    </row>
    <row r="4651" spans="1:19" x14ac:dyDescent="0.25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>VLOOKUP(F4651,'Customer Info'!$A:$B,2,0)</f>
        <v>Roger</v>
      </c>
      <c r="H4651" s="6" t="str">
        <f>VLOOKUP(F4651,'Customer Info'!$A$1:$C$501,3,0)</f>
        <v>Demir</v>
      </c>
      <c r="I4651" s="6" t="str">
        <f>VLOOKUP(F4651,Customer,5,0)</f>
        <v>Wollongong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5874</v>
      </c>
      <c r="O4651" s="2">
        <v>60</v>
      </c>
      <c r="P4651" s="8">
        <f t="shared" si="362"/>
        <v>5934</v>
      </c>
      <c r="Q4651" s="8">
        <f t="shared" si="363"/>
        <v>336</v>
      </c>
      <c r="R4651" s="2" t="s">
        <v>28</v>
      </c>
      <c r="S4651" s="24">
        <f t="shared" si="364"/>
        <v>0.05</v>
      </c>
    </row>
    <row r="4652" spans="1:19" x14ac:dyDescent="0.25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>VLOOKUP(F4652,'Customer Info'!$A:$B,2,0)</f>
        <v>Pamela</v>
      </c>
      <c r="H4652" s="6" t="str">
        <f>VLOOKUP(F4652,'Customer Info'!$A$1:$C$501,3,0)</f>
        <v>Stobb</v>
      </c>
      <c r="I4652" s="6" t="str">
        <f>VLOOKUP(F4652,Customer,5,0)</f>
        <v>Bremen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11036</v>
      </c>
      <c r="O4652" s="2">
        <v>81</v>
      </c>
      <c r="P4652" s="8">
        <f t="shared" si="362"/>
        <v>11117</v>
      </c>
      <c r="Q4652" s="8">
        <f t="shared" si="363"/>
        <v>524</v>
      </c>
      <c r="R4652" s="2" t="s">
        <v>50</v>
      </c>
      <c r="S4652" s="24">
        <f t="shared" si="364"/>
        <v>0.05</v>
      </c>
    </row>
    <row r="4653" spans="1:19" x14ac:dyDescent="0.25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>VLOOKUP(F4653,'Customer Info'!$A:$B,2,0)</f>
        <v>Harold</v>
      </c>
      <c r="H4653" s="6" t="str">
        <f>VLOOKUP(F4653,'Customer Info'!$A$1:$C$501,3,0)</f>
        <v>Engle</v>
      </c>
      <c r="I4653" s="6" t="str">
        <f>VLOOKUP(F4653,Customer,5,0)</f>
        <v>Chennai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2664</v>
      </c>
      <c r="O4653" s="2">
        <v>49</v>
      </c>
      <c r="P4653" s="8">
        <f t="shared" si="362"/>
        <v>2713</v>
      </c>
      <c r="Q4653" s="8">
        <f t="shared" si="363"/>
        <v>100</v>
      </c>
      <c r="R4653" s="2" t="s">
        <v>28</v>
      </c>
      <c r="S4653" s="24">
        <f t="shared" si="364"/>
        <v>0.02</v>
      </c>
    </row>
    <row r="4654" spans="1:19" x14ac:dyDescent="0.25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>VLOOKUP(F4654,'Customer Info'!$A:$B,2,0)</f>
        <v>Beth</v>
      </c>
      <c r="H4654" s="6" t="str">
        <f>VLOOKUP(F4654,'Customer Info'!$A$1:$C$501,3,0)</f>
        <v>Thompson</v>
      </c>
      <c r="I4654" s="6" t="str">
        <f>VLOOKUP(F4654,Customer,5,0)</f>
        <v>Lohne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342</v>
      </c>
      <c r="O4654" s="2">
        <v>30</v>
      </c>
      <c r="P4654" s="8">
        <f t="shared" si="362"/>
        <v>372</v>
      </c>
      <c r="Q4654" s="8">
        <f t="shared" si="363"/>
        <v>36</v>
      </c>
      <c r="R4654" s="2" t="s">
        <v>50</v>
      </c>
      <c r="S4654" s="24">
        <f t="shared" si="364"/>
        <v>0.02</v>
      </c>
    </row>
    <row r="4655" spans="1:19" x14ac:dyDescent="0.25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>VLOOKUP(F4655,'Customer Info'!$A:$B,2,0)</f>
        <v>David</v>
      </c>
      <c r="H4655" s="6" t="str">
        <f>VLOOKUP(F4655,'Customer Info'!$A$1:$C$501,3,0)</f>
        <v>Kendrick</v>
      </c>
      <c r="I4655" s="6" t="str">
        <f>VLOOKUP(F4655,Customer,5,0)</f>
        <v>Kunming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18672</v>
      </c>
      <c r="O4655" s="2">
        <v>46</v>
      </c>
      <c r="P4655" s="8">
        <f t="shared" si="362"/>
        <v>18718</v>
      </c>
      <c r="Q4655" s="8">
        <f t="shared" si="363"/>
        <v>1704</v>
      </c>
      <c r="R4655" s="2" t="s">
        <v>28</v>
      </c>
      <c r="S4655" s="24">
        <f t="shared" si="364"/>
        <v>0.05</v>
      </c>
    </row>
    <row r="4656" spans="1:19" x14ac:dyDescent="0.25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>VLOOKUP(F4656,'Customer Info'!$A:$B,2,0)</f>
        <v>Pamela</v>
      </c>
      <c r="H4656" s="6" t="str">
        <f>VLOOKUP(F4656,'Customer Info'!$A$1:$C$501,3,0)</f>
        <v>Stobb</v>
      </c>
      <c r="I4656" s="6" t="str">
        <f>VLOOKUP(F4656,Customer,5,0)</f>
        <v>Berlin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6530</v>
      </c>
      <c r="O4656" s="2">
        <v>68</v>
      </c>
      <c r="P4656" s="8">
        <f t="shared" si="362"/>
        <v>6598</v>
      </c>
      <c r="Q4656" s="8">
        <f t="shared" si="363"/>
        <v>545</v>
      </c>
      <c r="R4656" s="2" t="s">
        <v>50</v>
      </c>
      <c r="S4656" s="24">
        <f t="shared" si="364"/>
        <v>0.05</v>
      </c>
    </row>
    <row r="4657" spans="1:19" x14ac:dyDescent="0.25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>VLOOKUP(F4657,'Customer Info'!$A:$B,2,0)</f>
        <v>Cari</v>
      </c>
      <c r="H4657" s="6" t="str">
        <f>VLOOKUP(F4657,'Customer Info'!$A$1:$C$501,3,0)</f>
        <v>Schnelling</v>
      </c>
      <c r="I4657" s="6" t="str">
        <f>VLOOKUP(F4657,Customer,5,0)</f>
        <v>Agra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2017</v>
      </c>
      <c r="O4657" s="2">
        <v>68</v>
      </c>
      <c r="P4657" s="8">
        <f t="shared" si="362"/>
        <v>2085</v>
      </c>
      <c r="Q4657" s="8">
        <f t="shared" si="363"/>
        <v>183</v>
      </c>
      <c r="R4657" s="2" t="s">
        <v>28</v>
      </c>
      <c r="S4657" s="24">
        <f t="shared" si="364"/>
        <v>0.02</v>
      </c>
    </row>
    <row r="4658" spans="1:19" x14ac:dyDescent="0.25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>VLOOKUP(F4658,'Customer Info'!$A:$B,2,0)</f>
        <v>Rachel</v>
      </c>
      <c r="H4658" s="6" t="str">
        <f>VLOOKUP(F4658,'Customer Info'!$A$1:$C$501,3,0)</f>
        <v>Payne</v>
      </c>
      <c r="I4658" s="6" t="str">
        <f>VLOOKUP(F4658,Customer,5,0)</f>
        <v>Raipur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29722</v>
      </c>
      <c r="O4658" s="2">
        <v>21</v>
      </c>
      <c r="P4658" s="8">
        <f t="shared" si="362"/>
        <v>29743</v>
      </c>
      <c r="Q4658" s="8">
        <f t="shared" si="363"/>
        <v>2723</v>
      </c>
      <c r="R4658" s="2" t="s">
        <v>28</v>
      </c>
      <c r="S4658" s="24">
        <f t="shared" si="364"/>
        <v>7.0000000000000007E-2</v>
      </c>
    </row>
    <row r="4659" spans="1:19" x14ac:dyDescent="0.25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>VLOOKUP(F4659,'Customer Info'!$A:$B,2,0)</f>
        <v>Troy</v>
      </c>
      <c r="H4659" s="6" t="str">
        <f>VLOOKUP(F4659,'Customer Info'!$A$1:$C$501,3,0)</f>
        <v>Blackwell</v>
      </c>
      <c r="I4659" s="6" t="str">
        <f>VLOOKUP(F4659,Customer,5,0)</f>
        <v>Akola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8988</v>
      </c>
      <c r="O4659" s="2">
        <v>61</v>
      </c>
      <c r="P4659" s="8">
        <f t="shared" si="362"/>
        <v>9049</v>
      </c>
      <c r="Q4659" s="8">
        <f t="shared" si="363"/>
        <v>978</v>
      </c>
      <c r="R4659" s="2" t="s">
        <v>28</v>
      </c>
      <c r="S4659" s="24">
        <f t="shared" si="364"/>
        <v>0.05</v>
      </c>
    </row>
    <row r="4660" spans="1:19" x14ac:dyDescent="0.25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>VLOOKUP(F4660,'Customer Info'!$A:$B,2,0)</f>
        <v>Allen</v>
      </c>
      <c r="H4660" s="6" t="str">
        <f>VLOOKUP(F4660,'Customer Info'!$A$1:$C$501,3,0)</f>
        <v>Rosenblatt</v>
      </c>
      <c r="I4660" s="6" t="str">
        <f>VLOOKUP(F4660,Customer,5,0)</f>
        <v>Chaozhou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382</v>
      </c>
      <c r="O4660" s="2">
        <v>30</v>
      </c>
      <c r="P4660" s="8">
        <f t="shared" si="362"/>
        <v>412</v>
      </c>
      <c r="Q4660" s="8">
        <f t="shared" si="363"/>
        <v>42</v>
      </c>
      <c r="R4660" s="2" t="s">
        <v>28</v>
      </c>
      <c r="S4660" s="24">
        <f t="shared" si="364"/>
        <v>0.02</v>
      </c>
    </row>
    <row r="4661" spans="1:19" x14ac:dyDescent="0.25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>VLOOKUP(F4661,'Customer Info'!$A:$B,2,0)</f>
        <v>Kunst</v>
      </c>
      <c r="H4661" s="6" t="str">
        <f>VLOOKUP(F4661,'Customer Info'!$A$1:$C$501,3,0)</f>
        <v>Miller</v>
      </c>
      <c r="I4661" s="6" t="str">
        <f>VLOOKUP(F4661,Customer,5,0)</f>
        <v>Jakarta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549</v>
      </c>
      <c r="O4661" s="2">
        <v>30</v>
      </c>
      <c r="P4661" s="8">
        <f t="shared" si="362"/>
        <v>579</v>
      </c>
      <c r="Q4661" s="8">
        <f t="shared" si="363"/>
        <v>33</v>
      </c>
      <c r="R4661" s="2" t="s">
        <v>50</v>
      </c>
      <c r="S4661" s="24">
        <f t="shared" si="364"/>
        <v>0.02</v>
      </c>
    </row>
    <row r="4662" spans="1:19" x14ac:dyDescent="0.25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>VLOOKUP(F4662,'Customer Info'!$A:$B,2,0)</f>
        <v>Pamela</v>
      </c>
      <c r="H4662" s="6" t="str">
        <f>VLOOKUP(F4662,'Customer Info'!$A$1:$C$501,3,0)</f>
        <v>Stobb</v>
      </c>
      <c r="I4662" s="6" t="str">
        <f>VLOOKUP(F4662,Customer,5,0)</f>
        <v>Bremen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9168</v>
      </c>
      <c r="O4662" s="2">
        <v>74</v>
      </c>
      <c r="P4662" s="8">
        <f t="shared" si="362"/>
        <v>9242</v>
      </c>
      <c r="Q4662" s="8">
        <f t="shared" si="363"/>
        <v>1080</v>
      </c>
      <c r="R4662" s="2" t="s">
        <v>28</v>
      </c>
      <c r="S4662" s="24">
        <f t="shared" si="364"/>
        <v>0.05</v>
      </c>
    </row>
    <row r="4663" spans="1:19" x14ac:dyDescent="0.25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>VLOOKUP(F4663,'Customer Info'!$A:$B,2,0)</f>
        <v>Julia</v>
      </c>
      <c r="H4663" s="6" t="str">
        <f>VLOOKUP(F4663,'Customer Info'!$A$1:$C$501,3,0)</f>
        <v>Barnett</v>
      </c>
      <c r="I4663" s="6" t="str">
        <f>VLOOKUP(F4663,Customer,5,0)</f>
        <v>Zhuhai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764</v>
      </c>
      <c r="O4663" s="2">
        <v>30</v>
      </c>
      <c r="P4663" s="8">
        <f t="shared" si="362"/>
        <v>794</v>
      </c>
      <c r="Q4663" s="8">
        <f t="shared" si="363"/>
        <v>84</v>
      </c>
      <c r="R4663" s="2" t="s">
        <v>28</v>
      </c>
      <c r="S4663" s="24">
        <f t="shared" si="364"/>
        <v>0.02</v>
      </c>
    </row>
    <row r="4664" spans="1:19" x14ac:dyDescent="0.25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>VLOOKUP(F4664,'Customer Info'!$A:$B,2,0)</f>
        <v>Greg</v>
      </c>
      <c r="H4664" s="6" t="str">
        <f>VLOOKUP(F4664,'Customer Info'!$A$1:$C$501,3,0)</f>
        <v>Hansen</v>
      </c>
      <c r="I4664" s="6" t="str">
        <f>VLOOKUP(F4664,Customer,5,0)</f>
        <v>Canberra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80703</v>
      </c>
      <c r="O4664" s="2">
        <v>53</v>
      </c>
      <c r="P4664" s="8">
        <f t="shared" si="362"/>
        <v>80756</v>
      </c>
      <c r="Q4664" s="8">
        <f t="shared" si="363"/>
        <v>7344</v>
      </c>
      <c r="R4664" s="2" t="s">
        <v>28</v>
      </c>
      <c r="S4664" s="24">
        <f t="shared" si="364"/>
        <v>0.09</v>
      </c>
    </row>
    <row r="4665" spans="1:19" x14ac:dyDescent="0.25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>VLOOKUP(F4665,'Customer Info'!$A:$B,2,0)</f>
        <v>Becky</v>
      </c>
      <c r="H4665" s="6" t="str">
        <f>VLOOKUP(F4665,'Customer Info'!$A$1:$C$501,3,0)</f>
        <v>Pak</v>
      </c>
      <c r="I4665" s="6" t="str">
        <f>VLOOKUP(F4665,Customer,5,0)</f>
        <v>Mandurah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2022</v>
      </c>
      <c r="O4665" s="2">
        <v>24</v>
      </c>
      <c r="P4665" s="8">
        <f t="shared" si="362"/>
        <v>2046</v>
      </c>
      <c r="Q4665" s="8">
        <f t="shared" si="363"/>
        <v>135</v>
      </c>
      <c r="R4665" s="2" t="s">
        <v>50</v>
      </c>
      <c r="S4665" s="24">
        <f t="shared" si="364"/>
        <v>0.02</v>
      </c>
    </row>
    <row r="4666" spans="1:19" x14ac:dyDescent="0.25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>VLOOKUP(F4666,'Customer Info'!$A:$B,2,0)</f>
        <v>Logan</v>
      </c>
      <c r="H4666" s="6" t="str">
        <f>VLOOKUP(F4666,'Customer Info'!$A$1:$C$501,3,0)</f>
        <v>Haushalter</v>
      </c>
      <c r="I4666" s="6" t="str">
        <f>VLOOKUP(F4666,Customer,5,0)</f>
        <v>Canberra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11365</v>
      </c>
      <c r="O4666" s="2">
        <v>63</v>
      </c>
      <c r="P4666" s="8">
        <f t="shared" si="362"/>
        <v>11428</v>
      </c>
      <c r="Q4666" s="8">
        <f t="shared" si="363"/>
        <v>220</v>
      </c>
      <c r="R4666" s="2" t="s">
        <v>56</v>
      </c>
      <c r="S4666" s="24">
        <f t="shared" si="364"/>
        <v>0.05</v>
      </c>
    </row>
    <row r="4667" spans="1:19" x14ac:dyDescent="0.25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>VLOOKUP(F4667,'Customer Info'!$A:$B,2,0)</f>
        <v>Jessica</v>
      </c>
      <c r="H4667" s="6" t="str">
        <f>VLOOKUP(F4667,'Customer Info'!$A$1:$C$501,3,0)</f>
        <v>Myrick</v>
      </c>
      <c r="I4667" s="6" t="str">
        <f>VLOOKUP(F4667,Customer,5,0)</f>
        <v>Jakarta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2372</v>
      </c>
      <c r="O4667" s="2">
        <v>49</v>
      </c>
      <c r="P4667" s="8">
        <f t="shared" si="362"/>
        <v>2421</v>
      </c>
      <c r="Q4667" s="8">
        <f t="shared" si="363"/>
        <v>90</v>
      </c>
      <c r="R4667" s="2" t="s">
        <v>50</v>
      </c>
      <c r="S4667" s="24">
        <f t="shared" si="364"/>
        <v>0.02</v>
      </c>
    </row>
    <row r="4668" spans="1:19" x14ac:dyDescent="0.25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>VLOOKUP(F4668,'Customer Info'!$A:$B,2,0)</f>
        <v>Tamara</v>
      </c>
      <c r="H4668" s="6" t="str">
        <f>VLOOKUP(F4668,'Customer Info'!$A$1:$C$501,3,0)</f>
        <v>Willingham</v>
      </c>
      <c r="I4668" s="6" t="str">
        <f>VLOOKUP(F4668,Customer,5,0)</f>
        <v>Perth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1798</v>
      </c>
      <c r="O4668" s="2">
        <v>30</v>
      </c>
      <c r="P4668" s="8">
        <f t="shared" si="362"/>
        <v>1828</v>
      </c>
      <c r="Q4668" s="8">
        <f t="shared" si="363"/>
        <v>148</v>
      </c>
      <c r="R4668" s="2" t="s">
        <v>50</v>
      </c>
      <c r="S4668" s="24">
        <f t="shared" si="364"/>
        <v>0.02</v>
      </c>
    </row>
    <row r="4669" spans="1:19" x14ac:dyDescent="0.25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>VLOOKUP(F4669,'Customer Info'!$A:$B,2,0)</f>
        <v>Tamara</v>
      </c>
      <c r="H4669" s="6" t="str">
        <f>VLOOKUP(F4669,'Customer Info'!$A$1:$C$501,3,0)</f>
        <v>Willingham</v>
      </c>
      <c r="I4669" s="6" t="str">
        <f>VLOOKUP(F4669,Customer,5,0)</f>
        <v>Sindelfingen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55601</v>
      </c>
      <c r="O4669" s="2">
        <v>42</v>
      </c>
      <c r="P4669" s="8">
        <f t="shared" si="362"/>
        <v>55643</v>
      </c>
      <c r="Q4669" s="8">
        <f t="shared" si="363"/>
        <v>1071</v>
      </c>
      <c r="R4669" s="2" t="s">
        <v>28</v>
      </c>
      <c r="S4669" s="24">
        <f t="shared" si="364"/>
        <v>0.09</v>
      </c>
    </row>
    <row r="4670" spans="1:19" x14ac:dyDescent="0.25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>VLOOKUP(F4670,'Customer Info'!$A:$B,2,0)</f>
        <v>Jonathan</v>
      </c>
      <c r="H4670" s="6" t="str">
        <f>VLOOKUP(F4670,'Customer Info'!$A$1:$C$501,3,0)</f>
        <v>Howell</v>
      </c>
      <c r="I4670" s="6" t="str">
        <f>VLOOKUP(F4670,Customer,5,0)</f>
        <v>Guangshui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3340</v>
      </c>
      <c r="O4670" s="2">
        <v>80</v>
      </c>
      <c r="P4670" s="8">
        <f t="shared" si="362"/>
        <v>3420</v>
      </c>
      <c r="Q4670" s="8">
        <f t="shared" si="363"/>
        <v>156</v>
      </c>
      <c r="R4670" s="2" t="s">
        <v>26</v>
      </c>
      <c r="S4670" s="24">
        <f t="shared" si="364"/>
        <v>0.02</v>
      </c>
    </row>
    <row r="4671" spans="1:19" x14ac:dyDescent="0.25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>VLOOKUP(F4671,'Customer Info'!$A:$B,2,0)</f>
        <v>Robert</v>
      </c>
      <c r="H4671" s="6" t="str">
        <f>VLOOKUP(F4671,'Customer Info'!$A$1:$C$501,3,0)</f>
        <v>Dilbeck</v>
      </c>
      <c r="I4671" s="6" t="str">
        <f>VLOOKUP(F4671,Customer,5,0)</f>
        <v>Sydney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10486</v>
      </c>
      <c r="O4671" s="2">
        <v>44</v>
      </c>
      <c r="P4671" s="8">
        <f t="shared" si="362"/>
        <v>10530</v>
      </c>
      <c r="Q4671" s="8">
        <f t="shared" si="363"/>
        <v>1141</v>
      </c>
      <c r="R4671" s="2" t="s">
        <v>28</v>
      </c>
      <c r="S4671" s="24">
        <f t="shared" si="364"/>
        <v>0.05</v>
      </c>
    </row>
    <row r="4672" spans="1:19" x14ac:dyDescent="0.25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>VLOOKUP(F4672,'Customer Info'!$A:$B,2,0)</f>
        <v>Brendan</v>
      </c>
      <c r="H4672" s="6" t="str">
        <f>VLOOKUP(F4672,'Customer Info'!$A$1:$C$501,3,0)</f>
        <v>Murry</v>
      </c>
      <c r="I4672" s="6" t="str">
        <f>VLOOKUP(F4672,Customer,5,0)</f>
        <v>Brahmapur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2124</v>
      </c>
      <c r="O4672" s="2">
        <v>26</v>
      </c>
      <c r="P4672" s="8">
        <f t="shared" si="362"/>
        <v>2150</v>
      </c>
      <c r="Q4672" s="8">
        <f t="shared" si="363"/>
        <v>176</v>
      </c>
      <c r="R4672" s="2" t="s">
        <v>50</v>
      </c>
      <c r="S4672" s="24">
        <f t="shared" si="364"/>
        <v>0.02</v>
      </c>
    </row>
    <row r="4673" spans="1:19" x14ac:dyDescent="0.25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>VLOOKUP(F4673,'Customer Info'!$A:$B,2,0)</f>
        <v>Neoma</v>
      </c>
      <c r="H4673" s="6" t="str">
        <f>VLOOKUP(F4673,'Customer Info'!$A$1:$C$501,3,0)</f>
        <v>Murray</v>
      </c>
      <c r="I4673" s="6" t="str">
        <f>VLOOKUP(F4673,Customer,5,0)</f>
        <v>Guwahati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624</v>
      </c>
      <c r="O4673" s="2">
        <v>72</v>
      </c>
      <c r="P4673" s="8">
        <f t="shared" si="362"/>
        <v>696</v>
      </c>
      <c r="Q4673" s="8">
        <f t="shared" si="363"/>
        <v>63</v>
      </c>
      <c r="R4673" s="2" t="s">
        <v>50</v>
      </c>
      <c r="S4673" s="24">
        <f t="shared" si="364"/>
        <v>0.02</v>
      </c>
    </row>
    <row r="4674" spans="1:19" x14ac:dyDescent="0.25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>VLOOKUP(F4674,'Customer Info'!$A:$B,2,0)</f>
        <v>Brooke</v>
      </c>
      <c r="H4674" s="6" t="str">
        <f>VLOOKUP(F4674,'Customer Info'!$A$1:$C$501,3,0)</f>
        <v>Gillingham</v>
      </c>
      <c r="I4674" s="6" t="str">
        <f>VLOOKUP(F4674,Customer,5,0)</f>
        <v>Weimar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8160</v>
      </c>
      <c r="O4674" s="2">
        <v>27</v>
      </c>
      <c r="P4674" s="8">
        <f t="shared" si="362"/>
        <v>8187</v>
      </c>
      <c r="Q4674" s="8">
        <f t="shared" si="363"/>
        <v>685</v>
      </c>
      <c r="R4674" s="2" t="s">
        <v>28</v>
      </c>
      <c r="S4674" s="24">
        <f t="shared" si="364"/>
        <v>0.05</v>
      </c>
    </row>
    <row r="4675" spans="1:19" x14ac:dyDescent="0.25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>VLOOKUP(F4675,'Customer Info'!$A:$B,2,0)</f>
        <v>John</v>
      </c>
      <c r="H4675" s="6" t="str">
        <f>VLOOKUP(F4675,'Customer Info'!$A$1:$C$501,3,0)</f>
        <v>Grady</v>
      </c>
      <c r="I4675" s="6" t="str">
        <f>VLOOKUP(F4675,Customer,5,0)</f>
        <v>Mianyang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122</v>
      </c>
      <c r="O4675" s="2">
        <v>10</v>
      </c>
      <c r="P4675" s="8">
        <f t="shared" si="362"/>
        <v>132</v>
      </c>
      <c r="Q4675" s="8">
        <f t="shared" si="363"/>
        <v>10</v>
      </c>
      <c r="R4675" s="2" t="s">
        <v>28</v>
      </c>
      <c r="S4675" s="24">
        <f t="shared" si="364"/>
        <v>0.02</v>
      </c>
    </row>
    <row r="4676" spans="1:19" x14ac:dyDescent="0.25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>VLOOKUP(F4676,'Customer Info'!$A:$B,2,0)</f>
        <v>Anna</v>
      </c>
      <c r="H4676" s="6" t="str">
        <f>VLOOKUP(F4676,'Customer Info'!$A$1:$C$501,3,0)</f>
        <v>Gayman</v>
      </c>
      <c r="I4676" s="6" t="str">
        <f>VLOOKUP(F4676,Customer,5,0)</f>
        <v>Surat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648</v>
      </c>
      <c r="O4676" s="2">
        <v>10</v>
      </c>
      <c r="P4676" s="8">
        <f t="shared" si="362"/>
        <v>658</v>
      </c>
      <c r="Q4676" s="8">
        <f t="shared" si="363"/>
        <v>32</v>
      </c>
      <c r="R4676" s="2" t="s">
        <v>28</v>
      </c>
      <c r="S4676" s="24">
        <f t="shared" si="364"/>
        <v>0.02</v>
      </c>
    </row>
    <row r="4677" spans="1:19" x14ac:dyDescent="0.25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>VLOOKUP(F4677,'Customer Info'!$A:$B,2,0)</f>
        <v>Ralph</v>
      </c>
      <c r="H4677" s="6" t="str">
        <f>VLOOKUP(F4677,'Customer Info'!$A$1:$C$501,3,0)</f>
        <v>Kennedy</v>
      </c>
      <c r="I4677" s="6" t="str">
        <f>VLOOKUP(F4677,Customer,5,0)</f>
        <v>Bundaberg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3224</v>
      </c>
      <c r="O4677" s="2">
        <v>99</v>
      </c>
      <c r="P4677" s="8">
        <f t="shared" si="362"/>
        <v>3323</v>
      </c>
      <c r="Q4677" s="8">
        <f t="shared" si="363"/>
        <v>323</v>
      </c>
      <c r="R4677" s="2" t="s">
        <v>26</v>
      </c>
      <c r="S4677" s="24">
        <f t="shared" si="364"/>
        <v>0.02</v>
      </c>
    </row>
    <row r="4678" spans="1:19" x14ac:dyDescent="0.25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>VLOOKUP(F4678,'Customer Info'!$A:$B,2,0)</f>
        <v>Gary</v>
      </c>
      <c r="H4678" s="6" t="str">
        <f>VLOOKUP(F4678,'Customer Info'!$A$1:$C$501,3,0)</f>
        <v>Hansen</v>
      </c>
      <c r="I4678" s="6" t="str">
        <f>VLOOKUP(F4678,Customer,5,0)</f>
        <v>Dewas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11764</v>
      </c>
      <c r="O4678" s="2">
        <v>67</v>
      </c>
      <c r="P4678" s="8">
        <f t="shared" si="362"/>
        <v>11831</v>
      </c>
      <c r="Q4678" s="8">
        <f t="shared" si="363"/>
        <v>338</v>
      </c>
      <c r="R4678" s="2" t="s">
        <v>50</v>
      </c>
      <c r="S4678" s="24">
        <f t="shared" si="364"/>
        <v>0.05</v>
      </c>
    </row>
    <row r="4679" spans="1:19" x14ac:dyDescent="0.25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>VLOOKUP(F4679,'Customer Info'!$A:$B,2,0)</f>
        <v>Alejandro</v>
      </c>
      <c r="H4679" s="6" t="str">
        <f>VLOOKUP(F4679,'Customer Info'!$A$1:$C$501,3,0)</f>
        <v>Grove</v>
      </c>
      <c r="I4679" s="6" t="str">
        <f>VLOOKUP(F4679,Customer,5,0)</f>
        <v>Whyalla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5916</v>
      </c>
      <c r="O4679" s="2">
        <v>36</v>
      </c>
      <c r="P4679" s="8">
        <f t="shared" si="362"/>
        <v>5952</v>
      </c>
      <c r="Q4679" s="8">
        <f t="shared" si="363"/>
        <v>430</v>
      </c>
      <c r="R4679" s="2" t="s">
        <v>50</v>
      </c>
      <c r="S4679" s="24">
        <f t="shared" si="364"/>
        <v>0.05</v>
      </c>
    </row>
    <row r="4680" spans="1:19" x14ac:dyDescent="0.25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>VLOOKUP(F4680,'Customer Info'!$A:$B,2,0)</f>
        <v>Allen</v>
      </c>
      <c r="H4680" s="6" t="str">
        <f>VLOOKUP(F4680,'Customer Info'!$A$1:$C$501,3,0)</f>
        <v>Armold</v>
      </c>
      <c r="I4680" s="6" t="str">
        <f>VLOOKUP(F4680,Customer,5,0)</f>
        <v>Wuchuan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1136</v>
      </c>
      <c r="O4680" s="2">
        <v>30</v>
      </c>
      <c r="P4680" s="8">
        <f t="shared" si="362"/>
        <v>1166</v>
      </c>
      <c r="Q4680" s="8">
        <f t="shared" si="363"/>
        <v>64</v>
      </c>
      <c r="R4680" s="2" t="s">
        <v>50</v>
      </c>
      <c r="S4680" s="24">
        <f t="shared" si="364"/>
        <v>0.02</v>
      </c>
    </row>
    <row r="4681" spans="1:19" x14ac:dyDescent="0.25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>VLOOKUP(F4681,'Customer Info'!$A:$B,2,0)</f>
        <v>Rick</v>
      </c>
      <c r="H4681" s="6" t="str">
        <f>VLOOKUP(F4681,'Customer Info'!$A$1:$C$501,3,0)</f>
        <v>Reed</v>
      </c>
      <c r="I4681" s="6" t="str">
        <f>VLOOKUP(F4681,Customer,5,0)</f>
        <v>Lucknow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1296</v>
      </c>
      <c r="O4681" s="2">
        <v>30</v>
      </c>
      <c r="P4681" s="8">
        <f t="shared" si="362"/>
        <v>1326</v>
      </c>
      <c r="Q4681" s="8">
        <f t="shared" si="363"/>
        <v>108</v>
      </c>
      <c r="R4681" s="2" t="s">
        <v>28</v>
      </c>
      <c r="S4681" s="24">
        <f t="shared" si="364"/>
        <v>0.02</v>
      </c>
    </row>
    <row r="4682" spans="1:19" x14ac:dyDescent="0.25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>VLOOKUP(F4682,'Customer Info'!$A:$B,2,0)</f>
        <v>Sylvia</v>
      </c>
      <c r="H4682" s="6" t="str">
        <f>VLOOKUP(F4682,'Customer Info'!$A$1:$C$501,3,0)</f>
        <v>Foulston</v>
      </c>
      <c r="I4682" s="6" t="str">
        <f>VLOOKUP(F4682,Customer,5,0)</f>
        <v>Ludwigsburg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2716</v>
      </c>
      <c r="O4682" s="2">
        <v>54</v>
      </c>
      <c r="P4682" s="8">
        <f t="shared" si="362"/>
        <v>2770</v>
      </c>
      <c r="Q4682" s="8">
        <f t="shared" si="363"/>
        <v>176</v>
      </c>
      <c r="R4682" s="2" t="s">
        <v>28</v>
      </c>
      <c r="S4682" s="24">
        <f t="shared" si="364"/>
        <v>0.02</v>
      </c>
    </row>
    <row r="4683" spans="1:19" x14ac:dyDescent="0.25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>VLOOKUP(F4683,'Customer Info'!$A:$B,2,0)</f>
        <v>Nicole</v>
      </c>
      <c r="H4683" s="6" t="str">
        <f>VLOOKUP(F4683,'Customer Info'!$A$1:$C$501,3,0)</f>
        <v>Fjeld</v>
      </c>
      <c r="I4683" s="6" t="str">
        <f>VLOOKUP(F4683,Customer,5,0)</f>
        <v>Berlin</v>
      </c>
      <c r="J4683" s="2">
        <v>2273</v>
      </c>
      <c r="K4683" s="2">
        <v>2229</v>
      </c>
      <c r="L4683" s="2">
        <v>1</v>
      </c>
      <c r="M4683" s="7">
        <f t="shared" ref="M4683:M4746" si="365">K4683*L4683</f>
        <v>2229</v>
      </c>
      <c r="N4683" s="7">
        <f t="shared" ref="N4683:N4746" si="366">J4683*L4683</f>
        <v>2273</v>
      </c>
      <c r="O4683" s="2">
        <v>44</v>
      </c>
      <c r="P4683" s="8">
        <f t="shared" ref="P4683:P4746" si="367">N4683+O4683</f>
        <v>2317</v>
      </c>
      <c r="Q4683" s="8">
        <f t="shared" ref="Q4683:Q4746" si="368">N4683-M4683</f>
        <v>44</v>
      </c>
      <c r="R4683" s="2" t="s">
        <v>28</v>
      </c>
      <c r="S4683" s="24">
        <f t="shared" ref="S4683:S4746" si="369">VLOOKUP(N4683,$T$1:$U$7,2,TRUE)</f>
        <v>0.02</v>
      </c>
    </row>
    <row r="4684" spans="1:19" x14ac:dyDescent="0.25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>VLOOKUP(F4684,'Customer Info'!$A:$B,2,0)</f>
        <v>Patricia</v>
      </c>
      <c r="H4684" s="6" t="str">
        <f>VLOOKUP(F4684,'Customer Info'!$A$1:$C$501,3,0)</f>
        <v>Hirasaki</v>
      </c>
      <c r="I4684" s="6" t="str">
        <f>VLOOKUP(F4684,Customer,5,0)</f>
        <v>Pimpri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8">
        <f t="shared" si="367"/>
        <v>148089</v>
      </c>
      <c r="Q4684" s="8">
        <f t="shared" si="368"/>
        <v>16065</v>
      </c>
      <c r="R4684" s="2" t="s">
        <v>26</v>
      </c>
      <c r="S4684" s="24">
        <f t="shared" si="369"/>
        <v>0.12</v>
      </c>
    </row>
    <row r="4685" spans="1:19" x14ac:dyDescent="0.25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>VLOOKUP(F4685,'Customer Info'!$A:$B,2,0)</f>
        <v>Rachel</v>
      </c>
      <c r="H4685" s="6" t="str">
        <f>VLOOKUP(F4685,'Customer Info'!$A$1:$C$501,3,0)</f>
        <v>Payne</v>
      </c>
      <c r="I4685" s="6" t="str">
        <f>VLOOKUP(F4685,Customer,5,0)</f>
        <v>Raipur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8">
        <f t="shared" si="367"/>
        <v>1650</v>
      </c>
      <c r="Q4685" s="8">
        <f t="shared" si="368"/>
        <v>159</v>
      </c>
      <c r="R4685" s="2" t="s">
        <v>56</v>
      </c>
      <c r="S4685" s="24">
        <f t="shared" si="369"/>
        <v>0.02</v>
      </c>
    </row>
    <row r="4686" spans="1:19" x14ac:dyDescent="0.25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>VLOOKUP(F4686,'Customer Info'!$A:$B,2,0)</f>
        <v>Cynthia</v>
      </c>
      <c r="H4686" s="6" t="str">
        <f>VLOOKUP(F4686,'Customer Info'!$A$1:$C$501,3,0)</f>
        <v>Delaney</v>
      </c>
      <c r="I4686" s="6" t="str">
        <f>VLOOKUP(F4686,Customer,5,0)</f>
        <v>Wodonga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8">
        <f t="shared" si="367"/>
        <v>1810</v>
      </c>
      <c r="Q4686" s="8">
        <f t="shared" si="368"/>
        <v>178</v>
      </c>
      <c r="R4686" s="2" t="s">
        <v>50</v>
      </c>
      <c r="S4686" s="24">
        <f t="shared" si="369"/>
        <v>0.02</v>
      </c>
    </row>
    <row r="4687" spans="1:19" x14ac:dyDescent="0.25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>VLOOKUP(F4687,'Customer Info'!$A:$B,2,0)</f>
        <v>Dennis</v>
      </c>
      <c r="H4687" s="6" t="str">
        <f>VLOOKUP(F4687,'Customer Info'!$A$1:$C$501,3,0)</f>
        <v>Pardue</v>
      </c>
      <c r="I4687" s="6" t="str">
        <f>VLOOKUP(F4687,Customer,5,0)</f>
        <v>Townsville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8">
        <f t="shared" si="367"/>
        <v>11081</v>
      </c>
      <c r="Q4687" s="8">
        <f t="shared" si="368"/>
        <v>315</v>
      </c>
      <c r="R4687" s="2" t="s">
        <v>28</v>
      </c>
      <c r="S4687" s="24">
        <f t="shared" si="369"/>
        <v>0.05</v>
      </c>
    </row>
    <row r="4688" spans="1:19" x14ac:dyDescent="0.25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>VLOOKUP(F4688,'Customer Info'!$A:$B,2,0)</f>
        <v>Cari</v>
      </c>
      <c r="H4688" s="6" t="str">
        <f>VLOOKUP(F4688,'Customer Info'!$A$1:$C$501,3,0)</f>
        <v>Sayre</v>
      </c>
      <c r="I4688" s="6" t="str">
        <f>VLOOKUP(F4688,Customer,5,0)</f>
        <v>Recklinghausen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3289</v>
      </c>
      <c r="O4688" s="2">
        <v>24</v>
      </c>
      <c r="P4688" s="8">
        <f t="shared" si="367"/>
        <v>3313</v>
      </c>
      <c r="Q4688" s="8">
        <f t="shared" si="368"/>
        <v>184</v>
      </c>
      <c r="R4688" s="2" t="s">
        <v>28</v>
      </c>
      <c r="S4688" s="24">
        <f t="shared" si="369"/>
        <v>0.02</v>
      </c>
    </row>
    <row r="4689" spans="1:19" x14ac:dyDescent="0.25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>VLOOKUP(F4689,'Customer Info'!$A:$B,2,0)</f>
        <v>Rick</v>
      </c>
      <c r="H4689" s="6" t="str">
        <f>VLOOKUP(F4689,'Customer Info'!$A$1:$C$501,3,0)</f>
        <v>Duston</v>
      </c>
      <c r="I4689" s="6" t="str">
        <f>VLOOKUP(F4689,Customer,5,0)</f>
        <v>Bhiwandi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8351</v>
      </c>
      <c r="O4689" s="2">
        <v>54</v>
      </c>
      <c r="P4689" s="8">
        <f t="shared" si="367"/>
        <v>8405</v>
      </c>
      <c r="Q4689" s="8">
        <f t="shared" si="368"/>
        <v>318</v>
      </c>
      <c r="R4689" s="2" t="s">
        <v>50</v>
      </c>
      <c r="S4689" s="24">
        <f t="shared" si="369"/>
        <v>0.05</v>
      </c>
    </row>
    <row r="4690" spans="1:19" x14ac:dyDescent="0.25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>VLOOKUP(F4690,'Customer Info'!$A:$B,2,0)</f>
        <v>Philisse</v>
      </c>
      <c r="H4690" s="6" t="str">
        <f>VLOOKUP(F4690,'Customer Info'!$A$1:$C$501,3,0)</f>
        <v>Overcash</v>
      </c>
      <c r="I4690" s="6" t="str">
        <f>VLOOKUP(F4690,Customer,5,0)</f>
        <v>Devonport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7141</v>
      </c>
      <c r="O4690" s="2">
        <v>70</v>
      </c>
      <c r="P4690" s="8">
        <f t="shared" si="367"/>
        <v>7211</v>
      </c>
      <c r="Q4690" s="8">
        <f t="shared" si="368"/>
        <v>600</v>
      </c>
      <c r="R4690" s="2" t="s">
        <v>28</v>
      </c>
      <c r="S4690" s="24">
        <f t="shared" si="369"/>
        <v>0.05</v>
      </c>
    </row>
    <row r="4691" spans="1:19" x14ac:dyDescent="0.25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>VLOOKUP(F4691,'Customer Info'!$A:$B,2,0)</f>
        <v>Christy</v>
      </c>
      <c r="H4691" s="6" t="str">
        <f>VLOOKUP(F4691,'Customer Info'!$A$1:$C$501,3,0)</f>
        <v>Brittain</v>
      </c>
      <c r="I4691" s="6" t="str">
        <f>VLOOKUP(F4691,Customer,5,0)</f>
        <v>Depok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1772</v>
      </c>
      <c r="O4691" s="2">
        <v>69</v>
      </c>
      <c r="P4691" s="8">
        <f t="shared" si="367"/>
        <v>1841</v>
      </c>
      <c r="Q4691" s="8">
        <f t="shared" si="368"/>
        <v>180</v>
      </c>
      <c r="R4691" s="2" t="s">
        <v>28</v>
      </c>
      <c r="S4691" s="24">
        <f t="shared" si="369"/>
        <v>0.02</v>
      </c>
    </row>
    <row r="4692" spans="1:19" x14ac:dyDescent="0.25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>VLOOKUP(F4692,'Customer Info'!$A:$B,2,0)</f>
        <v>Hunter</v>
      </c>
      <c r="H4692" s="6" t="str">
        <f>VLOOKUP(F4692,'Customer Info'!$A$1:$C$501,3,0)</f>
        <v>Lopez</v>
      </c>
      <c r="I4692" s="6" t="str">
        <f>VLOOKUP(F4692,Customer,5,0)</f>
        <v>Pekanbaru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750</v>
      </c>
      <c r="O4692" s="2">
        <v>30</v>
      </c>
      <c r="P4692" s="8">
        <f t="shared" si="367"/>
        <v>780</v>
      </c>
      <c r="Q4692" s="8">
        <f t="shared" si="368"/>
        <v>72</v>
      </c>
      <c r="R4692" s="2" t="s">
        <v>28</v>
      </c>
      <c r="S4692" s="24">
        <f t="shared" si="369"/>
        <v>0.02</v>
      </c>
    </row>
    <row r="4693" spans="1:19" x14ac:dyDescent="0.25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>VLOOKUP(F4693,'Customer Info'!$A:$B,2,0)</f>
        <v>Neil</v>
      </c>
      <c r="H4693" s="6" t="str">
        <f>VLOOKUP(F4693,'Customer Info'!$A$1:$C$501,3,0)</f>
        <v>Knudson</v>
      </c>
      <c r="I4693" s="6" t="str">
        <f>VLOOKUP(F4693,Customer,5,0)</f>
        <v>Malang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808</v>
      </c>
      <c r="O4693" s="2">
        <v>30</v>
      </c>
      <c r="P4693" s="8">
        <f t="shared" si="367"/>
        <v>838</v>
      </c>
      <c r="Q4693" s="8">
        <f t="shared" si="368"/>
        <v>60</v>
      </c>
      <c r="R4693" s="2" t="s">
        <v>28</v>
      </c>
      <c r="S4693" s="24">
        <f t="shared" si="369"/>
        <v>0.02</v>
      </c>
    </row>
    <row r="4694" spans="1:19" x14ac:dyDescent="0.25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>VLOOKUP(F4694,'Customer Info'!$A:$B,2,0)</f>
        <v>Rachel</v>
      </c>
      <c r="H4694" s="6" t="str">
        <f>VLOOKUP(F4694,'Customer Info'!$A$1:$C$501,3,0)</f>
        <v>Payne</v>
      </c>
      <c r="I4694" s="6" t="str">
        <f>VLOOKUP(F4694,Customer,5,0)</f>
        <v>Nagercoil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7820</v>
      </c>
      <c r="O4694" s="2">
        <v>64</v>
      </c>
      <c r="P4694" s="8">
        <f t="shared" si="367"/>
        <v>7884</v>
      </c>
      <c r="Q4694" s="8">
        <f t="shared" si="368"/>
        <v>720</v>
      </c>
      <c r="R4694" s="2" t="s">
        <v>28</v>
      </c>
      <c r="S4694" s="24">
        <f t="shared" si="369"/>
        <v>0.05</v>
      </c>
    </row>
    <row r="4695" spans="1:19" x14ac:dyDescent="0.25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>VLOOKUP(F4695,'Customer Info'!$A:$B,2,0)</f>
        <v>Anemone</v>
      </c>
      <c r="H4695" s="6" t="str">
        <f>VLOOKUP(F4695,'Customer Info'!$A$1:$C$501,3,0)</f>
        <v>Ratner</v>
      </c>
      <c r="I4695" s="6" t="str">
        <f>VLOOKUP(F4695,Customer,5,0)</f>
        <v>Berlin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3915</v>
      </c>
      <c r="O4695" s="2">
        <v>43</v>
      </c>
      <c r="P4695" s="8">
        <f t="shared" si="367"/>
        <v>3958</v>
      </c>
      <c r="Q4695" s="8">
        <f t="shared" si="368"/>
        <v>324</v>
      </c>
      <c r="R4695" s="2" t="s">
        <v>28</v>
      </c>
      <c r="S4695" s="24">
        <f t="shared" si="369"/>
        <v>0.02</v>
      </c>
    </row>
    <row r="4696" spans="1:19" x14ac:dyDescent="0.25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>VLOOKUP(F4696,'Customer Info'!$A:$B,2,0)</f>
        <v>Julia</v>
      </c>
      <c r="H4696" s="6" t="str">
        <f>VLOOKUP(F4696,'Customer Info'!$A$1:$C$501,3,0)</f>
        <v>Barnett</v>
      </c>
      <c r="I4696" s="6" t="str">
        <f>VLOOKUP(F4696,Customer,5,0)</f>
        <v>Zhuhai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4443</v>
      </c>
      <c r="O4696" s="2">
        <v>96</v>
      </c>
      <c r="P4696" s="8">
        <f t="shared" si="367"/>
        <v>4539</v>
      </c>
      <c r="Q4696" s="8">
        <f t="shared" si="368"/>
        <v>364</v>
      </c>
      <c r="R4696" s="2" t="s">
        <v>50</v>
      </c>
      <c r="S4696" s="24">
        <f t="shared" si="369"/>
        <v>0.02</v>
      </c>
    </row>
    <row r="4697" spans="1:19" x14ac:dyDescent="0.25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>VLOOKUP(F4697,'Customer Info'!$A:$B,2,0)</f>
        <v>Rick</v>
      </c>
      <c r="H4697" s="6" t="str">
        <f>VLOOKUP(F4697,'Customer Info'!$A$1:$C$501,3,0)</f>
        <v>Reed</v>
      </c>
      <c r="I4697" s="6" t="str">
        <f>VLOOKUP(F4697,Customer,5,0)</f>
        <v>Lucknow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4584</v>
      </c>
      <c r="O4697" s="2">
        <v>77</v>
      </c>
      <c r="P4697" s="8">
        <f t="shared" si="367"/>
        <v>4661</v>
      </c>
      <c r="Q4697" s="8">
        <f t="shared" si="368"/>
        <v>340</v>
      </c>
      <c r="R4697" s="2" t="s">
        <v>50</v>
      </c>
      <c r="S4697" s="24">
        <f t="shared" si="369"/>
        <v>0.02</v>
      </c>
    </row>
    <row r="4698" spans="1:19" x14ac:dyDescent="0.25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>VLOOKUP(F4698,'Customer Info'!$A:$B,2,0)</f>
        <v>Darren</v>
      </c>
      <c r="H4698" s="6" t="str">
        <f>VLOOKUP(F4698,'Customer Info'!$A$1:$C$501,3,0)</f>
        <v>Koutras</v>
      </c>
      <c r="I4698" s="6" t="str">
        <f>VLOOKUP(F4698,Customer,5,0)</f>
        <v>Pune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187</v>
      </c>
      <c r="O4698" s="2">
        <v>30</v>
      </c>
      <c r="P4698" s="8">
        <f t="shared" si="367"/>
        <v>217</v>
      </c>
      <c r="Q4698" s="8">
        <f t="shared" si="368"/>
        <v>11</v>
      </c>
      <c r="R4698" s="2" t="s">
        <v>56</v>
      </c>
      <c r="S4698" s="24">
        <f t="shared" si="369"/>
        <v>0.02</v>
      </c>
    </row>
    <row r="4699" spans="1:19" x14ac:dyDescent="0.25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>VLOOKUP(F4699,'Customer Info'!$A:$B,2,0)</f>
        <v>Rick</v>
      </c>
      <c r="H4699" s="6" t="str">
        <f>VLOOKUP(F4699,'Customer Info'!$A$1:$C$501,3,0)</f>
        <v>Reed</v>
      </c>
      <c r="I4699" s="6" t="str">
        <f>VLOOKUP(F4699,Customer,5,0)</f>
        <v>Lucknow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316</v>
      </c>
      <c r="O4699" s="2">
        <v>10</v>
      </c>
      <c r="P4699" s="8">
        <f t="shared" si="367"/>
        <v>326</v>
      </c>
      <c r="Q4699" s="8">
        <f t="shared" si="368"/>
        <v>16</v>
      </c>
      <c r="R4699" s="2" t="s">
        <v>50</v>
      </c>
      <c r="S4699" s="24">
        <f t="shared" si="369"/>
        <v>0.02</v>
      </c>
    </row>
    <row r="4700" spans="1:19" x14ac:dyDescent="0.25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>VLOOKUP(F4700,'Customer Info'!$A:$B,2,0)</f>
        <v>Brad</v>
      </c>
      <c r="H4700" s="6" t="str">
        <f>VLOOKUP(F4700,'Customer Info'!$A$1:$C$501,3,0)</f>
        <v>Thomas</v>
      </c>
      <c r="I4700" s="6" t="str">
        <f>VLOOKUP(F4700,Customer,5,0)</f>
        <v>Udaipur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691</v>
      </c>
      <c r="O4700" s="2">
        <v>30</v>
      </c>
      <c r="P4700" s="8">
        <f t="shared" si="367"/>
        <v>721</v>
      </c>
      <c r="Q4700" s="8">
        <f t="shared" si="368"/>
        <v>45</v>
      </c>
      <c r="R4700" s="2" t="s">
        <v>28</v>
      </c>
      <c r="S4700" s="24">
        <f t="shared" si="369"/>
        <v>0.02</v>
      </c>
    </row>
    <row r="4701" spans="1:19" x14ac:dyDescent="0.25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>VLOOKUP(F4701,'Customer Info'!$A:$B,2,0)</f>
        <v>Erica</v>
      </c>
      <c r="H4701" s="6" t="str">
        <f>VLOOKUP(F4701,'Customer Info'!$A$1:$C$501,3,0)</f>
        <v>Smith</v>
      </c>
      <c r="I4701" s="6" t="str">
        <f>VLOOKUP(F4701,Customer,5,0)</f>
        <v>Halle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12174</v>
      </c>
      <c r="O4701" s="2">
        <v>49</v>
      </c>
      <c r="P4701" s="8">
        <f t="shared" si="367"/>
        <v>12223</v>
      </c>
      <c r="Q4701" s="8">
        <f t="shared" si="368"/>
        <v>558</v>
      </c>
      <c r="R4701" s="2" t="s">
        <v>28</v>
      </c>
      <c r="S4701" s="24">
        <f t="shared" si="369"/>
        <v>0.05</v>
      </c>
    </row>
    <row r="4702" spans="1:19" x14ac:dyDescent="0.25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>VLOOKUP(F4702,'Customer Info'!$A:$B,2,0)</f>
        <v>Carlos</v>
      </c>
      <c r="H4702" s="6" t="str">
        <f>VLOOKUP(F4702,'Customer Info'!$A$1:$C$501,3,0)</f>
        <v>Soltero</v>
      </c>
      <c r="I4702" s="6" t="str">
        <f>VLOOKUP(F4702,Customer,5,0)</f>
        <v>Wodonga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5904</v>
      </c>
      <c r="O4702" s="2">
        <v>95</v>
      </c>
      <c r="P4702" s="8">
        <f t="shared" si="367"/>
        <v>5999</v>
      </c>
      <c r="Q4702" s="8">
        <f t="shared" si="368"/>
        <v>441</v>
      </c>
      <c r="R4702" s="2" t="s">
        <v>28</v>
      </c>
      <c r="S4702" s="24">
        <f t="shared" si="369"/>
        <v>0.05</v>
      </c>
    </row>
    <row r="4703" spans="1:19" x14ac:dyDescent="0.25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>VLOOKUP(F4703,'Customer Info'!$A:$B,2,0)</f>
        <v>Anthony</v>
      </c>
      <c r="H4703" s="6" t="str">
        <f>VLOOKUP(F4703,'Customer Info'!$A$1:$C$501,3,0)</f>
        <v>O'Donnell</v>
      </c>
      <c r="I4703" s="6" t="str">
        <f>VLOOKUP(F4703,Customer,5,0)</f>
        <v>Perth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6540</v>
      </c>
      <c r="O4703" s="2">
        <v>57</v>
      </c>
      <c r="P4703" s="8">
        <f t="shared" si="367"/>
        <v>6597</v>
      </c>
      <c r="Q4703" s="8">
        <f t="shared" si="368"/>
        <v>248</v>
      </c>
      <c r="R4703" s="2" t="s">
        <v>28</v>
      </c>
      <c r="S4703" s="24">
        <f t="shared" si="369"/>
        <v>0.05</v>
      </c>
    </row>
    <row r="4704" spans="1:19" x14ac:dyDescent="0.25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>VLOOKUP(F4704,'Customer Info'!$A:$B,2,0)</f>
        <v>Troy</v>
      </c>
      <c r="H4704" s="6" t="str">
        <f>VLOOKUP(F4704,'Customer Info'!$A$1:$C$501,3,0)</f>
        <v>Staebel</v>
      </c>
      <c r="I4704" s="6" t="str">
        <f>VLOOKUP(F4704,Customer,5,0)</f>
        <v>Canberra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2362</v>
      </c>
      <c r="O4704" s="2">
        <v>76</v>
      </c>
      <c r="P4704" s="8">
        <f t="shared" si="367"/>
        <v>2438</v>
      </c>
      <c r="Q4704" s="8">
        <f t="shared" si="368"/>
        <v>90</v>
      </c>
      <c r="R4704" s="2" t="s">
        <v>28</v>
      </c>
      <c r="S4704" s="24">
        <f t="shared" si="369"/>
        <v>0.02</v>
      </c>
    </row>
    <row r="4705" spans="1:19" x14ac:dyDescent="0.25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>VLOOKUP(F4705,'Customer Info'!$A:$B,2,0)</f>
        <v>Ruben</v>
      </c>
      <c r="H4705" s="6" t="str">
        <f>VLOOKUP(F4705,'Customer Info'!$A$1:$C$501,3,0)</f>
        <v>Ausman</v>
      </c>
      <c r="I4705" s="6" t="str">
        <f>VLOOKUP(F4705,Customer,5,0)</f>
        <v>Sonneberg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92190</v>
      </c>
      <c r="O4705" s="2">
        <v>84</v>
      </c>
      <c r="P4705" s="8">
        <f t="shared" si="367"/>
        <v>92274</v>
      </c>
      <c r="Q4705" s="8">
        <f t="shared" si="368"/>
        <v>6720</v>
      </c>
      <c r="R4705" s="2" t="s">
        <v>26</v>
      </c>
      <c r="S4705" s="24">
        <f t="shared" si="369"/>
        <v>0.09</v>
      </c>
    </row>
    <row r="4706" spans="1:19" x14ac:dyDescent="0.25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>VLOOKUP(F4706,'Customer Info'!$A:$B,2,0)</f>
        <v>Joel</v>
      </c>
      <c r="H4706" s="6" t="str">
        <f>VLOOKUP(F4706,'Customer Info'!$A$1:$C$501,3,0)</f>
        <v>Eaton</v>
      </c>
      <c r="I4706" s="6" t="str">
        <f>VLOOKUP(F4706,Customer,5,0)</f>
        <v>Nuremberg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4542</v>
      </c>
      <c r="O4706" s="2">
        <v>74</v>
      </c>
      <c r="P4706" s="8">
        <f t="shared" si="367"/>
        <v>4616</v>
      </c>
      <c r="Q4706" s="8">
        <f t="shared" si="368"/>
        <v>254</v>
      </c>
      <c r="R4706" s="2" t="s">
        <v>26</v>
      </c>
      <c r="S4706" s="24">
        <f t="shared" si="369"/>
        <v>0.02</v>
      </c>
    </row>
    <row r="4707" spans="1:19" x14ac:dyDescent="0.25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>VLOOKUP(F4707,'Customer Info'!$A:$B,2,0)</f>
        <v>Jim</v>
      </c>
      <c r="H4707" s="6" t="str">
        <f>VLOOKUP(F4707,'Customer Info'!$A$1:$C$501,3,0)</f>
        <v>Epp</v>
      </c>
      <c r="I4707" s="6" t="str">
        <f>VLOOKUP(F4707,Customer,5,0)</f>
        <v>Jingmen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456</v>
      </c>
      <c r="O4707" s="2">
        <v>93</v>
      </c>
      <c r="P4707" s="8">
        <f t="shared" si="367"/>
        <v>549</v>
      </c>
      <c r="Q4707" s="8">
        <f t="shared" si="368"/>
        <v>26</v>
      </c>
      <c r="R4707" s="2" t="s">
        <v>50</v>
      </c>
      <c r="S4707" s="24">
        <f t="shared" si="369"/>
        <v>0.02</v>
      </c>
    </row>
    <row r="4708" spans="1:19" x14ac:dyDescent="0.25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>VLOOKUP(F4708,'Customer Info'!$A:$B,2,0)</f>
        <v>Yana</v>
      </c>
      <c r="H4708" s="6" t="str">
        <f>VLOOKUP(F4708,'Customer Info'!$A$1:$C$501,3,0)</f>
        <v>Sorensen</v>
      </c>
      <c r="I4708" s="6" t="str">
        <f>VLOOKUP(F4708,Customer,5,0)</f>
        <v>Hangzhou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14272</v>
      </c>
      <c r="O4708" s="2">
        <v>75</v>
      </c>
      <c r="P4708" s="8">
        <f t="shared" si="367"/>
        <v>14347</v>
      </c>
      <c r="Q4708" s="8">
        <f t="shared" si="368"/>
        <v>920</v>
      </c>
      <c r="R4708" s="2" t="s">
        <v>28</v>
      </c>
      <c r="S4708" s="24">
        <f t="shared" si="369"/>
        <v>0.05</v>
      </c>
    </row>
    <row r="4709" spans="1:19" x14ac:dyDescent="0.25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>VLOOKUP(F4709,'Customer Info'!$A:$B,2,0)</f>
        <v>Jas</v>
      </c>
      <c r="H4709" s="6" t="str">
        <f>VLOOKUP(F4709,'Customer Info'!$A$1:$C$501,3,0)</f>
        <v>O'Carroll</v>
      </c>
      <c r="I4709" s="6" t="str">
        <f>VLOOKUP(F4709,Customer,5,0)</f>
        <v>Essen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666</v>
      </c>
      <c r="O4709" s="2">
        <v>69</v>
      </c>
      <c r="P4709" s="8">
        <f t="shared" si="367"/>
        <v>735</v>
      </c>
      <c r="Q4709" s="8">
        <f t="shared" si="368"/>
        <v>42</v>
      </c>
      <c r="R4709" s="2" t="s">
        <v>50</v>
      </c>
      <c r="S4709" s="24">
        <f t="shared" si="369"/>
        <v>0.02</v>
      </c>
    </row>
    <row r="4710" spans="1:19" x14ac:dyDescent="0.25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>VLOOKUP(F4710,'Customer Info'!$A:$B,2,0)</f>
        <v>Aaron</v>
      </c>
      <c r="H4710" s="6" t="str">
        <f>VLOOKUP(F4710,'Customer Info'!$A$1:$C$501,3,0)</f>
        <v>Bergman</v>
      </c>
      <c r="I4710" s="6" t="str">
        <f>VLOOKUP(F4710,Customer,5,0)</f>
        <v>Halle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23796</v>
      </c>
      <c r="O4710" s="2">
        <v>89</v>
      </c>
      <c r="P4710" s="8">
        <f t="shared" si="367"/>
        <v>23885</v>
      </c>
      <c r="Q4710" s="8">
        <f t="shared" si="368"/>
        <v>900</v>
      </c>
      <c r="R4710" s="2" t="s">
        <v>28</v>
      </c>
      <c r="S4710" s="24">
        <f t="shared" si="369"/>
        <v>0.05</v>
      </c>
    </row>
    <row r="4711" spans="1:19" x14ac:dyDescent="0.25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>VLOOKUP(F4711,'Customer Info'!$A:$B,2,0)</f>
        <v>David</v>
      </c>
      <c r="H4711" s="6" t="str">
        <f>VLOOKUP(F4711,'Customer Info'!$A$1:$C$501,3,0)</f>
        <v>Kendrick</v>
      </c>
      <c r="I4711" s="6" t="str">
        <f>VLOOKUP(F4711,Customer,5,0)</f>
        <v>Kunming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1496</v>
      </c>
      <c r="O4711" s="2">
        <v>30</v>
      </c>
      <c r="P4711" s="8">
        <f t="shared" si="367"/>
        <v>1526</v>
      </c>
      <c r="Q4711" s="8">
        <f t="shared" si="368"/>
        <v>88</v>
      </c>
      <c r="R4711" s="2" t="s">
        <v>28</v>
      </c>
      <c r="S4711" s="24">
        <f t="shared" si="369"/>
        <v>0.02</v>
      </c>
    </row>
    <row r="4712" spans="1:19" x14ac:dyDescent="0.25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>VLOOKUP(F4712,'Customer Info'!$A:$B,2,0)</f>
        <v>Stuart</v>
      </c>
      <c r="H4712" s="6" t="str">
        <f>VLOOKUP(F4712,'Customer Info'!$A$1:$C$501,3,0)</f>
        <v>Calhoun</v>
      </c>
      <c r="I4712" s="6" t="str">
        <f>VLOOKUP(F4712,Customer,5,0)</f>
        <v>Nowra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2655</v>
      </c>
      <c r="O4712" s="2">
        <v>25</v>
      </c>
      <c r="P4712" s="8">
        <f t="shared" si="367"/>
        <v>2680</v>
      </c>
      <c r="Q4712" s="8">
        <f t="shared" si="368"/>
        <v>220</v>
      </c>
      <c r="R4712" s="2" t="s">
        <v>50</v>
      </c>
      <c r="S4712" s="24">
        <f t="shared" si="369"/>
        <v>0.02</v>
      </c>
    </row>
    <row r="4713" spans="1:19" x14ac:dyDescent="0.25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>VLOOKUP(F4713,'Customer Info'!$A:$B,2,0)</f>
        <v>Victoria</v>
      </c>
      <c r="H4713" s="6" t="str">
        <f>VLOOKUP(F4713,'Customer Info'!$A$1:$C$501,3,0)</f>
        <v>Brennan</v>
      </c>
      <c r="I4713" s="6" t="str">
        <f>VLOOKUP(F4713,Customer,5,0)</f>
        <v>Mangalore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320</v>
      </c>
      <c r="O4713" s="2">
        <v>10</v>
      </c>
      <c r="P4713" s="8">
        <f t="shared" si="367"/>
        <v>330</v>
      </c>
      <c r="Q4713" s="8">
        <f t="shared" si="368"/>
        <v>20</v>
      </c>
      <c r="R4713" s="2" t="s">
        <v>50</v>
      </c>
      <c r="S4713" s="24">
        <f t="shared" si="369"/>
        <v>0.02</v>
      </c>
    </row>
    <row r="4714" spans="1:19" x14ac:dyDescent="0.25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>VLOOKUP(F4714,'Customer Info'!$A:$B,2,0)</f>
        <v>Ralph</v>
      </c>
      <c r="H4714" s="6" t="str">
        <f>VLOOKUP(F4714,'Customer Info'!$A$1:$C$501,3,0)</f>
        <v>Kennedy</v>
      </c>
      <c r="I4714" s="6" t="str">
        <f>VLOOKUP(F4714,Customer,5,0)</f>
        <v>Bundaberg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282</v>
      </c>
      <c r="O4714" s="2">
        <v>30</v>
      </c>
      <c r="P4714" s="8">
        <f t="shared" si="367"/>
        <v>312</v>
      </c>
      <c r="Q4714" s="8">
        <f t="shared" si="368"/>
        <v>20</v>
      </c>
      <c r="R4714" s="2" t="s">
        <v>28</v>
      </c>
      <c r="S4714" s="24">
        <f t="shared" si="369"/>
        <v>0.02</v>
      </c>
    </row>
    <row r="4715" spans="1:19" x14ac:dyDescent="0.25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>VLOOKUP(F4715,'Customer Info'!$A:$B,2,0)</f>
        <v>Michael</v>
      </c>
      <c r="H4715" s="6" t="str">
        <f>VLOOKUP(F4715,'Customer Info'!$A$1:$C$501,3,0)</f>
        <v>Moore</v>
      </c>
      <c r="I4715" s="6" t="str">
        <f>VLOOKUP(F4715,Customer,5,0)</f>
        <v>Medan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6348</v>
      </c>
      <c r="O4715" s="2">
        <v>34</v>
      </c>
      <c r="P4715" s="8">
        <f t="shared" si="367"/>
        <v>6382</v>
      </c>
      <c r="Q4715" s="8">
        <f t="shared" si="368"/>
        <v>636</v>
      </c>
      <c r="R4715" s="2" t="s">
        <v>50</v>
      </c>
      <c r="S4715" s="24">
        <f t="shared" si="369"/>
        <v>0.05</v>
      </c>
    </row>
    <row r="4716" spans="1:19" x14ac:dyDescent="0.25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>VLOOKUP(F4716,'Customer Info'!$A:$B,2,0)</f>
        <v>Brad</v>
      </c>
      <c r="H4716" s="6" t="str">
        <f>VLOOKUP(F4716,'Customer Info'!$A$1:$C$501,3,0)</f>
        <v>Eason</v>
      </c>
      <c r="I4716" s="6" t="str">
        <f>VLOOKUP(F4716,Customer,5,0)</f>
        <v>Bogor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11788</v>
      </c>
      <c r="O4716" s="2">
        <v>79</v>
      </c>
      <c r="P4716" s="8">
        <f t="shared" si="367"/>
        <v>11867</v>
      </c>
      <c r="Q4716" s="8">
        <f t="shared" si="368"/>
        <v>546</v>
      </c>
      <c r="R4716" s="2" t="s">
        <v>50</v>
      </c>
      <c r="S4716" s="24">
        <f t="shared" si="369"/>
        <v>0.05</v>
      </c>
    </row>
    <row r="4717" spans="1:19" x14ac:dyDescent="0.25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>VLOOKUP(F4717,'Customer Info'!$A:$B,2,0)</f>
        <v>Cari</v>
      </c>
      <c r="H4717" s="6" t="str">
        <f>VLOOKUP(F4717,'Customer Info'!$A$1:$C$501,3,0)</f>
        <v>Schnelling</v>
      </c>
      <c r="I4717" s="6" t="str">
        <f>VLOOKUP(F4717,Customer,5,0)</f>
        <v>Agra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53214</v>
      </c>
      <c r="O4717" s="2">
        <v>31</v>
      </c>
      <c r="P4717" s="8">
        <f t="shared" si="367"/>
        <v>53245</v>
      </c>
      <c r="Q4717" s="8">
        <f t="shared" si="368"/>
        <v>5778</v>
      </c>
      <c r="R4717" s="2" t="s">
        <v>28</v>
      </c>
      <c r="S4717" s="24">
        <f t="shared" si="369"/>
        <v>0.09</v>
      </c>
    </row>
    <row r="4718" spans="1:19" x14ac:dyDescent="0.25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>VLOOKUP(F4718,'Customer Info'!$A:$B,2,0)</f>
        <v>Ben</v>
      </c>
      <c r="H4718" s="6" t="str">
        <f>VLOOKUP(F4718,'Customer Info'!$A$1:$C$501,3,0)</f>
        <v>Peterman</v>
      </c>
      <c r="I4718" s="6" t="str">
        <f>VLOOKUP(F4718,Customer,5,0)</f>
        <v>Bielefeld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279</v>
      </c>
      <c r="O4718" s="2">
        <v>69</v>
      </c>
      <c r="P4718" s="8">
        <f t="shared" si="367"/>
        <v>348</v>
      </c>
      <c r="Q4718" s="8">
        <f t="shared" si="368"/>
        <v>25</v>
      </c>
      <c r="R4718" s="2" t="s">
        <v>28</v>
      </c>
      <c r="S4718" s="24">
        <f t="shared" si="369"/>
        <v>0.02</v>
      </c>
    </row>
    <row r="4719" spans="1:19" x14ac:dyDescent="0.25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>VLOOKUP(F4719,'Customer Info'!$A:$B,2,0)</f>
        <v>Adrian</v>
      </c>
      <c r="H4719" s="6" t="str">
        <f>VLOOKUP(F4719,'Customer Info'!$A$1:$C$501,3,0)</f>
        <v>Barton</v>
      </c>
      <c r="I4719" s="6" t="str">
        <f>VLOOKUP(F4719,Customer,5,0)</f>
        <v>Zigong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1032</v>
      </c>
      <c r="O4719" s="2">
        <v>59</v>
      </c>
      <c r="P4719" s="8">
        <f t="shared" si="367"/>
        <v>1091</v>
      </c>
      <c r="Q4719" s="8">
        <f t="shared" si="368"/>
        <v>86</v>
      </c>
      <c r="R4719" s="2" t="s">
        <v>28</v>
      </c>
      <c r="S4719" s="24">
        <f t="shared" si="369"/>
        <v>0.02</v>
      </c>
    </row>
    <row r="4720" spans="1:19" x14ac:dyDescent="0.25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>VLOOKUP(F4720,'Customer Info'!$A:$B,2,0)</f>
        <v>Philisse</v>
      </c>
      <c r="H4720" s="6" t="str">
        <f>VLOOKUP(F4720,'Customer Info'!$A$1:$C$501,3,0)</f>
        <v>Overcash</v>
      </c>
      <c r="I4720" s="6" t="str">
        <f>VLOOKUP(F4720,Customer,5,0)</f>
        <v>Potsdam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1774</v>
      </c>
      <c r="O4720" s="2">
        <v>57</v>
      </c>
      <c r="P4720" s="8">
        <f t="shared" si="367"/>
        <v>1831</v>
      </c>
      <c r="Q4720" s="8">
        <f t="shared" si="368"/>
        <v>146</v>
      </c>
      <c r="R4720" s="2" t="s">
        <v>50</v>
      </c>
      <c r="S4720" s="24">
        <f t="shared" si="369"/>
        <v>0.02</v>
      </c>
    </row>
    <row r="4721" spans="1:19" x14ac:dyDescent="0.25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>VLOOKUP(F4721,'Customer Info'!$A:$B,2,0)</f>
        <v>Ionia</v>
      </c>
      <c r="H4721" s="6" t="str">
        <f>VLOOKUP(F4721,'Customer Info'!$A$1:$C$501,3,0)</f>
        <v>McGrath</v>
      </c>
      <c r="I4721" s="6" t="str">
        <f>VLOOKUP(F4721,Customer,5,0)</f>
        <v>Dormagen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2808</v>
      </c>
      <c r="O4721" s="2">
        <v>42</v>
      </c>
      <c r="P4721" s="8">
        <f t="shared" si="367"/>
        <v>2850</v>
      </c>
      <c r="Q4721" s="8">
        <f t="shared" si="368"/>
        <v>134</v>
      </c>
      <c r="R4721" s="2" t="s">
        <v>28</v>
      </c>
      <c r="S4721" s="24">
        <f t="shared" si="369"/>
        <v>0.02</v>
      </c>
    </row>
    <row r="4722" spans="1:19" x14ac:dyDescent="0.25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>VLOOKUP(F4722,'Customer Info'!$A:$B,2,0)</f>
        <v>Carl</v>
      </c>
      <c r="H4722" s="6" t="str">
        <f>VLOOKUP(F4722,'Customer Info'!$A$1:$C$501,3,0)</f>
        <v>Weiss</v>
      </c>
      <c r="I4722" s="6" t="str">
        <f>VLOOKUP(F4722,Customer,5,0)</f>
        <v>Delhi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8244</v>
      </c>
      <c r="O4722" s="2">
        <v>49</v>
      </c>
      <c r="P4722" s="8">
        <f t="shared" si="367"/>
        <v>8293</v>
      </c>
      <c r="Q4722" s="8">
        <f t="shared" si="368"/>
        <v>682</v>
      </c>
      <c r="R4722" s="2" t="s">
        <v>28</v>
      </c>
      <c r="S4722" s="24">
        <f t="shared" si="369"/>
        <v>0.05</v>
      </c>
    </row>
    <row r="4723" spans="1:19" x14ac:dyDescent="0.25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>VLOOKUP(F4723,'Customer Info'!$A:$B,2,0)</f>
        <v>Valerie</v>
      </c>
      <c r="H4723" s="6" t="str">
        <f>VLOOKUP(F4723,'Customer Info'!$A$1:$C$501,3,0)</f>
        <v>Takahito</v>
      </c>
      <c r="I4723" s="6" t="str">
        <f>VLOOKUP(F4723,Customer,5,0)</f>
        <v>Surat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654</v>
      </c>
      <c r="O4723" s="2">
        <v>37</v>
      </c>
      <c r="P4723" s="8">
        <f t="shared" si="367"/>
        <v>691</v>
      </c>
      <c r="Q4723" s="8">
        <f t="shared" si="368"/>
        <v>54</v>
      </c>
      <c r="R4723" s="2" t="s">
        <v>50</v>
      </c>
      <c r="S4723" s="24">
        <f t="shared" si="369"/>
        <v>0.02</v>
      </c>
    </row>
    <row r="4724" spans="1:19" x14ac:dyDescent="0.25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>VLOOKUP(F4724,'Customer Info'!$A:$B,2,0)</f>
        <v>Nick</v>
      </c>
      <c r="H4724" s="6" t="str">
        <f>VLOOKUP(F4724,'Customer Info'!$A$1:$C$501,3,0)</f>
        <v>Radford</v>
      </c>
      <c r="I4724" s="6" t="str">
        <f>VLOOKUP(F4724,Customer,5,0)</f>
        <v>Lucknow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6732</v>
      </c>
      <c r="O4724" s="2">
        <v>57</v>
      </c>
      <c r="P4724" s="8">
        <f t="shared" si="367"/>
        <v>6789</v>
      </c>
      <c r="Q4724" s="8">
        <f t="shared" si="368"/>
        <v>303</v>
      </c>
      <c r="R4724" s="2" t="s">
        <v>50</v>
      </c>
      <c r="S4724" s="24">
        <f t="shared" si="369"/>
        <v>0.05</v>
      </c>
    </row>
    <row r="4725" spans="1:19" x14ac:dyDescent="0.25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>VLOOKUP(F4725,'Customer Info'!$A:$B,2,0)</f>
        <v>Tony</v>
      </c>
      <c r="H4725" s="6" t="str">
        <f>VLOOKUP(F4725,'Customer Info'!$A$1:$C$501,3,0)</f>
        <v>Sayre</v>
      </c>
      <c r="I4725" s="6" t="str">
        <f>VLOOKUP(F4725,Customer,5,0)</f>
        <v>Jakarta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7398</v>
      </c>
      <c r="O4725" s="2">
        <v>100</v>
      </c>
      <c r="P4725" s="8">
        <f t="shared" si="367"/>
        <v>7498</v>
      </c>
      <c r="Q4725" s="8">
        <f t="shared" si="368"/>
        <v>348</v>
      </c>
      <c r="R4725" s="2" t="s">
        <v>50</v>
      </c>
      <c r="S4725" s="24">
        <f t="shared" si="369"/>
        <v>0.05</v>
      </c>
    </row>
    <row r="4726" spans="1:19" x14ac:dyDescent="0.25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>VLOOKUP(F4726,'Customer Info'!$A:$B,2,0)</f>
        <v>Filia</v>
      </c>
      <c r="H4726" s="6" t="str">
        <f>VLOOKUP(F4726,'Customer Info'!$A$1:$C$501,3,0)</f>
        <v>McAdams</v>
      </c>
      <c r="I4726" s="6" t="str">
        <f>VLOOKUP(F4726,Customer,5,0)</f>
        <v>Lucknow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279</v>
      </c>
      <c r="O4726" s="2">
        <v>65</v>
      </c>
      <c r="P4726" s="8">
        <f t="shared" si="367"/>
        <v>344</v>
      </c>
      <c r="Q4726" s="8">
        <f t="shared" si="368"/>
        <v>25</v>
      </c>
      <c r="R4726" s="2" t="s">
        <v>26</v>
      </c>
      <c r="S4726" s="24">
        <f t="shared" si="369"/>
        <v>0.02</v>
      </c>
    </row>
    <row r="4727" spans="1:19" x14ac:dyDescent="0.25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>VLOOKUP(F4727,'Customer Info'!$A:$B,2,0)</f>
        <v>Sam</v>
      </c>
      <c r="H4727" s="6" t="str">
        <f>VLOOKUP(F4727,'Customer Info'!$A$1:$C$501,3,0)</f>
        <v>Craven</v>
      </c>
      <c r="I4727" s="6" t="str">
        <f>VLOOKUP(F4727,Customer,5,0)</f>
        <v>Hyderabad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6208</v>
      </c>
      <c r="O4727" s="2">
        <v>66</v>
      </c>
      <c r="P4727" s="8">
        <f t="shared" si="367"/>
        <v>6274</v>
      </c>
      <c r="Q4727" s="8">
        <f t="shared" si="368"/>
        <v>344</v>
      </c>
      <c r="R4727" s="2" t="s">
        <v>50</v>
      </c>
      <c r="S4727" s="24">
        <f t="shared" si="369"/>
        <v>0.05</v>
      </c>
    </row>
    <row r="4728" spans="1:19" x14ac:dyDescent="0.25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>VLOOKUP(F4728,'Customer Info'!$A:$B,2,0)</f>
        <v>Harold</v>
      </c>
      <c r="H4728" s="6" t="str">
        <f>VLOOKUP(F4728,'Customer Info'!$A$1:$C$501,3,0)</f>
        <v>Engle</v>
      </c>
      <c r="I4728" s="6" t="str">
        <f>VLOOKUP(F4728,Customer,5,0)</f>
        <v>Chennai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45640</v>
      </c>
      <c r="O4728" s="2">
        <v>52</v>
      </c>
      <c r="P4728" s="8">
        <f t="shared" si="367"/>
        <v>45692</v>
      </c>
      <c r="Q4728" s="8">
        <f t="shared" si="368"/>
        <v>3745</v>
      </c>
      <c r="R4728" s="2" t="s">
        <v>26</v>
      </c>
      <c r="S4728" s="24">
        <f t="shared" si="369"/>
        <v>7.0000000000000007E-2</v>
      </c>
    </row>
    <row r="4729" spans="1:19" x14ac:dyDescent="0.25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>VLOOKUP(F4729,'Customer Info'!$A:$B,2,0)</f>
        <v>Thomas</v>
      </c>
      <c r="H4729" s="6" t="str">
        <f>VLOOKUP(F4729,'Customer Info'!$A$1:$C$501,3,0)</f>
        <v>Brumley</v>
      </c>
      <c r="I4729" s="6" t="str">
        <f>VLOOKUP(F4729,Customer,5,0)</f>
        <v>Jinan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12674</v>
      </c>
      <c r="O4729" s="2">
        <v>74</v>
      </c>
      <c r="P4729" s="8">
        <f t="shared" si="367"/>
        <v>12748</v>
      </c>
      <c r="Q4729" s="8">
        <f t="shared" si="368"/>
        <v>244</v>
      </c>
      <c r="R4729" s="2" t="s">
        <v>26</v>
      </c>
      <c r="S4729" s="24">
        <f t="shared" si="369"/>
        <v>0.05</v>
      </c>
    </row>
    <row r="4730" spans="1:19" x14ac:dyDescent="0.25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>VLOOKUP(F4730,'Customer Info'!$A:$B,2,0)</f>
        <v>Barry</v>
      </c>
      <c r="H4730" s="6" t="str">
        <f>VLOOKUP(F4730,'Customer Info'!$A$1:$C$501,3,0)</f>
        <v>Franzšsisch</v>
      </c>
      <c r="I4730" s="6" t="str">
        <f>VLOOKUP(F4730,Customer,5,0)</f>
        <v>Bendigo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9414</v>
      </c>
      <c r="O4730" s="2">
        <v>55</v>
      </c>
      <c r="P4730" s="8">
        <f t="shared" si="367"/>
        <v>9469</v>
      </c>
      <c r="Q4730" s="8">
        <f t="shared" si="368"/>
        <v>618</v>
      </c>
      <c r="R4730" s="2" t="s">
        <v>50</v>
      </c>
      <c r="S4730" s="24">
        <f t="shared" si="369"/>
        <v>0.05</v>
      </c>
    </row>
    <row r="4731" spans="1:19" x14ac:dyDescent="0.25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>VLOOKUP(F4731,'Customer Info'!$A:$B,2,0)</f>
        <v>Gary</v>
      </c>
      <c r="H4731" s="6" t="str">
        <f>VLOOKUP(F4731,'Customer Info'!$A$1:$C$501,3,0)</f>
        <v>Zandusky</v>
      </c>
      <c r="I4731" s="6" t="str">
        <f>VLOOKUP(F4731,Customer,5,0)</f>
        <v>Gold Coast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280</v>
      </c>
      <c r="O4731" s="2">
        <v>30</v>
      </c>
      <c r="P4731" s="8">
        <f t="shared" si="367"/>
        <v>310</v>
      </c>
      <c r="Q4731" s="8">
        <f t="shared" si="368"/>
        <v>6</v>
      </c>
      <c r="R4731" s="2" t="s">
        <v>50</v>
      </c>
      <c r="S4731" s="24">
        <f t="shared" si="369"/>
        <v>0.02</v>
      </c>
    </row>
    <row r="4732" spans="1:19" x14ac:dyDescent="0.25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>VLOOKUP(F4732,'Customer Info'!$A:$B,2,0)</f>
        <v>Emily</v>
      </c>
      <c r="H4732" s="6" t="str">
        <f>VLOOKUP(F4732,'Customer Info'!$A$1:$C$501,3,0)</f>
        <v>Burns</v>
      </c>
      <c r="I4732" s="6" t="str">
        <f>VLOOKUP(F4732,Customer,5,0)</f>
        <v>Chennai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2857</v>
      </c>
      <c r="O4732" s="2">
        <v>97</v>
      </c>
      <c r="P4732" s="8">
        <f t="shared" si="367"/>
        <v>2954</v>
      </c>
      <c r="Q4732" s="8">
        <f t="shared" si="368"/>
        <v>235</v>
      </c>
      <c r="R4732" s="2" t="s">
        <v>28</v>
      </c>
      <c r="S4732" s="24">
        <f t="shared" si="369"/>
        <v>0.02</v>
      </c>
    </row>
    <row r="4733" spans="1:19" x14ac:dyDescent="0.25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>VLOOKUP(F4733,'Customer Info'!$A:$B,2,0)</f>
        <v>Eugene</v>
      </c>
      <c r="H4733" s="6" t="str">
        <f>VLOOKUP(F4733,'Customer Info'!$A$1:$C$501,3,0)</f>
        <v>Hildebrand</v>
      </c>
      <c r="I4733" s="6" t="str">
        <f>VLOOKUP(F4733,Customer,5,0)</f>
        <v>Coffs Harbour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12738</v>
      </c>
      <c r="O4733" s="2">
        <v>20</v>
      </c>
      <c r="P4733" s="8">
        <f t="shared" si="367"/>
        <v>12758</v>
      </c>
      <c r="Q4733" s="8">
        <f t="shared" si="368"/>
        <v>1167</v>
      </c>
      <c r="R4733" s="2" t="s">
        <v>50</v>
      </c>
      <c r="S4733" s="24">
        <f t="shared" si="369"/>
        <v>0.05</v>
      </c>
    </row>
    <row r="4734" spans="1:19" x14ac:dyDescent="0.25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>VLOOKUP(F4734,'Customer Info'!$A:$B,2,0)</f>
        <v>Victoria</v>
      </c>
      <c r="H4734" s="6" t="str">
        <f>VLOOKUP(F4734,'Customer Info'!$A$1:$C$501,3,0)</f>
        <v>Brennan</v>
      </c>
      <c r="I4734" s="6" t="str">
        <f>VLOOKUP(F4734,Customer,5,0)</f>
        <v>Mangalore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17756</v>
      </c>
      <c r="O4734" s="2">
        <v>89</v>
      </c>
      <c r="P4734" s="8">
        <f t="shared" si="367"/>
        <v>17845</v>
      </c>
      <c r="Q4734" s="8">
        <f t="shared" si="368"/>
        <v>1928</v>
      </c>
      <c r="R4734" s="2" t="s">
        <v>28</v>
      </c>
      <c r="S4734" s="24">
        <f t="shared" si="369"/>
        <v>0.05</v>
      </c>
    </row>
    <row r="4735" spans="1:19" x14ac:dyDescent="0.25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>VLOOKUP(F4735,'Customer Info'!$A:$B,2,0)</f>
        <v>Jennifer</v>
      </c>
      <c r="H4735" s="6" t="str">
        <f>VLOOKUP(F4735,'Customer Info'!$A$1:$C$501,3,0)</f>
        <v>Jackson</v>
      </c>
      <c r="I4735" s="6" t="str">
        <f>VLOOKUP(F4735,Customer,5,0)</f>
        <v>Queanbeyan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183</v>
      </c>
      <c r="O4735" s="2">
        <v>10</v>
      </c>
      <c r="P4735" s="8">
        <f t="shared" si="367"/>
        <v>193</v>
      </c>
      <c r="Q4735" s="8">
        <f t="shared" si="368"/>
        <v>15</v>
      </c>
      <c r="R4735" s="2" t="s">
        <v>50</v>
      </c>
      <c r="S4735" s="24">
        <f t="shared" si="369"/>
        <v>0.02</v>
      </c>
    </row>
    <row r="4736" spans="1:19" x14ac:dyDescent="0.25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>VLOOKUP(F4736,'Customer Info'!$A:$B,2,0)</f>
        <v>Christina</v>
      </c>
      <c r="H4736" s="6" t="str">
        <f>VLOOKUP(F4736,'Customer Info'!$A$1:$C$501,3,0)</f>
        <v>VanderZanden</v>
      </c>
      <c r="I4736" s="6" t="str">
        <f>VLOOKUP(F4736,Customer,5,0)</f>
        <v>Gold Coast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44844</v>
      </c>
      <c r="O4736" s="2">
        <v>96</v>
      </c>
      <c r="P4736" s="8">
        <f t="shared" si="367"/>
        <v>44940</v>
      </c>
      <c r="Q4736" s="8">
        <f t="shared" si="368"/>
        <v>3696</v>
      </c>
      <c r="R4736" s="2" t="s">
        <v>28</v>
      </c>
      <c r="S4736" s="24">
        <f t="shared" si="369"/>
        <v>7.0000000000000007E-2</v>
      </c>
    </row>
    <row r="4737" spans="1:19" x14ac:dyDescent="0.25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>VLOOKUP(F4737,'Customer Info'!$A:$B,2,0)</f>
        <v>Toby</v>
      </c>
      <c r="H4737" s="6" t="str">
        <f>VLOOKUP(F4737,'Customer Info'!$A$1:$C$501,3,0)</f>
        <v>Gnade</v>
      </c>
      <c r="I4737" s="6" t="str">
        <f>VLOOKUP(F4737,Customer,5,0)</f>
        <v>Wagga Wagga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2083</v>
      </c>
      <c r="O4737" s="2">
        <v>68</v>
      </c>
      <c r="P4737" s="8">
        <f t="shared" si="367"/>
        <v>2151</v>
      </c>
      <c r="Q4737" s="8">
        <f t="shared" si="368"/>
        <v>79</v>
      </c>
      <c r="R4737" s="2" t="s">
        <v>28</v>
      </c>
      <c r="S4737" s="24">
        <f t="shared" si="369"/>
        <v>0.02</v>
      </c>
    </row>
    <row r="4738" spans="1:19" x14ac:dyDescent="0.25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>VLOOKUP(F4738,'Customer Info'!$A:$B,2,0)</f>
        <v>Cynthia</v>
      </c>
      <c r="H4738" s="6" t="str">
        <f>VLOOKUP(F4738,'Customer Info'!$A$1:$C$501,3,0)</f>
        <v>Delaney</v>
      </c>
      <c r="I4738" s="6" t="str">
        <f>VLOOKUP(F4738,Customer,5,0)</f>
        <v>Gold Coast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69</v>
      </c>
      <c r="O4738" s="2">
        <v>10</v>
      </c>
      <c r="P4738" s="8">
        <f t="shared" si="367"/>
        <v>79</v>
      </c>
      <c r="Q4738" s="8">
        <f t="shared" si="368"/>
        <v>5</v>
      </c>
      <c r="R4738" s="2" t="s">
        <v>28</v>
      </c>
      <c r="S4738" s="24">
        <f t="shared" si="369"/>
        <v>0.02</v>
      </c>
    </row>
    <row r="4739" spans="1:19" x14ac:dyDescent="0.25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>VLOOKUP(F4739,'Customer Info'!$A:$B,2,0)</f>
        <v>Evan</v>
      </c>
      <c r="H4739" s="6" t="str">
        <f>VLOOKUP(F4739,'Customer Info'!$A$1:$C$501,3,0)</f>
        <v>Henry</v>
      </c>
      <c r="I4739" s="6" t="str">
        <f>VLOOKUP(F4739,Customer,5,0)</f>
        <v>Zhoukou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15886</v>
      </c>
      <c r="O4739" s="2">
        <v>71</v>
      </c>
      <c r="P4739" s="8">
        <f t="shared" si="367"/>
        <v>15957</v>
      </c>
      <c r="Q4739" s="8">
        <f t="shared" si="368"/>
        <v>306</v>
      </c>
      <c r="R4739" s="2" t="s">
        <v>28</v>
      </c>
      <c r="S4739" s="24">
        <f t="shared" si="369"/>
        <v>0.05</v>
      </c>
    </row>
    <row r="4740" spans="1:19" x14ac:dyDescent="0.25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>VLOOKUP(F4740,'Customer Info'!$A:$B,2,0)</f>
        <v>Dave</v>
      </c>
      <c r="H4740" s="6" t="str">
        <f>VLOOKUP(F4740,'Customer Info'!$A$1:$C$501,3,0)</f>
        <v>Hallsten</v>
      </c>
      <c r="I4740" s="6" t="str">
        <f>VLOOKUP(F4740,Customer,5,0)</f>
        <v>Coimbatore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5748</v>
      </c>
      <c r="O4740" s="2">
        <v>86</v>
      </c>
      <c r="P4740" s="8">
        <f t="shared" si="367"/>
        <v>5834</v>
      </c>
      <c r="Q4740" s="8">
        <f t="shared" si="368"/>
        <v>582</v>
      </c>
      <c r="R4740" s="2" t="s">
        <v>28</v>
      </c>
      <c r="S4740" s="24">
        <f t="shared" si="369"/>
        <v>0.05</v>
      </c>
    </row>
    <row r="4741" spans="1:19" x14ac:dyDescent="0.25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>VLOOKUP(F4741,'Customer Info'!$A:$B,2,0)</f>
        <v>Sally</v>
      </c>
      <c r="H4741" s="6" t="str">
        <f>VLOOKUP(F4741,'Customer Info'!$A$1:$C$501,3,0)</f>
        <v>Knutson</v>
      </c>
      <c r="I4741" s="6" t="str">
        <f>VLOOKUP(F4741,Customer,5,0)</f>
        <v>CastropRauxel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9808</v>
      </c>
      <c r="O4741" s="2">
        <v>56</v>
      </c>
      <c r="P4741" s="8">
        <f t="shared" si="367"/>
        <v>9864</v>
      </c>
      <c r="Q4741" s="8">
        <f t="shared" si="368"/>
        <v>810</v>
      </c>
      <c r="R4741" s="2" t="s">
        <v>28</v>
      </c>
      <c r="S4741" s="24">
        <f t="shared" si="369"/>
        <v>0.05</v>
      </c>
    </row>
    <row r="4742" spans="1:19" x14ac:dyDescent="0.25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>VLOOKUP(F4742,'Customer Info'!$A:$B,2,0)</f>
        <v>Melanie</v>
      </c>
      <c r="H4742" s="6" t="str">
        <f>VLOOKUP(F4742,'Customer Info'!$A$1:$C$501,3,0)</f>
        <v>Seite</v>
      </c>
      <c r="I4742" s="6" t="str">
        <f>VLOOKUP(F4742,Customer,5,0)</f>
        <v>Xining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5646</v>
      </c>
      <c r="O4742" s="2">
        <v>60</v>
      </c>
      <c r="P4742" s="8">
        <f t="shared" si="367"/>
        <v>5706</v>
      </c>
      <c r="Q4742" s="8">
        <f t="shared" si="368"/>
        <v>270</v>
      </c>
      <c r="R4742" s="2" t="s">
        <v>50</v>
      </c>
      <c r="S4742" s="24">
        <f t="shared" si="369"/>
        <v>0.05</v>
      </c>
    </row>
    <row r="4743" spans="1:19" x14ac:dyDescent="0.25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>VLOOKUP(F4743,'Customer Info'!$A:$B,2,0)</f>
        <v>Paul</v>
      </c>
      <c r="H4743" s="6" t="str">
        <f>VLOOKUP(F4743,'Customer Info'!$A$1:$C$501,3,0)</f>
        <v>Stevenson</v>
      </c>
      <c r="I4743" s="6" t="str">
        <f>VLOOKUP(F4743,Customer,5,0)</f>
        <v>Kwinana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280</v>
      </c>
      <c r="O4743" s="2">
        <v>30</v>
      </c>
      <c r="P4743" s="8">
        <f t="shared" si="367"/>
        <v>310</v>
      </c>
      <c r="Q4743" s="8">
        <f t="shared" si="368"/>
        <v>6</v>
      </c>
      <c r="R4743" s="2" t="s">
        <v>50</v>
      </c>
      <c r="S4743" s="24">
        <f t="shared" si="369"/>
        <v>0.02</v>
      </c>
    </row>
    <row r="4744" spans="1:19" x14ac:dyDescent="0.25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>VLOOKUP(F4744,'Customer Info'!$A:$B,2,0)</f>
        <v>Logan</v>
      </c>
      <c r="H4744" s="6" t="str">
        <f>VLOOKUP(F4744,'Customer Info'!$A$1:$C$501,3,0)</f>
        <v>Currie</v>
      </c>
      <c r="I4744" s="6" t="str">
        <f>VLOOKUP(F4744,Customer,5,0)</f>
        <v>Amravati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27918</v>
      </c>
      <c r="O4744" s="2">
        <v>39</v>
      </c>
      <c r="P4744" s="8">
        <f t="shared" si="367"/>
        <v>27957</v>
      </c>
      <c r="Q4744" s="8">
        <f t="shared" si="368"/>
        <v>2535</v>
      </c>
      <c r="R4744" s="2" t="s">
        <v>50</v>
      </c>
      <c r="S4744" s="24">
        <f t="shared" si="369"/>
        <v>7.0000000000000007E-2</v>
      </c>
    </row>
    <row r="4745" spans="1:19" x14ac:dyDescent="0.25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>VLOOKUP(F4745,'Customer Info'!$A:$B,2,0)</f>
        <v>Aaron</v>
      </c>
      <c r="H4745" s="6" t="str">
        <f>VLOOKUP(F4745,'Customer Info'!$A$1:$C$501,3,0)</f>
        <v>Smayling</v>
      </c>
      <c r="I4745" s="6" t="str">
        <f>VLOOKUP(F4745,Customer,5,0)</f>
        <v>Dresden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5456</v>
      </c>
      <c r="O4745" s="2">
        <v>51</v>
      </c>
      <c r="P4745" s="8">
        <f t="shared" si="367"/>
        <v>5507</v>
      </c>
      <c r="Q4745" s="8">
        <f t="shared" si="368"/>
        <v>360</v>
      </c>
      <c r="R4745" s="2" t="s">
        <v>56</v>
      </c>
      <c r="S4745" s="24">
        <f t="shared" si="369"/>
        <v>0.05</v>
      </c>
    </row>
    <row r="4746" spans="1:19" x14ac:dyDescent="0.25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>VLOOKUP(F4746,'Customer Info'!$A:$B,2,0)</f>
        <v>Cyra</v>
      </c>
      <c r="H4746" s="6" t="str">
        <f>VLOOKUP(F4746,'Customer Info'!$A$1:$C$501,3,0)</f>
        <v>Reiten</v>
      </c>
      <c r="I4746" s="6" t="str">
        <f>VLOOKUP(F4746,Customer,5,0)</f>
        <v>Samarinda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116</v>
      </c>
      <c r="O4746" s="2">
        <v>10</v>
      </c>
      <c r="P4746" s="8">
        <f t="shared" si="367"/>
        <v>126</v>
      </c>
      <c r="Q4746" s="8">
        <f t="shared" si="368"/>
        <v>4</v>
      </c>
      <c r="R4746" s="2" t="s">
        <v>28</v>
      </c>
      <c r="S4746" s="24">
        <f t="shared" si="369"/>
        <v>0.02</v>
      </c>
    </row>
    <row r="4747" spans="1:19" x14ac:dyDescent="0.25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>VLOOKUP(F4747,'Customer Info'!$A:$B,2,0)</f>
        <v>Bill</v>
      </c>
      <c r="H4747" s="6" t="str">
        <f>VLOOKUP(F4747,'Customer Info'!$A$1:$C$501,3,0)</f>
        <v>Eplett</v>
      </c>
      <c r="I4747" s="6" t="str">
        <f>VLOOKUP(F4747,Customer,5,0)</f>
        <v>Newcastle</v>
      </c>
      <c r="J4747" s="2">
        <v>1081</v>
      </c>
      <c r="K4747" s="2">
        <v>983</v>
      </c>
      <c r="L4747" s="2">
        <v>3</v>
      </c>
      <c r="M4747" s="7">
        <f t="shared" ref="M4747:M4810" si="370">K4747*L4747</f>
        <v>2949</v>
      </c>
      <c r="N4747" s="7">
        <f t="shared" ref="N4747:N4810" si="371">J4747*L4747</f>
        <v>3243</v>
      </c>
      <c r="O4747" s="2">
        <v>44</v>
      </c>
      <c r="P4747" s="8">
        <f t="shared" ref="P4747:P4810" si="372">N4747+O4747</f>
        <v>3287</v>
      </c>
      <c r="Q4747" s="8">
        <f t="shared" ref="Q4747:Q4810" si="373">N4747-M4747</f>
        <v>294</v>
      </c>
      <c r="R4747" s="2" t="s">
        <v>28</v>
      </c>
      <c r="S4747" s="24">
        <f t="shared" ref="S4747:S4810" si="374">VLOOKUP(N4747,$T$1:$U$7,2,TRUE)</f>
        <v>0.02</v>
      </c>
    </row>
    <row r="4748" spans="1:19" x14ac:dyDescent="0.25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>VLOOKUP(F4748,'Customer Info'!$A:$B,2,0)</f>
        <v>Elpida</v>
      </c>
      <c r="H4748" s="6" t="str">
        <f>VLOOKUP(F4748,'Customer Info'!$A$1:$C$501,3,0)</f>
        <v>Rittenbach</v>
      </c>
      <c r="I4748" s="6" t="str">
        <f>VLOOKUP(F4748,Customer,5,0)</f>
        <v>Melbourne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8">
        <f t="shared" si="372"/>
        <v>1050</v>
      </c>
      <c r="Q4748" s="8">
        <f t="shared" si="373"/>
        <v>60</v>
      </c>
      <c r="R4748" s="2" t="s">
        <v>28</v>
      </c>
      <c r="S4748" s="24">
        <f t="shared" si="374"/>
        <v>0.02</v>
      </c>
    </row>
    <row r="4749" spans="1:19" x14ac:dyDescent="0.25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>VLOOKUP(F4749,'Customer Info'!$A:$B,2,0)</f>
        <v>Laurel</v>
      </c>
      <c r="H4749" s="6" t="str">
        <f>VLOOKUP(F4749,'Customer Info'!$A$1:$C$501,3,0)</f>
        <v>Workman</v>
      </c>
      <c r="I4749" s="6" t="str">
        <f>VLOOKUP(F4749,Customer,5,0)</f>
        <v>Dongguan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8">
        <f t="shared" si="372"/>
        <v>18120</v>
      </c>
      <c r="Q4749" s="8">
        <f t="shared" si="373"/>
        <v>1800</v>
      </c>
      <c r="R4749" s="2" t="s">
        <v>26</v>
      </c>
      <c r="S4749" s="24">
        <f t="shared" si="374"/>
        <v>0.05</v>
      </c>
    </row>
    <row r="4750" spans="1:19" x14ac:dyDescent="0.25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>VLOOKUP(F4750,'Customer Info'!$A:$B,2,0)</f>
        <v>Ritsa</v>
      </c>
      <c r="H4750" s="6" t="str">
        <f>VLOOKUP(F4750,'Customer Info'!$A$1:$C$501,3,0)</f>
        <v>Hightower</v>
      </c>
      <c r="I4750" s="6" t="str">
        <f>VLOOKUP(F4750,Customer,5,0)</f>
        <v>Hamburg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8">
        <f t="shared" si="372"/>
        <v>12688</v>
      </c>
      <c r="Q4750" s="8">
        <f t="shared" si="373"/>
        <v>590</v>
      </c>
      <c r="R4750" s="2" t="s">
        <v>28</v>
      </c>
      <c r="S4750" s="24">
        <f t="shared" si="374"/>
        <v>0.05</v>
      </c>
    </row>
    <row r="4751" spans="1:19" x14ac:dyDescent="0.25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>VLOOKUP(F4751,'Customer Info'!$A:$B,2,0)</f>
        <v>Emily</v>
      </c>
      <c r="H4751" s="6" t="str">
        <f>VLOOKUP(F4751,'Customer Info'!$A$1:$C$501,3,0)</f>
        <v>Burns</v>
      </c>
      <c r="I4751" s="6" t="str">
        <f>VLOOKUP(F4751,Customer,5,0)</f>
        <v>Nasik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8">
        <f t="shared" si="372"/>
        <v>22001</v>
      </c>
      <c r="Q4751" s="8">
        <f t="shared" si="373"/>
        <v>1616</v>
      </c>
      <c r="R4751" s="2" t="s">
        <v>28</v>
      </c>
      <c r="S4751" s="24">
        <f t="shared" si="374"/>
        <v>0.05</v>
      </c>
    </row>
    <row r="4752" spans="1:19" x14ac:dyDescent="0.25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>VLOOKUP(F4752,'Customer Info'!$A:$B,2,0)</f>
        <v>Sonia</v>
      </c>
      <c r="H4752" s="6" t="str">
        <f>VLOOKUP(F4752,'Customer Info'!$A$1:$C$501,3,0)</f>
        <v>Sunley</v>
      </c>
      <c r="I4752" s="6" t="str">
        <f>VLOOKUP(F4752,Customer,5,0)</f>
        <v>Canberra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9664</v>
      </c>
      <c r="O4752" s="2">
        <v>21</v>
      </c>
      <c r="P4752" s="8">
        <f t="shared" si="372"/>
        <v>9685</v>
      </c>
      <c r="Q4752" s="8">
        <f t="shared" si="373"/>
        <v>538</v>
      </c>
      <c r="R4752" s="2" t="s">
        <v>28</v>
      </c>
      <c r="S4752" s="24">
        <f t="shared" si="374"/>
        <v>0.05</v>
      </c>
    </row>
    <row r="4753" spans="1:19" x14ac:dyDescent="0.25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>VLOOKUP(F4753,'Customer Info'!$A:$B,2,0)</f>
        <v>Emily</v>
      </c>
      <c r="H4753" s="6" t="str">
        <f>VLOOKUP(F4753,'Customer Info'!$A$1:$C$501,3,0)</f>
        <v>Burns</v>
      </c>
      <c r="I4753" s="6" t="str">
        <f>VLOOKUP(F4753,Customer,5,0)</f>
        <v>Adelaide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134</v>
      </c>
      <c r="O4753" s="2">
        <v>10</v>
      </c>
      <c r="P4753" s="8">
        <f t="shared" si="372"/>
        <v>144</v>
      </c>
      <c r="Q4753" s="8">
        <f t="shared" si="373"/>
        <v>10</v>
      </c>
      <c r="R4753" s="2" t="s">
        <v>50</v>
      </c>
      <c r="S4753" s="24">
        <f t="shared" si="374"/>
        <v>0.02</v>
      </c>
    </row>
    <row r="4754" spans="1:19" x14ac:dyDescent="0.25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>VLOOKUP(F4754,'Customer Info'!$A:$B,2,0)</f>
        <v>Tamara</v>
      </c>
      <c r="H4754" s="6" t="str">
        <f>VLOOKUP(F4754,'Customer Info'!$A$1:$C$501,3,0)</f>
        <v>Willingham</v>
      </c>
      <c r="I4754" s="6" t="str">
        <f>VLOOKUP(F4754,Customer,5,0)</f>
        <v>Perth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2778</v>
      </c>
      <c r="O4754" s="2">
        <v>86</v>
      </c>
      <c r="P4754" s="8">
        <f t="shared" si="372"/>
        <v>2864</v>
      </c>
      <c r="Q4754" s="8">
        <f t="shared" si="373"/>
        <v>205</v>
      </c>
      <c r="R4754" s="2" t="s">
        <v>28</v>
      </c>
      <c r="S4754" s="24">
        <f t="shared" si="374"/>
        <v>0.02</v>
      </c>
    </row>
    <row r="4755" spans="1:19" x14ac:dyDescent="0.25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>VLOOKUP(F4755,'Customer Info'!$A:$B,2,0)</f>
        <v>Neil</v>
      </c>
      <c r="H4755" s="6" t="str">
        <f>VLOOKUP(F4755,'Customer Info'!$A$1:$C$501,3,0)</f>
        <v>Knudson</v>
      </c>
      <c r="I4755" s="6" t="str">
        <f>VLOOKUP(F4755,Customer,5,0)</f>
        <v>Malang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14464</v>
      </c>
      <c r="O4755" s="2">
        <v>68</v>
      </c>
      <c r="P4755" s="8">
        <f t="shared" si="372"/>
        <v>14532</v>
      </c>
      <c r="Q4755" s="8">
        <f t="shared" si="373"/>
        <v>958</v>
      </c>
      <c r="R4755" s="2" t="s">
        <v>50</v>
      </c>
      <c r="S4755" s="24">
        <f t="shared" si="374"/>
        <v>0.05</v>
      </c>
    </row>
    <row r="4756" spans="1:19" x14ac:dyDescent="0.25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>VLOOKUP(F4756,'Customer Info'!$A:$B,2,0)</f>
        <v>Alejandro</v>
      </c>
      <c r="H4756" s="6" t="str">
        <f>VLOOKUP(F4756,'Customer Info'!$A$1:$C$501,3,0)</f>
        <v>Grove</v>
      </c>
      <c r="I4756" s="6" t="str">
        <f>VLOOKUP(F4756,Customer,5,0)</f>
        <v>Whyalla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4648</v>
      </c>
      <c r="O4756" s="2">
        <v>46</v>
      </c>
      <c r="P4756" s="8">
        <f t="shared" si="372"/>
        <v>4694</v>
      </c>
      <c r="Q4756" s="8">
        <f t="shared" si="373"/>
        <v>616</v>
      </c>
      <c r="R4756" s="2" t="s">
        <v>28</v>
      </c>
      <c r="S4756" s="24">
        <f t="shared" si="374"/>
        <v>0.02</v>
      </c>
    </row>
    <row r="4757" spans="1:19" x14ac:dyDescent="0.25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>VLOOKUP(F4757,'Customer Info'!$A:$B,2,0)</f>
        <v>Trudy</v>
      </c>
      <c r="H4757" s="6" t="str">
        <f>VLOOKUP(F4757,'Customer Info'!$A$1:$C$501,3,0)</f>
        <v>Glocke</v>
      </c>
      <c r="I4757" s="6" t="str">
        <f>VLOOKUP(F4757,Customer,5,0)</f>
        <v>Brisbane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25137</v>
      </c>
      <c r="O4757" s="2">
        <v>89</v>
      </c>
      <c r="P4757" s="8">
        <f t="shared" si="372"/>
        <v>25226</v>
      </c>
      <c r="Q4757" s="8">
        <f t="shared" si="373"/>
        <v>954</v>
      </c>
      <c r="R4757" s="2" t="s">
        <v>50</v>
      </c>
      <c r="S4757" s="24">
        <f t="shared" si="374"/>
        <v>7.0000000000000007E-2</v>
      </c>
    </row>
    <row r="4758" spans="1:19" x14ac:dyDescent="0.25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>VLOOKUP(F4758,'Customer Info'!$A:$B,2,0)</f>
        <v>Ralph</v>
      </c>
      <c r="H4758" s="6" t="str">
        <f>VLOOKUP(F4758,'Customer Info'!$A$1:$C$501,3,0)</f>
        <v>Arnett</v>
      </c>
      <c r="I4758" s="6" t="str">
        <f>VLOOKUP(F4758,Customer,5,0)</f>
        <v>Jhansi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18180</v>
      </c>
      <c r="O4758" s="2">
        <v>92</v>
      </c>
      <c r="P4758" s="8">
        <f t="shared" si="372"/>
        <v>18272</v>
      </c>
      <c r="Q4758" s="8">
        <f t="shared" si="373"/>
        <v>174</v>
      </c>
      <c r="R4758" s="2" t="s">
        <v>50</v>
      </c>
      <c r="S4758" s="24">
        <f t="shared" si="374"/>
        <v>0.05</v>
      </c>
    </row>
    <row r="4759" spans="1:19" x14ac:dyDescent="0.25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>VLOOKUP(F4759,'Customer Info'!$A:$B,2,0)</f>
        <v>Kunst</v>
      </c>
      <c r="H4759" s="6" t="str">
        <f>VLOOKUP(F4759,'Customer Info'!$A$1:$C$501,3,0)</f>
        <v>Miller</v>
      </c>
      <c r="I4759" s="6" t="str">
        <f>VLOOKUP(F4759,Customer,5,0)</f>
        <v>Jakarta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2526</v>
      </c>
      <c r="O4759" s="2">
        <v>99</v>
      </c>
      <c r="P4759" s="8">
        <f t="shared" si="372"/>
        <v>2625</v>
      </c>
      <c r="Q4759" s="8">
        <f t="shared" si="373"/>
        <v>118</v>
      </c>
      <c r="R4759" s="2" t="s">
        <v>28</v>
      </c>
      <c r="S4759" s="24">
        <f t="shared" si="374"/>
        <v>0.02</v>
      </c>
    </row>
    <row r="4760" spans="1:19" x14ac:dyDescent="0.25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>VLOOKUP(F4760,'Customer Info'!$A:$B,2,0)</f>
        <v>Hunter</v>
      </c>
      <c r="H4760" s="6" t="str">
        <f>VLOOKUP(F4760,'Customer Info'!$A$1:$C$501,3,0)</f>
        <v>Lopez</v>
      </c>
      <c r="I4760" s="6" t="str">
        <f>VLOOKUP(F4760,Customer,5,0)</f>
        <v>Wollongong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6352</v>
      </c>
      <c r="O4760" s="2">
        <v>22</v>
      </c>
      <c r="P4760" s="8">
        <f t="shared" si="372"/>
        <v>6374</v>
      </c>
      <c r="Q4760" s="8">
        <f t="shared" si="373"/>
        <v>120</v>
      </c>
      <c r="R4760" s="2" t="s">
        <v>50</v>
      </c>
      <c r="S4760" s="24">
        <f t="shared" si="374"/>
        <v>0.05</v>
      </c>
    </row>
    <row r="4761" spans="1:19" x14ac:dyDescent="0.25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>VLOOKUP(F4761,'Customer Info'!$A:$B,2,0)</f>
        <v>Thomas</v>
      </c>
      <c r="H4761" s="6" t="str">
        <f>VLOOKUP(F4761,'Customer Info'!$A$1:$C$501,3,0)</f>
        <v>Boland</v>
      </c>
      <c r="I4761" s="6" t="str">
        <f>VLOOKUP(F4761,Customer,5,0)</f>
        <v>Surabaya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258</v>
      </c>
      <c r="O4761" s="2">
        <v>30</v>
      </c>
      <c r="P4761" s="8">
        <f t="shared" si="372"/>
        <v>288</v>
      </c>
      <c r="Q4761" s="8">
        <f t="shared" si="373"/>
        <v>22</v>
      </c>
      <c r="R4761" s="2" t="s">
        <v>28</v>
      </c>
      <c r="S4761" s="24">
        <f t="shared" si="374"/>
        <v>0.02</v>
      </c>
    </row>
    <row r="4762" spans="1:19" x14ac:dyDescent="0.25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>VLOOKUP(F4762,'Customer Info'!$A:$B,2,0)</f>
        <v>Deirdre</v>
      </c>
      <c r="H4762" s="6" t="str">
        <f>VLOOKUP(F4762,'Customer Info'!$A$1:$C$501,3,0)</f>
        <v>Greer</v>
      </c>
      <c r="I4762" s="6" t="str">
        <f>VLOOKUP(F4762,Customer,5,0)</f>
        <v>Perth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1332</v>
      </c>
      <c r="O4762" s="2">
        <v>30</v>
      </c>
      <c r="P4762" s="8">
        <f t="shared" si="372"/>
        <v>1362</v>
      </c>
      <c r="Q4762" s="8">
        <f t="shared" si="373"/>
        <v>84</v>
      </c>
      <c r="R4762" s="2" t="s">
        <v>50</v>
      </c>
      <c r="S4762" s="24">
        <f t="shared" si="374"/>
        <v>0.02</v>
      </c>
    </row>
    <row r="4763" spans="1:19" x14ac:dyDescent="0.25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>VLOOKUP(F4763,'Customer Info'!$A:$B,2,0)</f>
        <v>Thomas</v>
      </c>
      <c r="H4763" s="6" t="str">
        <f>VLOOKUP(F4763,'Customer Info'!$A$1:$C$501,3,0)</f>
        <v>Seio</v>
      </c>
      <c r="I4763" s="6" t="str">
        <f>VLOOKUP(F4763,Customer,5,0)</f>
        <v>Melbourne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2206</v>
      </c>
      <c r="O4763" s="2">
        <v>55</v>
      </c>
      <c r="P4763" s="8">
        <f t="shared" si="372"/>
        <v>2261</v>
      </c>
      <c r="Q4763" s="8">
        <f t="shared" si="373"/>
        <v>146</v>
      </c>
      <c r="R4763" s="2" t="s">
        <v>28</v>
      </c>
      <c r="S4763" s="24">
        <f t="shared" si="374"/>
        <v>0.02</v>
      </c>
    </row>
    <row r="4764" spans="1:19" x14ac:dyDescent="0.25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>VLOOKUP(F4764,'Customer Info'!$A:$B,2,0)</f>
        <v>Jessica</v>
      </c>
      <c r="H4764" s="6" t="str">
        <f>VLOOKUP(F4764,'Customer Info'!$A$1:$C$501,3,0)</f>
        <v>Myrick</v>
      </c>
      <c r="I4764" s="6" t="str">
        <f>VLOOKUP(F4764,Customer,5,0)</f>
        <v>Krefeld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32405</v>
      </c>
      <c r="O4764" s="2">
        <v>91</v>
      </c>
      <c r="P4764" s="8">
        <f t="shared" si="372"/>
        <v>32496</v>
      </c>
      <c r="Q4764" s="8">
        <f t="shared" si="373"/>
        <v>2985</v>
      </c>
      <c r="R4764" s="2" t="s">
        <v>56</v>
      </c>
      <c r="S4764" s="24">
        <f t="shared" si="374"/>
        <v>7.0000000000000007E-2</v>
      </c>
    </row>
    <row r="4765" spans="1:19" x14ac:dyDescent="0.25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>VLOOKUP(F4765,'Customer Info'!$A:$B,2,0)</f>
        <v>Brendan</v>
      </c>
      <c r="H4765" s="6" t="str">
        <f>VLOOKUP(F4765,'Customer Info'!$A$1:$C$501,3,0)</f>
        <v>Murry</v>
      </c>
      <c r="I4765" s="6" t="str">
        <f>VLOOKUP(F4765,Customer,5,0)</f>
        <v>Schwerin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315</v>
      </c>
      <c r="O4765" s="2">
        <v>10</v>
      </c>
      <c r="P4765" s="8">
        <f t="shared" si="372"/>
        <v>325</v>
      </c>
      <c r="Q4765" s="8">
        <f t="shared" si="373"/>
        <v>20</v>
      </c>
      <c r="R4765" s="2" t="s">
        <v>28</v>
      </c>
      <c r="S4765" s="24">
        <f t="shared" si="374"/>
        <v>0.02</v>
      </c>
    </row>
    <row r="4766" spans="1:19" x14ac:dyDescent="0.25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>VLOOKUP(F4766,'Customer Info'!$A:$B,2,0)</f>
        <v>Larry</v>
      </c>
      <c r="H4766" s="6" t="str">
        <f>VLOOKUP(F4766,'Customer Info'!$A$1:$C$501,3,0)</f>
        <v>Blacks</v>
      </c>
      <c r="I4766" s="6" t="str">
        <f>VLOOKUP(F4766,Customer,5,0)</f>
        <v>Shangyu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935</v>
      </c>
      <c r="O4766" s="2">
        <v>30</v>
      </c>
      <c r="P4766" s="8">
        <f t="shared" si="372"/>
        <v>965</v>
      </c>
      <c r="Q4766" s="8">
        <f t="shared" si="373"/>
        <v>55</v>
      </c>
      <c r="R4766" s="2" t="s">
        <v>28</v>
      </c>
      <c r="S4766" s="24">
        <f t="shared" si="374"/>
        <v>0.02</v>
      </c>
    </row>
    <row r="4767" spans="1:19" x14ac:dyDescent="0.25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>VLOOKUP(F4767,'Customer Info'!$A:$B,2,0)</f>
        <v>Robert</v>
      </c>
      <c r="H4767" s="6" t="str">
        <f>VLOOKUP(F4767,'Customer Info'!$A$1:$C$501,3,0)</f>
        <v>Dilbeck</v>
      </c>
      <c r="I4767" s="6" t="str">
        <f>VLOOKUP(F4767,Customer,5,0)</f>
        <v>Melton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4676</v>
      </c>
      <c r="O4767" s="2">
        <v>69</v>
      </c>
      <c r="P4767" s="8">
        <f t="shared" si="372"/>
        <v>4745</v>
      </c>
      <c r="Q4767" s="8">
        <f t="shared" si="373"/>
        <v>388</v>
      </c>
      <c r="R4767" s="2" t="s">
        <v>50</v>
      </c>
      <c r="S4767" s="24">
        <f t="shared" si="374"/>
        <v>0.02</v>
      </c>
    </row>
    <row r="4768" spans="1:19" x14ac:dyDescent="0.25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>VLOOKUP(F4768,'Customer Info'!$A:$B,2,0)</f>
        <v>Joy</v>
      </c>
      <c r="H4768" s="6" t="str">
        <f>VLOOKUP(F4768,'Customer Info'!$A$1:$C$501,3,0)</f>
        <v>Daniels</v>
      </c>
      <c r="I4768" s="6" t="str">
        <f>VLOOKUP(F4768,Customer,5,0)</f>
        <v>Cairns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519</v>
      </c>
      <c r="O4768" s="2">
        <v>30</v>
      </c>
      <c r="P4768" s="8">
        <f t="shared" si="372"/>
        <v>549</v>
      </c>
      <c r="Q4768" s="8">
        <f t="shared" si="373"/>
        <v>54</v>
      </c>
      <c r="R4768" s="2" t="s">
        <v>50</v>
      </c>
      <c r="S4768" s="24">
        <f t="shared" si="374"/>
        <v>0.02</v>
      </c>
    </row>
    <row r="4769" spans="1:19" x14ac:dyDescent="0.25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>VLOOKUP(F4769,'Customer Info'!$A:$B,2,0)</f>
        <v>Philip</v>
      </c>
      <c r="H4769" s="6" t="str">
        <f>VLOOKUP(F4769,'Customer Info'!$A$1:$C$501,3,0)</f>
        <v>Brown</v>
      </c>
      <c r="I4769" s="6" t="str">
        <f>VLOOKUP(F4769,Customer,5,0)</f>
        <v>Binjai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7119</v>
      </c>
      <c r="O4769" s="2">
        <v>67</v>
      </c>
      <c r="P4769" s="8">
        <f t="shared" si="372"/>
        <v>7186</v>
      </c>
      <c r="Q4769" s="8">
        <f t="shared" si="373"/>
        <v>469</v>
      </c>
      <c r="R4769" s="2" t="s">
        <v>50</v>
      </c>
      <c r="S4769" s="24">
        <f t="shared" si="374"/>
        <v>0.05</v>
      </c>
    </row>
    <row r="4770" spans="1:19" x14ac:dyDescent="0.25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>VLOOKUP(F4770,'Customer Info'!$A:$B,2,0)</f>
        <v>Brad</v>
      </c>
      <c r="H4770" s="6" t="str">
        <f>VLOOKUP(F4770,'Customer Info'!$A$1:$C$501,3,0)</f>
        <v>Eason</v>
      </c>
      <c r="I4770" s="6" t="str">
        <f>VLOOKUP(F4770,Customer,5,0)</f>
        <v>Oberhausen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350</v>
      </c>
      <c r="O4770" s="2">
        <v>30</v>
      </c>
      <c r="P4770" s="8">
        <f t="shared" si="372"/>
        <v>380</v>
      </c>
      <c r="Q4770" s="8">
        <f t="shared" si="373"/>
        <v>34</v>
      </c>
      <c r="R4770" s="2" t="s">
        <v>50</v>
      </c>
      <c r="S4770" s="24">
        <f t="shared" si="374"/>
        <v>0.02</v>
      </c>
    </row>
    <row r="4771" spans="1:19" x14ac:dyDescent="0.25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>VLOOKUP(F4771,'Customer Info'!$A:$B,2,0)</f>
        <v>Cyra</v>
      </c>
      <c r="H4771" s="6" t="str">
        <f>VLOOKUP(F4771,'Customer Info'!$A$1:$C$501,3,0)</f>
        <v>Reiten</v>
      </c>
      <c r="I4771" s="6" t="str">
        <f>VLOOKUP(F4771,Customer,5,0)</f>
        <v>Srinagar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166</v>
      </c>
      <c r="O4771" s="2">
        <v>30</v>
      </c>
      <c r="P4771" s="8">
        <f t="shared" si="372"/>
        <v>196</v>
      </c>
      <c r="Q4771" s="8">
        <f t="shared" si="373"/>
        <v>9</v>
      </c>
      <c r="R4771" s="2" t="s">
        <v>50</v>
      </c>
      <c r="S4771" s="24">
        <f t="shared" si="374"/>
        <v>0.02</v>
      </c>
    </row>
    <row r="4772" spans="1:19" x14ac:dyDescent="0.25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>VLOOKUP(F4772,'Customer Info'!$A:$B,2,0)</f>
        <v>Filia</v>
      </c>
      <c r="H4772" s="6" t="str">
        <f>VLOOKUP(F4772,'Customer Info'!$A$1:$C$501,3,0)</f>
        <v>McAdams</v>
      </c>
      <c r="I4772" s="6" t="str">
        <f>VLOOKUP(F4772,Customer,5,0)</f>
        <v>Lucknow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24078</v>
      </c>
      <c r="O4772" s="2">
        <v>82</v>
      </c>
      <c r="P4772" s="8">
        <f t="shared" si="372"/>
        <v>24160</v>
      </c>
      <c r="Q4772" s="8">
        <f t="shared" si="373"/>
        <v>1362</v>
      </c>
      <c r="R4772" s="2" t="s">
        <v>56</v>
      </c>
      <c r="S4772" s="24">
        <f t="shared" si="374"/>
        <v>0.05</v>
      </c>
    </row>
    <row r="4773" spans="1:19" x14ac:dyDescent="0.25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>VLOOKUP(F4773,'Customer Info'!$A:$B,2,0)</f>
        <v>Duane</v>
      </c>
      <c r="H4773" s="6" t="str">
        <f>VLOOKUP(F4773,'Customer Info'!$A$1:$C$501,3,0)</f>
        <v>Benoit</v>
      </c>
      <c r="I4773" s="6" t="str">
        <f>VLOOKUP(F4773,Customer,5,0)</f>
        <v>Tamworth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79</v>
      </c>
      <c r="O4773" s="2">
        <v>10</v>
      </c>
      <c r="P4773" s="8">
        <f t="shared" si="372"/>
        <v>89</v>
      </c>
      <c r="Q4773" s="8">
        <f t="shared" si="373"/>
        <v>4</v>
      </c>
      <c r="R4773" s="2" t="s">
        <v>50</v>
      </c>
      <c r="S4773" s="24">
        <f t="shared" si="374"/>
        <v>0.02</v>
      </c>
    </row>
    <row r="4774" spans="1:19" x14ac:dyDescent="0.25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>VLOOKUP(F4774,'Customer Info'!$A:$B,2,0)</f>
        <v>Rick</v>
      </c>
      <c r="H4774" s="6" t="str">
        <f>VLOOKUP(F4774,'Customer Info'!$A$1:$C$501,3,0)</f>
        <v>Duston</v>
      </c>
      <c r="I4774" s="6" t="str">
        <f>VLOOKUP(F4774,Customer,5,0)</f>
        <v>Surakarta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6585</v>
      </c>
      <c r="O4774" s="2">
        <v>87</v>
      </c>
      <c r="P4774" s="8">
        <f t="shared" si="372"/>
        <v>6672</v>
      </c>
      <c r="Q4774" s="8">
        <f t="shared" si="373"/>
        <v>480</v>
      </c>
      <c r="R4774" s="2" t="s">
        <v>50</v>
      </c>
      <c r="S4774" s="24">
        <f t="shared" si="374"/>
        <v>0.05</v>
      </c>
    </row>
    <row r="4775" spans="1:19" x14ac:dyDescent="0.25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>VLOOKUP(F4775,'Customer Info'!$A:$B,2,0)</f>
        <v>Lisa</v>
      </c>
      <c r="H4775" s="6" t="str">
        <f>VLOOKUP(F4775,'Customer Info'!$A$1:$C$501,3,0)</f>
        <v>DeCherney</v>
      </c>
      <c r="I4775" s="6" t="str">
        <f>VLOOKUP(F4775,Customer,5,0)</f>
        <v>Ningbo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11924</v>
      </c>
      <c r="O4775" s="2">
        <v>54</v>
      </c>
      <c r="P4775" s="8">
        <f t="shared" si="372"/>
        <v>11978</v>
      </c>
      <c r="Q4775" s="8">
        <f t="shared" si="373"/>
        <v>444</v>
      </c>
      <c r="R4775" s="2" t="s">
        <v>28</v>
      </c>
      <c r="S4775" s="24">
        <f t="shared" si="374"/>
        <v>0.05</v>
      </c>
    </row>
    <row r="4776" spans="1:19" x14ac:dyDescent="0.25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>VLOOKUP(F4776,'Customer Info'!$A:$B,2,0)</f>
        <v>Kunst</v>
      </c>
      <c r="H4776" s="6" t="str">
        <f>VLOOKUP(F4776,'Customer Info'!$A$1:$C$501,3,0)</f>
        <v>Miller</v>
      </c>
      <c r="I4776" s="6" t="str">
        <f>VLOOKUP(F4776,Customer,5,0)</f>
        <v>Jakarta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1332</v>
      </c>
      <c r="O4776" s="2">
        <v>76</v>
      </c>
      <c r="P4776" s="8">
        <f t="shared" si="372"/>
        <v>1408</v>
      </c>
      <c r="Q4776" s="8">
        <f t="shared" si="373"/>
        <v>50</v>
      </c>
      <c r="R4776" s="2" t="s">
        <v>28</v>
      </c>
      <c r="S4776" s="24">
        <f t="shared" si="374"/>
        <v>0.02</v>
      </c>
    </row>
    <row r="4777" spans="1:19" x14ac:dyDescent="0.25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>VLOOKUP(F4777,'Customer Info'!$A:$B,2,0)</f>
        <v>Joy</v>
      </c>
      <c r="H4777" s="6" t="str">
        <f>VLOOKUP(F4777,'Customer Info'!$A$1:$C$501,3,0)</f>
        <v>Daniels</v>
      </c>
      <c r="I4777" s="6" t="str">
        <f>VLOOKUP(F4777,Customer,5,0)</f>
        <v>Cairns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14211</v>
      </c>
      <c r="O4777" s="2">
        <v>47</v>
      </c>
      <c r="P4777" s="8">
        <f t="shared" si="372"/>
        <v>14258</v>
      </c>
      <c r="Q4777" s="8">
        <f t="shared" si="373"/>
        <v>792</v>
      </c>
      <c r="R4777" s="2" t="s">
        <v>28</v>
      </c>
      <c r="S4777" s="24">
        <f t="shared" si="374"/>
        <v>0.05</v>
      </c>
    </row>
    <row r="4778" spans="1:19" x14ac:dyDescent="0.25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>VLOOKUP(F4778,'Customer Info'!$A:$B,2,0)</f>
        <v>Scott</v>
      </c>
      <c r="H4778" s="6" t="str">
        <f>VLOOKUP(F4778,'Customer Info'!$A$1:$C$501,3,0)</f>
        <v>Williamson</v>
      </c>
      <c r="I4778" s="6" t="str">
        <f>VLOOKUP(F4778,Customer,5,0)</f>
        <v>Launceston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772</v>
      </c>
      <c r="O4778" s="2">
        <v>30</v>
      </c>
      <c r="P4778" s="8">
        <f t="shared" si="372"/>
        <v>802</v>
      </c>
      <c r="Q4778" s="8">
        <f t="shared" si="373"/>
        <v>80</v>
      </c>
      <c r="R4778" s="2" t="s">
        <v>50</v>
      </c>
      <c r="S4778" s="24">
        <f t="shared" si="374"/>
        <v>0.02</v>
      </c>
    </row>
    <row r="4779" spans="1:19" x14ac:dyDescent="0.25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>VLOOKUP(F4779,'Customer Info'!$A:$B,2,0)</f>
        <v>Erica</v>
      </c>
      <c r="H4779" s="6" t="str">
        <f>VLOOKUP(F4779,'Customer Info'!$A$1:$C$501,3,0)</f>
        <v>Hackney</v>
      </c>
      <c r="I4779" s="6" t="str">
        <f>VLOOKUP(F4779,Customer,5,0)</f>
        <v>Adelaide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26832</v>
      </c>
      <c r="O4779" s="2">
        <v>29</v>
      </c>
      <c r="P4779" s="8">
        <f t="shared" si="372"/>
        <v>26861</v>
      </c>
      <c r="Q4779" s="8">
        <f t="shared" si="373"/>
        <v>2016</v>
      </c>
      <c r="R4779" s="2" t="s">
        <v>50</v>
      </c>
      <c r="S4779" s="24">
        <f t="shared" si="374"/>
        <v>7.0000000000000007E-2</v>
      </c>
    </row>
    <row r="4780" spans="1:19" x14ac:dyDescent="0.25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>VLOOKUP(F4780,'Customer Info'!$A:$B,2,0)</f>
        <v>Bart</v>
      </c>
      <c r="H4780" s="6" t="str">
        <f>VLOOKUP(F4780,'Customer Info'!$A$1:$C$501,3,0)</f>
        <v>Folk</v>
      </c>
      <c r="I4780" s="6" t="str">
        <f>VLOOKUP(F4780,Customer,5,0)</f>
        <v>Melbourne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18081</v>
      </c>
      <c r="O4780" s="2">
        <v>29</v>
      </c>
      <c r="P4780" s="8">
        <f t="shared" si="372"/>
        <v>18110</v>
      </c>
      <c r="Q4780" s="8">
        <f t="shared" si="373"/>
        <v>999</v>
      </c>
      <c r="R4780" s="2" t="s">
        <v>28</v>
      </c>
      <c r="S4780" s="24">
        <f t="shared" si="374"/>
        <v>0.05</v>
      </c>
    </row>
    <row r="4781" spans="1:19" x14ac:dyDescent="0.25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>VLOOKUP(F4781,'Customer Info'!$A:$B,2,0)</f>
        <v>John</v>
      </c>
      <c r="H4781" s="6" t="str">
        <f>VLOOKUP(F4781,'Customer Info'!$A$1:$C$501,3,0)</f>
        <v>Grady</v>
      </c>
      <c r="I4781" s="6" t="str">
        <f>VLOOKUP(F4781,Customer,5,0)</f>
        <v>Queanbeyan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564</v>
      </c>
      <c r="O4781" s="2">
        <v>30</v>
      </c>
      <c r="P4781" s="8">
        <f t="shared" si="372"/>
        <v>594</v>
      </c>
      <c r="Q4781" s="8">
        <f t="shared" si="373"/>
        <v>45</v>
      </c>
      <c r="R4781" s="2" t="s">
        <v>50</v>
      </c>
      <c r="S4781" s="24">
        <f t="shared" si="374"/>
        <v>0.02</v>
      </c>
    </row>
    <row r="4782" spans="1:19" x14ac:dyDescent="0.25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>VLOOKUP(F4782,'Customer Info'!$A:$B,2,0)</f>
        <v>Rick</v>
      </c>
      <c r="H4782" s="6" t="str">
        <f>VLOOKUP(F4782,'Customer Info'!$A$1:$C$501,3,0)</f>
        <v>Duston</v>
      </c>
      <c r="I4782" s="6" t="str">
        <f>VLOOKUP(F4782,Customer,5,0)</f>
        <v>Surakarta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903</v>
      </c>
      <c r="O4782" s="2">
        <v>30</v>
      </c>
      <c r="P4782" s="8">
        <f t="shared" si="372"/>
        <v>933</v>
      </c>
      <c r="Q4782" s="8">
        <f t="shared" si="373"/>
        <v>77</v>
      </c>
      <c r="R4782" s="2" t="s">
        <v>50</v>
      </c>
      <c r="S4782" s="24">
        <f t="shared" si="374"/>
        <v>0.02</v>
      </c>
    </row>
    <row r="4783" spans="1:19" x14ac:dyDescent="0.25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>VLOOKUP(F4783,'Customer Info'!$A:$B,2,0)</f>
        <v>Charles</v>
      </c>
      <c r="H4783" s="6" t="str">
        <f>VLOOKUP(F4783,'Customer Info'!$A$1:$C$501,3,0)</f>
        <v>Sheldon</v>
      </c>
      <c r="I4783" s="6" t="str">
        <f>VLOOKUP(F4783,Customer,5,0)</f>
        <v>Brisbane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24480</v>
      </c>
      <c r="O4783" s="2">
        <v>35</v>
      </c>
      <c r="P4783" s="8">
        <f t="shared" si="372"/>
        <v>24515</v>
      </c>
      <c r="Q4783" s="8">
        <f t="shared" si="373"/>
        <v>2055</v>
      </c>
      <c r="R4783" s="2" t="s">
        <v>28</v>
      </c>
      <c r="S4783" s="24">
        <f t="shared" si="374"/>
        <v>0.05</v>
      </c>
    </row>
    <row r="4784" spans="1:19" x14ac:dyDescent="0.25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>VLOOKUP(F4784,'Customer Info'!$A:$B,2,0)</f>
        <v>Christopher</v>
      </c>
      <c r="H4784" s="6" t="str">
        <f>VLOOKUP(F4784,'Customer Info'!$A$1:$C$501,3,0)</f>
        <v>Martinez</v>
      </c>
      <c r="I4784" s="6" t="str">
        <f>VLOOKUP(F4784,Customer,5,0)</f>
        <v>Qingdao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5405</v>
      </c>
      <c r="O4784" s="2">
        <v>75</v>
      </c>
      <c r="P4784" s="8">
        <f t="shared" si="372"/>
        <v>5480</v>
      </c>
      <c r="Q4784" s="8">
        <f t="shared" si="373"/>
        <v>490</v>
      </c>
      <c r="R4784" s="2" t="s">
        <v>28</v>
      </c>
      <c r="S4784" s="24">
        <f t="shared" si="374"/>
        <v>0.05</v>
      </c>
    </row>
    <row r="4785" spans="1:19" x14ac:dyDescent="0.25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>VLOOKUP(F4785,'Customer Info'!$A:$B,2,0)</f>
        <v>Patrick</v>
      </c>
      <c r="H4785" s="6" t="str">
        <f>VLOOKUP(F4785,'Customer Info'!$A$1:$C$501,3,0)</f>
        <v>Bzostek</v>
      </c>
      <c r="I4785" s="6" t="str">
        <f>VLOOKUP(F4785,Customer,5,0)</f>
        <v>Brisbane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2338</v>
      </c>
      <c r="O4785" s="2">
        <v>66</v>
      </c>
      <c r="P4785" s="8">
        <f t="shared" si="372"/>
        <v>2404</v>
      </c>
      <c r="Q4785" s="8">
        <f t="shared" si="373"/>
        <v>132</v>
      </c>
      <c r="R4785" s="2" t="s">
        <v>50</v>
      </c>
      <c r="S4785" s="24">
        <f t="shared" si="374"/>
        <v>0.02</v>
      </c>
    </row>
    <row r="4786" spans="1:19" x14ac:dyDescent="0.25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>VLOOKUP(F4786,'Customer Info'!$A:$B,2,0)</f>
        <v>Sung</v>
      </c>
      <c r="H4786" s="6" t="str">
        <f>VLOOKUP(F4786,'Customer Info'!$A$1:$C$501,3,0)</f>
        <v>Shariari</v>
      </c>
      <c r="I4786" s="6" t="str">
        <f>VLOOKUP(F4786,Customer,5,0)</f>
        <v>Solapur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592</v>
      </c>
      <c r="O4786" s="2">
        <v>30</v>
      </c>
      <c r="P4786" s="8">
        <f t="shared" si="372"/>
        <v>622</v>
      </c>
      <c r="Q4786" s="8">
        <f t="shared" si="373"/>
        <v>48</v>
      </c>
      <c r="R4786" s="2" t="s">
        <v>28</v>
      </c>
      <c r="S4786" s="24">
        <f t="shared" si="374"/>
        <v>0.02</v>
      </c>
    </row>
    <row r="4787" spans="1:19" x14ac:dyDescent="0.25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>VLOOKUP(F4787,'Customer Info'!$A:$B,2,0)</f>
        <v>Craig</v>
      </c>
      <c r="H4787" s="6" t="str">
        <f>VLOOKUP(F4787,'Customer Info'!$A$1:$C$501,3,0)</f>
        <v>Yedwab</v>
      </c>
      <c r="I4787" s="6" t="str">
        <f>VLOOKUP(F4787,Customer,5,0)</f>
        <v>Aligarh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808</v>
      </c>
      <c r="O4787" s="2">
        <v>51</v>
      </c>
      <c r="P4787" s="8">
        <f t="shared" si="372"/>
        <v>859</v>
      </c>
      <c r="Q4787" s="8">
        <f t="shared" si="373"/>
        <v>66</v>
      </c>
      <c r="R4787" s="2" t="s">
        <v>50</v>
      </c>
      <c r="S4787" s="24">
        <f t="shared" si="374"/>
        <v>0.02</v>
      </c>
    </row>
    <row r="4788" spans="1:19" x14ac:dyDescent="0.25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>VLOOKUP(F4788,'Customer Info'!$A:$B,2,0)</f>
        <v>Stuart</v>
      </c>
      <c r="H4788" s="6" t="str">
        <f>VLOOKUP(F4788,'Customer Info'!$A$1:$C$501,3,0)</f>
        <v>Calhoun</v>
      </c>
      <c r="I4788" s="6" t="str">
        <f>VLOOKUP(F4788,Customer,5,0)</f>
        <v>Raipur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33516</v>
      </c>
      <c r="O4788" s="2">
        <v>82</v>
      </c>
      <c r="P4788" s="8">
        <f t="shared" si="372"/>
        <v>33598</v>
      </c>
      <c r="Q4788" s="8">
        <f t="shared" si="373"/>
        <v>1272</v>
      </c>
      <c r="R4788" s="2" t="s">
        <v>50</v>
      </c>
      <c r="S4788" s="24">
        <f t="shared" si="374"/>
        <v>7.0000000000000007E-2</v>
      </c>
    </row>
    <row r="4789" spans="1:19" x14ac:dyDescent="0.25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>VLOOKUP(F4789,'Customer Info'!$A:$B,2,0)</f>
        <v>Bill</v>
      </c>
      <c r="H4789" s="6" t="str">
        <f>VLOOKUP(F4789,'Customer Info'!$A$1:$C$501,3,0)</f>
        <v>Donatelli</v>
      </c>
      <c r="I4789" s="6" t="str">
        <f>VLOOKUP(F4789,Customer,5,0)</f>
        <v>Kamarhati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5436</v>
      </c>
      <c r="O4789" s="2">
        <v>58</v>
      </c>
      <c r="P4789" s="8">
        <f t="shared" si="372"/>
        <v>5494</v>
      </c>
      <c r="Q4789" s="8">
        <f t="shared" si="373"/>
        <v>552</v>
      </c>
      <c r="R4789" s="2" t="s">
        <v>28</v>
      </c>
      <c r="S4789" s="24">
        <f t="shared" si="374"/>
        <v>0.05</v>
      </c>
    </row>
    <row r="4790" spans="1:19" x14ac:dyDescent="0.25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>VLOOKUP(F4790,'Customer Info'!$A:$B,2,0)</f>
        <v>Toby</v>
      </c>
      <c r="H4790" s="6" t="str">
        <f>VLOOKUP(F4790,'Customer Info'!$A$1:$C$501,3,0)</f>
        <v>Braunhardt</v>
      </c>
      <c r="I4790" s="6" t="str">
        <f>VLOOKUP(F4790,Customer,5,0)</f>
        <v>Perth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384</v>
      </c>
      <c r="O4790" s="2">
        <v>30</v>
      </c>
      <c r="P4790" s="8">
        <f t="shared" si="372"/>
        <v>414</v>
      </c>
      <c r="Q4790" s="8">
        <f t="shared" si="373"/>
        <v>39</v>
      </c>
      <c r="R4790" s="2" t="s">
        <v>26</v>
      </c>
      <c r="S4790" s="24">
        <f t="shared" si="374"/>
        <v>0.02</v>
      </c>
    </row>
    <row r="4791" spans="1:19" x14ac:dyDescent="0.25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>VLOOKUP(F4791,'Customer Info'!$A:$B,2,0)</f>
        <v>Bart</v>
      </c>
      <c r="H4791" s="6" t="str">
        <f>VLOOKUP(F4791,'Customer Info'!$A$1:$C$501,3,0)</f>
        <v>Folk</v>
      </c>
      <c r="I4791" s="6" t="str">
        <f>VLOOKUP(F4791,Customer,5,0)</f>
        <v>Melbourne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5596</v>
      </c>
      <c r="O4791" s="2">
        <v>38</v>
      </c>
      <c r="P4791" s="8">
        <f t="shared" si="372"/>
        <v>5634</v>
      </c>
      <c r="Q4791" s="8">
        <f t="shared" si="373"/>
        <v>264</v>
      </c>
      <c r="R4791" s="2" t="s">
        <v>26</v>
      </c>
      <c r="S4791" s="24">
        <f t="shared" si="374"/>
        <v>0.05</v>
      </c>
    </row>
    <row r="4792" spans="1:19" x14ac:dyDescent="0.25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>VLOOKUP(F4792,'Customer Info'!$A:$B,2,0)</f>
        <v>Katherine</v>
      </c>
      <c r="H4792" s="6" t="str">
        <f>VLOOKUP(F4792,'Customer Info'!$A$1:$C$501,3,0)</f>
        <v>Murray</v>
      </c>
      <c r="I4792" s="6" t="str">
        <f>VLOOKUP(F4792,Customer,5,0)</f>
        <v>Sydney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450</v>
      </c>
      <c r="O4792" s="2">
        <v>10</v>
      </c>
      <c r="P4792" s="8">
        <f t="shared" si="372"/>
        <v>460</v>
      </c>
      <c r="Q4792" s="8">
        <f t="shared" si="373"/>
        <v>45</v>
      </c>
      <c r="R4792" s="2" t="s">
        <v>28</v>
      </c>
      <c r="S4792" s="24">
        <f t="shared" si="374"/>
        <v>0.02</v>
      </c>
    </row>
    <row r="4793" spans="1:19" x14ac:dyDescent="0.25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>VLOOKUP(F4793,'Customer Info'!$A:$B,2,0)</f>
        <v>Jill</v>
      </c>
      <c r="H4793" s="6" t="str">
        <f>VLOOKUP(F4793,'Customer Info'!$A$1:$C$501,3,0)</f>
        <v>Fjeld</v>
      </c>
      <c r="I4793" s="6" t="str">
        <f>VLOOKUP(F4793,Customer,5,0)</f>
        <v>Wollongong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3372</v>
      </c>
      <c r="O4793" s="2">
        <v>97</v>
      </c>
      <c r="P4793" s="8">
        <f t="shared" si="372"/>
        <v>3469</v>
      </c>
      <c r="Q4793" s="8">
        <f t="shared" si="373"/>
        <v>190</v>
      </c>
      <c r="R4793" s="2" t="s">
        <v>28</v>
      </c>
      <c r="S4793" s="24">
        <f t="shared" si="374"/>
        <v>0.02</v>
      </c>
    </row>
    <row r="4794" spans="1:19" x14ac:dyDescent="0.25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>VLOOKUP(F4794,'Customer Info'!$A:$B,2,0)</f>
        <v>Bryan</v>
      </c>
      <c r="H4794" s="6" t="str">
        <f>VLOOKUP(F4794,'Customer Info'!$A$1:$C$501,3,0)</f>
        <v>Davis</v>
      </c>
      <c r="I4794" s="6" t="str">
        <f>VLOOKUP(F4794,Customer,5,0)</f>
        <v>Delhi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17756</v>
      </c>
      <c r="O4794" s="2">
        <v>34</v>
      </c>
      <c r="P4794" s="8">
        <f t="shared" si="372"/>
        <v>17790</v>
      </c>
      <c r="Q4794" s="8">
        <f t="shared" si="373"/>
        <v>1928</v>
      </c>
      <c r="R4794" s="2" t="s">
        <v>50</v>
      </c>
      <c r="S4794" s="24">
        <f t="shared" si="374"/>
        <v>0.05</v>
      </c>
    </row>
    <row r="4795" spans="1:19" x14ac:dyDescent="0.25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>VLOOKUP(F4795,'Customer Info'!$A:$B,2,0)</f>
        <v>Justin</v>
      </c>
      <c r="H4795" s="6" t="str">
        <f>VLOOKUP(F4795,'Customer Info'!$A$1:$C$501,3,0)</f>
        <v>Deggeller</v>
      </c>
      <c r="I4795" s="6" t="str">
        <f>VLOOKUP(F4795,Customer,5,0)</f>
        <v>Gawler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5920</v>
      </c>
      <c r="O4795" s="2">
        <v>97</v>
      </c>
      <c r="P4795" s="8">
        <f t="shared" si="372"/>
        <v>6017</v>
      </c>
      <c r="Q4795" s="8">
        <f t="shared" si="373"/>
        <v>650</v>
      </c>
      <c r="R4795" s="2" t="s">
        <v>28</v>
      </c>
      <c r="S4795" s="24">
        <f t="shared" si="374"/>
        <v>0.05</v>
      </c>
    </row>
    <row r="4796" spans="1:19" x14ac:dyDescent="0.25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>VLOOKUP(F4796,'Customer Info'!$A:$B,2,0)</f>
        <v>Emily</v>
      </c>
      <c r="H4796" s="6" t="str">
        <f>VLOOKUP(F4796,'Customer Info'!$A$1:$C$501,3,0)</f>
        <v>Burns</v>
      </c>
      <c r="I4796" s="6" t="str">
        <f>VLOOKUP(F4796,Customer,5,0)</f>
        <v>Chennai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17934</v>
      </c>
      <c r="O4796" s="2">
        <v>49</v>
      </c>
      <c r="P4796" s="8">
        <f t="shared" si="372"/>
        <v>17983</v>
      </c>
      <c r="Q4796" s="8">
        <f t="shared" si="373"/>
        <v>1632</v>
      </c>
      <c r="R4796" s="2" t="s">
        <v>50</v>
      </c>
      <c r="S4796" s="24">
        <f t="shared" si="374"/>
        <v>0.05</v>
      </c>
    </row>
    <row r="4797" spans="1:19" x14ac:dyDescent="0.25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>VLOOKUP(F4797,'Customer Info'!$A:$B,2,0)</f>
        <v>Meg</v>
      </c>
      <c r="H4797" s="6" t="str">
        <f>VLOOKUP(F4797,'Customer Info'!$A$1:$C$501,3,0)</f>
        <v>Tillman</v>
      </c>
      <c r="I4797" s="6" t="str">
        <f>VLOOKUP(F4797,Customer,5,0)</f>
        <v>Bangalore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4761</v>
      </c>
      <c r="O4797" s="2">
        <v>53</v>
      </c>
      <c r="P4797" s="8">
        <f t="shared" si="372"/>
        <v>4814</v>
      </c>
      <c r="Q4797" s="8">
        <f t="shared" si="373"/>
        <v>393</v>
      </c>
      <c r="R4797" s="2" t="s">
        <v>28</v>
      </c>
      <c r="S4797" s="24">
        <f t="shared" si="374"/>
        <v>0.02</v>
      </c>
    </row>
    <row r="4798" spans="1:19" x14ac:dyDescent="0.25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>VLOOKUP(F4798,'Customer Info'!$A:$B,2,0)</f>
        <v>Daniel</v>
      </c>
      <c r="H4798" s="6" t="str">
        <f>VLOOKUP(F4798,'Customer Info'!$A$1:$C$501,3,0)</f>
        <v>Raglin</v>
      </c>
      <c r="I4798" s="6" t="str">
        <f>VLOOKUP(F4798,Customer,5,0)</f>
        <v>Gold Coast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7420</v>
      </c>
      <c r="O4798" s="2">
        <v>80</v>
      </c>
      <c r="P4798" s="8">
        <f t="shared" si="372"/>
        <v>7500</v>
      </c>
      <c r="Q4798" s="8">
        <f t="shared" si="373"/>
        <v>672</v>
      </c>
      <c r="R4798" s="2" t="s">
        <v>28</v>
      </c>
      <c r="S4798" s="24">
        <f t="shared" si="374"/>
        <v>0.05</v>
      </c>
    </row>
    <row r="4799" spans="1:19" x14ac:dyDescent="0.25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>VLOOKUP(F4799,'Customer Info'!$A:$B,2,0)</f>
        <v>Dennis</v>
      </c>
      <c r="H4799" s="6" t="str">
        <f>VLOOKUP(F4799,'Customer Info'!$A$1:$C$501,3,0)</f>
        <v>Pardue</v>
      </c>
      <c r="I4799" s="6" t="str">
        <f>VLOOKUP(F4799,Customer,5,0)</f>
        <v>Townsville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2724</v>
      </c>
      <c r="O4799" s="2">
        <v>50</v>
      </c>
      <c r="P4799" s="8">
        <f t="shared" si="372"/>
        <v>2774</v>
      </c>
      <c r="Q4799" s="8">
        <f t="shared" si="373"/>
        <v>156</v>
      </c>
      <c r="R4799" s="2" t="s">
        <v>28</v>
      </c>
      <c r="S4799" s="24">
        <f t="shared" si="374"/>
        <v>0.02</v>
      </c>
    </row>
    <row r="4800" spans="1:19" x14ac:dyDescent="0.25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>VLOOKUP(F4800,'Customer Info'!$A:$B,2,0)</f>
        <v>Thomas</v>
      </c>
      <c r="H4800" s="6" t="str">
        <f>VLOOKUP(F4800,'Customer Info'!$A$1:$C$501,3,0)</f>
        <v>Boland</v>
      </c>
      <c r="I4800" s="6" t="str">
        <f>VLOOKUP(F4800,Customer,5,0)</f>
        <v>Surabaya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16562</v>
      </c>
      <c r="O4800" s="2">
        <v>82</v>
      </c>
      <c r="P4800" s="8">
        <f t="shared" si="372"/>
        <v>16644</v>
      </c>
      <c r="Q4800" s="8">
        <f t="shared" si="373"/>
        <v>1216</v>
      </c>
      <c r="R4800" s="2" t="s">
        <v>28</v>
      </c>
      <c r="S4800" s="24">
        <f t="shared" si="374"/>
        <v>0.05</v>
      </c>
    </row>
    <row r="4801" spans="1:19" x14ac:dyDescent="0.25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>VLOOKUP(F4801,'Customer Info'!$A:$B,2,0)</f>
        <v>Claudia</v>
      </c>
      <c r="H4801" s="6" t="str">
        <f>VLOOKUP(F4801,'Customer Info'!$A$1:$C$501,3,0)</f>
        <v>Bergmann</v>
      </c>
      <c r="I4801" s="6" t="str">
        <f>VLOOKUP(F4801,Customer,5,0)</f>
        <v>Aschaffenburg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12252</v>
      </c>
      <c r="O4801" s="2">
        <v>73</v>
      </c>
      <c r="P4801" s="8">
        <f t="shared" si="372"/>
        <v>12325</v>
      </c>
      <c r="Q4801" s="8">
        <f t="shared" si="373"/>
        <v>462</v>
      </c>
      <c r="R4801" s="2" t="s">
        <v>28</v>
      </c>
      <c r="S4801" s="24">
        <f t="shared" si="374"/>
        <v>0.05</v>
      </c>
    </row>
    <row r="4802" spans="1:19" x14ac:dyDescent="0.25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>VLOOKUP(F4802,'Customer Info'!$A:$B,2,0)</f>
        <v>Meg</v>
      </c>
      <c r="H4802" s="6" t="str">
        <f>VLOOKUP(F4802,'Customer Info'!$A$1:$C$501,3,0)</f>
        <v>Tillman</v>
      </c>
      <c r="I4802" s="6" t="str">
        <f>VLOOKUP(F4802,Customer,5,0)</f>
        <v>Melbourne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8199</v>
      </c>
      <c r="O4802" s="2">
        <v>100</v>
      </c>
      <c r="P4802" s="8">
        <f t="shared" si="372"/>
        <v>8299</v>
      </c>
      <c r="Q4802" s="8">
        <f t="shared" si="373"/>
        <v>462</v>
      </c>
      <c r="R4802" s="2" t="s">
        <v>28</v>
      </c>
      <c r="S4802" s="24">
        <f t="shared" si="374"/>
        <v>0.05</v>
      </c>
    </row>
    <row r="4803" spans="1:19" x14ac:dyDescent="0.25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>VLOOKUP(F4803,'Customer Info'!$A:$B,2,0)</f>
        <v>Craig</v>
      </c>
      <c r="H4803" s="6" t="str">
        <f>VLOOKUP(F4803,'Customer Info'!$A$1:$C$501,3,0)</f>
        <v>Carreira</v>
      </c>
      <c r="I4803" s="6" t="str">
        <f>VLOOKUP(F4803,Customer,5,0)</f>
        <v>Worms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27691</v>
      </c>
      <c r="O4803" s="2">
        <v>28</v>
      </c>
      <c r="P4803" s="8">
        <f t="shared" si="372"/>
        <v>27719</v>
      </c>
      <c r="Q4803" s="8">
        <f t="shared" si="373"/>
        <v>2075</v>
      </c>
      <c r="R4803" s="2" t="s">
        <v>28</v>
      </c>
      <c r="S4803" s="24">
        <f t="shared" si="374"/>
        <v>7.0000000000000007E-2</v>
      </c>
    </row>
    <row r="4804" spans="1:19" x14ac:dyDescent="0.25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>VLOOKUP(F4804,'Customer Info'!$A:$B,2,0)</f>
        <v>Deirdre</v>
      </c>
      <c r="H4804" s="6" t="str">
        <f>VLOOKUP(F4804,'Customer Info'!$A$1:$C$501,3,0)</f>
        <v>Greer</v>
      </c>
      <c r="I4804" s="6" t="str">
        <f>VLOOKUP(F4804,Customer,5,0)</f>
        <v>Perth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2155</v>
      </c>
      <c r="O4804" s="2">
        <v>52</v>
      </c>
      <c r="P4804" s="8">
        <f t="shared" si="372"/>
        <v>2207</v>
      </c>
      <c r="Q4804" s="8">
        <f t="shared" si="373"/>
        <v>141</v>
      </c>
      <c r="R4804" s="2" t="s">
        <v>28</v>
      </c>
      <c r="S4804" s="24">
        <f t="shared" si="374"/>
        <v>0.02</v>
      </c>
    </row>
    <row r="4805" spans="1:19" x14ac:dyDescent="0.25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>VLOOKUP(F4805,'Customer Info'!$A:$B,2,0)</f>
        <v>Anthony</v>
      </c>
      <c r="H4805" s="6" t="str">
        <f>VLOOKUP(F4805,'Customer Info'!$A$1:$C$501,3,0)</f>
        <v>O'Donnell</v>
      </c>
      <c r="I4805" s="6" t="str">
        <f>VLOOKUP(F4805,Customer,5,0)</f>
        <v>Berlin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8874</v>
      </c>
      <c r="O4805" s="2">
        <v>32</v>
      </c>
      <c r="P4805" s="8">
        <f t="shared" si="372"/>
        <v>8906</v>
      </c>
      <c r="Q4805" s="8">
        <f t="shared" si="373"/>
        <v>645</v>
      </c>
      <c r="R4805" s="2" t="s">
        <v>28</v>
      </c>
      <c r="S4805" s="24">
        <f t="shared" si="374"/>
        <v>0.05</v>
      </c>
    </row>
    <row r="4806" spans="1:19" x14ac:dyDescent="0.25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>VLOOKUP(F4806,'Customer Info'!$A:$B,2,0)</f>
        <v>Laurel</v>
      </c>
      <c r="H4806" s="6" t="str">
        <f>VLOOKUP(F4806,'Customer Info'!$A$1:$C$501,3,0)</f>
        <v>Workman</v>
      </c>
      <c r="I4806" s="6" t="str">
        <f>VLOOKUP(F4806,Customer,5,0)</f>
        <v>Leipzig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12210</v>
      </c>
      <c r="O4806" s="2">
        <v>94</v>
      </c>
      <c r="P4806" s="8">
        <f t="shared" si="372"/>
        <v>12304</v>
      </c>
      <c r="Q4806" s="8">
        <f t="shared" si="373"/>
        <v>690</v>
      </c>
      <c r="R4806" s="2" t="s">
        <v>50</v>
      </c>
      <c r="S4806" s="24">
        <f t="shared" si="374"/>
        <v>0.05</v>
      </c>
    </row>
    <row r="4807" spans="1:19" x14ac:dyDescent="0.25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>VLOOKUP(F4807,'Customer Info'!$A:$B,2,0)</f>
        <v>Lynn</v>
      </c>
      <c r="H4807" s="6" t="str">
        <f>VLOOKUP(F4807,'Customer Info'!$A$1:$C$501,3,0)</f>
        <v>Smith</v>
      </c>
      <c r="I4807" s="6" t="str">
        <f>VLOOKUP(F4807,Customer,5,0)</f>
        <v>Kanpur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6768</v>
      </c>
      <c r="O4807" s="2">
        <v>60</v>
      </c>
      <c r="P4807" s="8">
        <f t="shared" si="372"/>
        <v>6828</v>
      </c>
      <c r="Q4807" s="8">
        <f t="shared" si="373"/>
        <v>256</v>
      </c>
      <c r="R4807" s="2" t="s">
        <v>50</v>
      </c>
      <c r="S4807" s="24">
        <f t="shared" si="374"/>
        <v>0.05</v>
      </c>
    </row>
    <row r="4808" spans="1:19" x14ac:dyDescent="0.25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>VLOOKUP(F4808,'Customer Info'!$A:$B,2,0)</f>
        <v>Brendan</v>
      </c>
      <c r="H4808" s="6" t="str">
        <f>VLOOKUP(F4808,'Customer Info'!$A$1:$C$501,3,0)</f>
        <v>Murry</v>
      </c>
      <c r="I4808" s="6" t="str">
        <f>VLOOKUP(F4808,Customer,5,0)</f>
        <v>Brahmapur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1186</v>
      </c>
      <c r="O4808" s="2">
        <v>42</v>
      </c>
      <c r="P4808" s="8">
        <f t="shared" si="372"/>
        <v>1228</v>
      </c>
      <c r="Q4808" s="8">
        <f t="shared" si="373"/>
        <v>45</v>
      </c>
      <c r="R4808" s="2" t="s">
        <v>50</v>
      </c>
      <c r="S4808" s="24">
        <f t="shared" si="374"/>
        <v>0.02</v>
      </c>
    </row>
    <row r="4809" spans="1:19" x14ac:dyDescent="0.25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>VLOOKUP(F4809,'Customer Info'!$A:$B,2,0)</f>
        <v>Matt</v>
      </c>
      <c r="H4809" s="6" t="str">
        <f>VLOOKUP(F4809,'Customer Info'!$A$1:$C$501,3,0)</f>
        <v>Collins</v>
      </c>
      <c r="I4809" s="6" t="str">
        <f>VLOOKUP(F4809,Customer,5,0)</f>
        <v>Mumbai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6360</v>
      </c>
      <c r="O4809" s="2">
        <v>82</v>
      </c>
      <c r="P4809" s="8">
        <f t="shared" si="372"/>
        <v>6442</v>
      </c>
      <c r="Q4809" s="8">
        <f t="shared" si="373"/>
        <v>576</v>
      </c>
      <c r="R4809" s="2" t="s">
        <v>26</v>
      </c>
      <c r="S4809" s="24">
        <f t="shared" si="374"/>
        <v>0.05</v>
      </c>
    </row>
    <row r="4810" spans="1:19" x14ac:dyDescent="0.25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>VLOOKUP(F4810,'Customer Info'!$A:$B,2,0)</f>
        <v>Paul</v>
      </c>
      <c r="H4810" s="6" t="str">
        <f>VLOOKUP(F4810,'Customer Info'!$A$1:$C$501,3,0)</f>
        <v>Knutson</v>
      </c>
      <c r="I4810" s="6" t="str">
        <f>VLOOKUP(F4810,Customer,5,0)</f>
        <v>Gold Coast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25053</v>
      </c>
      <c r="O4810" s="2">
        <v>68</v>
      </c>
      <c r="P4810" s="8">
        <f t="shared" si="372"/>
        <v>25121</v>
      </c>
      <c r="Q4810" s="8">
        <f t="shared" si="373"/>
        <v>954</v>
      </c>
      <c r="R4810" s="2" t="s">
        <v>28</v>
      </c>
      <c r="S4810" s="24">
        <f t="shared" si="374"/>
        <v>7.0000000000000007E-2</v>
      </c>
    </row>
    <row r="4811" spans="1:19" x14ac:dyDescent="0.25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>VLOOKUP(F4811,'Customer Info'!$A:$B,2,0)</f>
        <v>Patrick</v>
      </c>
      <c r="H4811" s="6" t="str">
        <f>VLOOKUP(F4811,'Customer Info'!$A$1:$C$501,3,0)</f>
        <v>O'Donnell</v>
      </c>
      <c r="I4811" s="6" t="str">
        <f>VLOOKUP(F4811,Customer,5,0)</f>
        <v>Sydney</v>
      </c>
      <c r="J4811" s="2">
        <v>63</v>
      </c>
      <c r="K4811" s="2">
        <v>59</v>
      </c>
      <c r="L4811" s="2">
        <v>9</v>
      </c>
      <c r="M4811" s="7">
        <f t="shared" ref="M4811:M4815" si="375">K4811*L4811</f>
        <v>531</v>
      </c>
      <c r="N4811" s="7">
        <f t="shared" ref="N4811:N4815" si="376">J4811*L4811</f>
        <v>567</v>
      </c>
      <c r="O4811" s="2">
        <v>10</v>
      </c>
      <c r="P4811" s="8">
        <f t="shared" ref="P4811:P4815" si="377">N4811+O4811</f>
        <v>577</v>
      </c>
      <c r="Q4811" s="8">
        <f t="shared" ref="Q4811:Q4815" si="378">N4811-M4811</f>
        <v>36</v>
      </c>
      <c r="R4811" s="2" t="s">
        <v>28</v>
      </c>
      <c r="S4811" s="24">
        <f t="shared" ref="S4811:S4874" si="379">VLOOKUP(N4811,$T$1:$U$7,2,TRUE)</f>
        <v>0.02</v>
      </c>
    </row>
    <row r="4812" spans="1:19" x14ac:dyDescent="0.25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>VLOOKUP(F4812,'Customer Info'!$A:$B,2,0)</f>
        <v>Erica</v>
      </c>
      <c r="H4812" s="6" t="str">
        <f>VLOOKUP(F4812,'Customer Info'!$A$1:$C$501,3,0)</f>
        <v>Smith</v>
      </c>
      <c r="I4812" s="6" t="str">
        <f>VLOOKUP(F4812,Customer,5,0)</f>
        <v>Halle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8">
        <f t="shared" si="377"/>
        <v>36660</v>
      </c>
      <c r="Q4812" s="8">
        <f t="shared" si="378"/>
        <v>3345</v>
      </c>
      <c r="R4812" s="2" t="s">
        <v>50</v>
      </c>
      <c r="S4812" s="24">
        <f t="shared" si="379"/>
        <v>7.0000000000000007E-2</v>
      </c>
    </row>
    <row r="4813" spans="1:19" x14ac:dyDescent="0.25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>VLOOKUP(F4813,'Customer Info'!$A:$B,2,0)</f>
        <v>Jessica</v>
      </c>
      <c r="H4813" s="6" t="str">
        <f>VLOOKUP(F4813,'Customer Info'!$A$1:$C$501,3,0)</f>
        <v>Myrick</v>
      </c>
      <c r="I4813" s="6" t="str">
        <f>VLOOKUP(F4813,Customer,5,0)</f>
        <v>Jakarta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8">
        <f t="shared" si="377"/>
        <v>71</v>
      </c>
      <c r="Q4813" s="8">
        <f t="shared" si="378"/>
        <v>4</v>
      </c>
      <c r="R4813" s="2" t="s">
        <v>28</v>
      </c>
      <c r="S4813" s="24">
        <f t="shared" si="379"/>
        <v>0.02</v>
      </c>
    </row>
    <row r="4814" spans="1:19" x14ac:dyDescent="0.25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>VLOOKUP(F4814,'Customer Info'!$A:$B,2,0)</f>
        <v>Stuart</v>
      </c>
      <c r="H4814" s="6" t="str">
        <f>VLOOKUP(F4814,'Customer Info'!$A$1:$C$501,3,0)</f>
        <v>Calhoun</v>
      </c>
      <c r="I4814" s="6" t="str">
        <f>VLOOKUP(F4814,Customer,5,0)</f>
        <v>Nowra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8">
        <f t="shared" si="377"/>
        <v>234</v>
      </c>
      <c r="Q4814" s="8">
        <f t="shared" si="378"/>
        <v>8</v>
      </c>
      <c r="R4814" s="2" t="s">
        <v>28</v>
      </c>
      <c r="S4814" s="24">
        <f t="shared" si="379"/>
        <v>0.02</v>
      </c>
    </row>
    <row r="4815" spans="1:19" x14ac:dyDescent="0.25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>VLOOKUP(F4815,'Customer Info'!$A:$B,2,0)</f>
        <v>Anthony</v>
      </c>
      <c r="H4815" s="6" t="str">
        <f>VLOOKUP(F4815,'Customer Info'!$A$1:$C$501,3,0)</f>
        <v>O'Donnell</v>
      </c>
      <c r="I4815" s="6" t="str">
        <f>VLOOKUP(F4815,Customer,5,0)</f>
        <v>Berlin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8">
        <f t="shared" si="377"/>
        <v>1800</v>
      </c>
      <c r="Q4815" s="8">
        <f t="shared" si="378"/>
        <v>156</v>
      </c>
      <c r="R4815" s="2" t="s">
        <v>26</v>
      </c>
      <c r="S4815" s="24">
        <f t="shared" si="379"/>
        <v>0.02</v>
      </c>
    </row>
    <row r="4816" spans="1:19" x14ac:dyDescent="0.25">
      <c r="S4816" s="24">
        <f t="shared" si="379"/>
        <v>0.02</v>
      </c>
    </row>
    <row r="4817" spans="19:19" x14ac:dyDescent="0.25">
      <c r="S4817" s="24">
        <f t="shared" si="379"/>
        <v>0.02</v>
      </c>
    </row>
    <row r="4818" spans="19:19" x14ac:dyDescent="0.25">
      <c r="S4818" s="24">
        <f t="shared" si="379"/>
        <v>0.02</v>
      </c>
    </row>
    <row r="4819" spans="19:19" x14ac:dyDescent="0.25">
      <c r="S4819" s="24">
        <f t="shared" si="379"/>
        <v>0.02</v>
      </c>
    </row>
    <row r="4820" spans="19:19" x14ac:dyDescent="0.25">
      <c r="S4820" s="24">
        <f t="shared" si="379"/>
        <v>0.02</v>
      </c>
    </row>
    <row r="4821" spans="19:19" x14ac:dyDescent="0.25">
      <c r="S4821" s="24">
        <f t="shared" si="379"/>
        <v>0.02</v>
      </c>
    </row>
    <row r="4822" spans="19:19" x14ac:dyDescent="0.25">
      <c r="S4822" s="24">
        <f t="shared" si="379"/>
        <v>0.02</v>
      </c>
    </row>
    <row r="4823" spans="19:19" x14ac:dyDescent="0.25">
      <c r="S4823" s="24">
        <f t="shared" si="379"/>
        <v>0.02</v>
      </c>
    </row>
    <row r="4824" spans="19:19" x14ac:dyDescent="0.25">
      <c r="S4824" s="24">
        <f t="shared" si="379"/>
        <v>0.02</v>
      </c>
    </row>
    <row r="4825" spans="19:19" x14ac:dyDescent="0.25">
      <c r="S4825" s="24">
        <f t="shared" si="379"/>
        <v>0.02</v>
      </c>
    </row>
    <row r="4826" spans="19:19" x14ac:dyDescent="0.25">
      <c r="S4826" s="24">
        <f t="shared" si="379"/>
        <v>0.02</v>
      </c>
    </row>
    <row r="4827" spans="19:19" x14ac:dyDescent="0.25">
      <c r="S4827" s="24">
        <f t="shared" si="379"/>
        <v>0.02</v>
      </c>
    </row>
    <row r="4828" spans="19:19" x14ac:dyDescent="0.25">
      <c r="S4828" s="24">
        <f t="shared" si="379"/>
        <v>0.02</v>
      </c>
    </row>
    <row r="4829" spans="19:19" x14ac:dyDescent="0.25">
      <c r="S4829" s="24">
        <f t="shared" si="379"/>
        <v>0.02</v>
      </c>
    </row>
    <row r="4830" spans="19:19" x14ac:dyDescent="0.25">
      <c r="S4830" s="24">
        <f t="shared" si="379"/>
        <v>0.02</v>
      </c>
    </row>
    <row r="4831" spans="19:19" x14ac:dyDescent="0.25">
      <c r="S4831" s="24">
        <f t="shared" si="379"/>
        <v>0.02</v>
      </c>
    </row>
    <row r="4832" spans="19:19" x14ac:dyDescent="0.25">
      <c r="S4832" s="24">
        <f t="shared" si="379"/>
        <v>0.02</v>
      </c>
    </row>
    <row r="4833" spans="19:19" x14ac:dyDescent="0.25">
      <c r="S4833" s="24">
        <f t="shared" si="379"/>
        <v>0.02</v>
      </c>
    </row>
    <row r="4834" spans="19:19" x14ac:dyDescent="0.25">
      <c r="S4834" s="24">
        <f t="shared" si="379"/>
        <v>0.02</v>
      </c>
    </row>
    <row r="4835" spans="19:19" x14ac:dyDescent="0.25">
      <c r="S4835" s="24">
        <f t="shared" si="379"/>
        <v>0.02</v>
      </c>
    </row>
    <row r="4836" spans="19:19" x14ac:dyDescent="0.25">
      <c r="S4836" s="24">
        <f t="shared" si="379"/>
        <v>0.02</v>
      </c>
    </row>
    <row r="4837" spans="19:19" x14ac:dyDescent="0.25">
      <c r="S4837" s="24">
        <f t="shared" si="379"/>
        <v>0.02</v>
      </c>
    </row>
    <row r="4838" spans="19:19" x14ac:dyDescent="0.25">
      <c r="S4838" s="24">
        <f t="shared" si="379"/>
        <v>0.02</v>
      </c>
    </row>
    <row r="4839" spans="19:19" x14ac:dyDescent="0.25">
      <c r="S4839" s="24">
        <f t="shared" si="379"/>
        <v>0.02</v>
      </c>
    </row>
    <row r="4840" spans="19:19" x14ac:dyDescent="0.25">
      <c r="S4840" s="24">
        <f t="shared" si="379"/>
        <v>0.02</v>
      </c>
    </row>
    <row r="4841" spans="19:19" x14ac:dyDescent="0.25">
      <c r="S4841" s="24">
        <f t="shared" si="379"/>
        <v>0.02</v>
      </c>
    </row>
    <row r="4842" spans="19:19" x14ac:dyDescent="0.25">
      <c r="S4842" s="24">
        <f t="shared" si="379"/>
        <v>0.02</v>
      </c>
    </row>
    <row r="4843" spans="19:19" x14ac:dyDescent="0.25">
      <c r="S4843" s="24">
        <f t="shared" si="379"/>
        <v>0.02</v>
      </c>
    </row>
    <row r="4844" spans="19:19" x14ac:dyDescent="0.25">
      <c r="S4844" s="24">
        <f t="shared" si="379"/>
        <v>0.02</v>
      </c>
    </row>
    <row r="4845" spans="19:19" x14ac:dyDescent="0.25">
      <c r="S4845" s="24">
        <f t="shared" si="379"/>
        <v>0.02</v>
      </c>
    </row>
    <row r="4846" spans="19:19" x14ac:dyDescent="0.25">
      <c r="S4846" s="24">
        <f t="shared" si="379"/>
        <v>0.02</v>
      </c>
    </row>
    <row r="4847" spans="19:19" x14ac:dyDescent="0.25">
      <c r="S4847" s="24">
        <f t="shared" si="379"/>
        <v>0.02</v>
      </c>
    </row>
    <row r="4848" spans="19:19" x14ac:dyDescent="0.25">
      <c r="S4848" s="24">
        <f t="shared" si="379"/>
        <v>0.02</v>
      </c>
    </row>
    <row r="4849" spans="19:19" x14ac:dyDescent="0.25">
      <c r="S4849" s="24">
        <f t="shared" si="379"/>
        <v>0.02</v>
      </c>
    </row>
    <row r="4850" spans="19:19" x14ac:dyDescent="0.25">
      <c r="S4850" s="24">
        <f t="shared" si="379"/>
        <v>0.02</v>
      </c>
    </row>
    <row r="4851" spans="19:19" x14ac:dyDescent="0.25">
      <c r="S4851" s="24">
        <f t="shared" si="379"/>
        <v>0.02</v>
      </c>
    </row>
    <row r="4852" spans="19:19" x14ac:dyDescent="0.25">
      <c r="S4852" s="24">
        <f t="shared" si="379"/>
        <v>0.02</v>
      </c>
    </row>
    <row r="4853" spans="19:19" x14ac:dyDescent="0.25">
      <c r="S4853" s="24">
        <f t="shared" si="379"/>
        <v>0.02</v>
      </c>
    </row>
    <row r="4854" spans="19:19" x14ac:dyDescent="0.25">
      <c r="S4854" s="24">
        <f t="shared" si="379"/>
        <v>0.02</v>
      </c>
    </row>
    <row r="4855" spans="19:19" x14ac:dyDescent="0.25">
      <c r="S4855" s="24">
        <f t="shared" si="379"/>
        <v>0.02</v>
      </c>
    </row>
    <row r="4856" spans="19:19" x14ac:dyDescent="0.25">
      <c r="S4856" s="24">
        <f t="shared" si="379"/>
        <v>0.02</v>
      </c>
    </row>
    <row r="4857" spans="19:19" x14ac:dyDescent="0.25">
      <c r="S4857" s="24">
        <f t="shared" si="379"/>
        <v>0.02</v>
      </c>
    </row>
    <row r="4858" spans="19:19" x14ac:dyDescent="0.25">
      <c r="S4858" s="24">
        <f t="shared" si="379"/>
        <v>0.02</v>
      </c>
    </row>
    <row r="4859" spans="19:19" x14ac:dyDescent="0.25">
      <c r="S4859" s="24">
        <f t="shared" si="379"/>
        <v>0.02</v>
      </c>
    </row>
    <row r="4860" spans="19:19" x14ac:dyDescent="0.25">
      <c r="S4860" s="24">
        <f t="shared" si="379"/>
        <v>0.02</v>
      </c>
    </row>
    <row r="4861" spans="19:19" x14ac:dyDescent="0.25">
      <c r="S4861" s="24">
        <f t="shared" si="379"/>
        <v>0.02</v>
      </c>
    </row>
    <row r="4862" spans="19:19" x14ac:dyDescent="0.25">
      <c r="S4862" s="24">
        <f t="shared" si="379"/>
        <v>0.02</v>
      </c>
    </row>
    <row r="4863" spans="19:19" x14ac:dyDescent="0.25">
      <c r="S4863" s="24">
        <f t="shared" si="379"/>
        <v>0.02</v>
      </c>
    </row>
    <row r="4864" spans="19:19" x14ac:dyDescent="0.25">
      <c r="S4864" s="24">
        <f t="shared" si="379"/>
        <v>0.02</v>
      </c>
    </row>
    <row r="4865" spans="19:19" x14ac:dyDescent="0.25">
      <c r="S4865" s="24">
        <f t="shared" si="379"/>
        <v>0.02</v>
      </c>
    </row>
    <row r="4866" spans="19:19" x14ac:dyDescent="0.25">
      <c r="S4866" s="24">
        <f t="shared" si="379"/>
        <v>0.02</v>
      </c>
    </row>
    <row r="4867" spans="19:19" x14ac:dyDescent="0.25">
      <c r="S4867" s="24">
        <f t="shared" si="379"/>
        <v>0.02</v>
      </c>
    </row>
    <row r="4868" spans="19:19" x14ac:dyDescent="0.25">
      <c r="S4868" s="24">
        <f t="shared" si="379"/>
        <v>0.02</v>
      </c>
    </row>
    <row r="4869" spans="19:19" x14ac:dyDescent="0.25">
      <c r="S4869" s="24">
        <f t="shared" si="379"/>
        <v>0.02</v>
      </c>
    </row>
    <row r="4870" spans="19:19" x14ac:dyDescent="0.25">
      <c r="S4870" s="24">
        <f t="shared" si="379"/>
        <v>0.02</v>
      </c>
    </row>
    <row r="4871" spans="19:19" x14ac:dyDescent="0.25">
      <c r="S4871" s="24">
        <f t="shared" si="379"/>
        <v>0.02</v>
      </c>
    </row>
    <row r="4872" spans="19:19" x14ac:dyDescent="0.25">
      <c r="S4872" s="24">
        <f t="shared" si="379"/>
        <v>0.02</v>
      </c>
    </row>
    <row r="4873" spans="19:19" x14ac:dyDescent="0.25">
      <c r="S4873" s="24">
        <f t="shared" si="379"/>
        <v>0.02</v>
      </c>
    </row>
    <row r="4874" spans="19:19" x14ac:dyDescent="0.25">
      <c r="S4874" s="24">
        <f t="shared" si="379"/>
        <v>0.02</v>
      </c>
    </row>
    <row r="4875" spans="19:19" x14ac:dyDescent="0.25">
      <c r="S4875" s="24">
        <f t="shared" ref="S4875:S4938" si="380">VLOOKUP(N4875,$T$1:$U$7,2,TRUE)</f>
        <v>0.02</v>
      </c>
    </row>
    <row r="4876" spans="19:19" x14ac:dyDescent="0.25">
      <c r="S4876" s="24">
        <f t="shared" si="380"/>
        <v>0.02</v>
      </c>
    </row>
    <row r="4877" spans="19:19" x14ac:dyDescent="0.25">
      <c r="S4877" s="24">
        <f t="shared" si="380"/>
        <v>0.02</v>
      </c>
    </row>
    <row r="4878" spans="19:19" x14ac:dyDescent="0.25">
      <c r="S4878" s="24">
        <f t="shared" si="380"/>
        <v>0.02</v>
      </c>
    </row>
    <row r="4879" spans="19:19" x14ac:dyDescent="0.25">
      <c r="S4879" s="24">
        <f t="shared" si="380"/>
        <v>0.02</v>
      </c>
    </row>
    <row r="4880" spans="19:19" x14ac:dyDescent="0.25">
      <c r="S4880" s="24">
        <f t="shared" si="380"/>
        <v>0.02</v>
      </c>
    </row>
    <row r="4881" spans="19:19" x14ac:dyDescent="0.25">
      <c r="S4881" s="24">
        <f t="shared" si="380"/>
        <v>0.02</v>
      </c>
    </row>
    <row r="4882" spans="19:19" x14ac:dyDescent="0.25">
      <c r="S4882" s="24">
        <f t="shared" si="380"/>
        <v>0.02</v>
      </c>
    </row>
    <row r="4883" spans="19:19" x14ac:dyDescent="0.25">
      <c r="S4883" s="24">
        <f t="shared" si="380"/>
        <v>0.02</v>
      </c>
    </row>
    <row r="4884" spans="19:19" x14ac:dyDescent="0.25">
      <c r="S4884" s="24">
        <f t="shared" si="380"/>
        <v>0.02</v>
      </c>
    </row>
    <row r="4885" spans="19:19" x14ac:dyDescent="0.25">
      <c r="S4885" s="24">
        <f t="shared" si="380"/>
        <v>0.02</v>
      </c>
    </row>
    <row r="4886" spans="19:19" x14ac:dyDescent="0.25">
      <c r="S4886" s="24">
        <f t="shared" si="380"/>
        <v>0.02</v>
      </c>
    </row>
    <row r="4887" spans="19:19" x14ac:dyDescent="0.25">
      <c r="S4887" s="24">
        <f t="shared" si="380"/>
        <v>0.02</v>
      </c>
    </row>
    <row r="4888" spans="19:19" x14ac:dyDescent="0.25">
      <c r="S4888" s="24">
        <f t="shared" si="380"/>
        <v>0.02</v>
      </c>
    </row>
    <row r="4889" spans="19:19" x14ac:dyDescent="0.25">
      <c r="S4889" s="24">
        <f t="shared" si="380"/>
        <v>0.02</v>
      </c>
    </row>
    <row r="4890" spans="19:19" x14ac:dyDescent="0.25">
      <c r="S4890" s="24">
        <f t="shared" si="380"/>
        <v>0.02</v>
      </c>
    </row>
    <row r="4891" spans="19:19" x14ac:dyDescent="0.25">
      <c r="S4891" s="24">
        <f t="shared" si="380"/>
        <v>0.02</v>
      </c>
    </row>
    <row r="4892" spans="19:19" x14ac:dyDescent="0.25">
      <c r="S4892" s="24">
        <f t="shared" si="380"/>
        <v>0.02</v>
      </c>
    </row>
    <row r="4893" spans="19:19" x14ac:dyDescent="0.25">
      <c r="S4893" s="24">
        <f t="shared" si="380"/>
        <v>0.02</v>
      </c>
    </row>
    <row r="4894" spans="19:19" x14ac:dyDescent="0.25">
      <c r="S4894" s="24">
        <f t="shared" si="380"/>
        <v>0.02</v>
      </c>
    </row>
    <row r="4895" spans="19:19" x14ac:dyDescent="0.25">
      <c r="S4895" s="24">
        <f t="shared" si="380"/>
        <v>0.02</v>
      </c>
    </row>
    <row r="4896" spans="19:19" x14ac:dyDescent="0.25">
      <c r="S4896" s="24">
        <f t="shared" si="380"/>
        <v>0.02</v>
      </c>
    </row>
    <row r="4897" spans="19:19" x14ac:dyDescent="0.25">
      <c r="S4897" s="24">
        <f t="shared" si="380"/>
        <v>0.02</v>
      </c>
    </row>
    <row r="4898" spans="19:19" x14ac:dyDescent="0.25">
      <c r="S4898" s="24">
        <f t="shared" si="380"/>
        <v>0.02</v>
      </c>
    </row>
    <row r="4899" spans="19:19" x14ac:dyDescent="0.25">
      <c r="S4899" s="24">
        <f t="shared" si="380"/>
        <v>0.02</v>
      </c>
    </row>
    <row r="4900" spans="19:19" x14ac:dyDescent="0.25">
      <c r="S4900" s="24">
        <f t="shared" si="380"/>
        <v>0.02</v>
      </c>
    </row>
    <row r="4901" spans="19:19" x14ac:dyDescent="0.25">
      <c r="S4901" s="24">
        <f t="shared" si="380"/>
        <v>0.02</v>
      </c>
    </row>
    <row r="4902" spans="19:19" x14ac:dyDescent="0.25">
      <c r="S4902" s="24">
        <f t="shared" si="380"/>
        <v>0.02</v>
      </c>
    </row>
    <row r="4903" spans="19:19" x14ac:dyDescent="0.25">
      <c r="S4903" s="24">
        <f t="shared" si="380"/>
        <v>0.02</v>
      </c>
    </row>
    <row r="4904" spans="19:19" x14ac:dyDescent="0.25">
      <c r="S4904" s="24">
        <f t="shared" si="380"/>
        <v>0.02</v>
      </c>
    </row>
    <row r="4905" spans="19:19" x14ac:dyDescent="0.25">
      <c r="S4905" s="24">
        <f t="shared" si="380"/>
        <v>0.02</v>
      </c>
    </row>
    <row r="4906" spans="19:19" x14ac:dyDescent="0.25">
      <c r="S4906" s="24">
        <f t="shared" si="380"/>
        <v>0.02</v>
      </c>
    </row>
    <row r="4907" spans="19:19" x14ac:dyDescent="0.25">
      <c r="S4907" s="24">
        <f t="shared" si="380"/>
        <v>0.02</v>
      </c>
    </row>
    <row r="4908" spans="19:19" x14ac:dyDescent="0.25">
      <c r="S4908" s="24">
        <f t="shared" si="380"/>
        <v>0.02</v>
      </c>
    </row>
    <row r="4909" spans="19:19" x14ac:dyDescent="0.25">
      <c r="S4909" s="24">
        <f t="shared" si="380"/>
        <v>0.02</v>
      </c>
    </row>
    <row r="4910" spans="19:19" x14ac:dyDescent="0.25">
      <c r="S4910" s="24">
        <f t="shared" si="380"/>
        <v>0.02</v>
      </c>
    </row>
    <row r="4911" spans="19:19" x14ac:dyDescent="0.25">
      <c r="S4911" s="24">
        <f t="shared" si="380"/>
        <v>0.02</v>
      </c>
    </row>
    <row r="4912" spans="19:19" x14ac:dyDescent="0.25">
      <c r="S4912" s="24">
        <f t="shared" si="380"/>
        <v>0.02</v>
      </c>
    </row>
    <row r="4913" spans="19:19" x14ac:dyDescent="0.25">
      <c r="S4913" s="24">
        <f t="shared" si="380"/>
        <v>0.02</v>
      </c>
    </row>
    <row r="4914" spans="19:19" x14ac:dyDescent="0.25">
      <c r="S4914" s="24">
        <f t="shared" si="380"/>
        <v>0.02</v>
      </c>
    </row>
    <row r="4915" spans="19:19" x14ac:dyDescent="0.25">
      <c r="S4915" s="24">
        <f t="shared" si="380"/>
        <v>0.02</v>
      </c>
    </row>
    <row r="4916" spans="19:19" x14ac:dyDescent="0.25">
      <c r="S4916" s="24">
        <f t="shared" si="380"/>
        <v>0.02</v>
      </c>
    </row>
    <row r="4917" spans="19:19" x14ac:dyDescent="0.25">
      <c r="S4917" s="24">
        <f t="shared" si="380"/>
        <v>0.02</v>
      </c>
    </row>
    <row r="4918" spans="19:19" x14ac:dyDescent="0.25">
      <c r="S4918" s="24">
        <f t="shared" si="380"/>
        <v>0.02</v>
      </c>
    </row>
    <row r="4919" spans="19:19" x14ac:dyDescent="0.25">
      <c r="S4919" s="24">
        <f t="shared" si="380"/>
        <v>0.02</v>
      </c>
    </row>
    <row r="4920" spans="19:19" x14ac:dyDescent="0.25">
      <c r="S4920" s="24">
        <f t="shared" si="380"/>
        <v>0.02</v>
      </c>
    </row>
    <row r="4921" spans="19:19" x14ac:dyDescent="0.25">
      <c r="S4921" s="24">
        <f t="shared" si="380"/>
        <v>0.02</v>
      </c>
    </row>
    <row r="4922" spans="19:19" x14ac:dyDescent="0.25">
      <c r="S4922" s="24">
        <f t="shared" si="380"/>
        <v>0.02</v>
      </c>
    </row>
    <row r="4923" spans="19:19" x14ac:dyDescent="0.25">
      <c r="S4923" s="24">
        <f t="shared" si="380"/>
        <v>0.02</v>
      </c>
    </row>
    <row r="4924" spans="19:19" x14ac:dyDescent="0.25">
      <c r="S4924" s="24">
        <f t="shared" si="380"/>
        <v>0.02</v>
      </c>
    </row>
    <row r="4925" spans="19:19" x14ac:dyDescent="0.25">
      <c r="S4925" s="24">
        <f t="shared" si="380"/>
        <v>0.02</v>
      </c>
    </row>
    <row r="4926" spans="19:19" x14ac:dyDescent="0.25">
      <c r="S4926" s="24">
        <f t="shared" si="380"/>
        <v>0.02</v>
      </c>
    </row>
    <row r="4927" spans="19:19" x14ac:dyDescent="0.25">
      <c r="S4927" s="24">
        <f t="shared" si="380"/>
        <v>0.02</v>
      </c>
    </row>
    <row r="4928" spans="19:19" x14ac:dyDescent="0.25">
      <c r="S4928" s="24">
        <f t="shared" si="380"/>
        <v>0.02</v>
      </c>
    </row>
    <row r="4929" spans="19:19" x14ac:dyDescent="0.25">
      <c r="S4929" s="24">
        <f t="shared" si="380"/>
        <v>0.02</v>
      </c>
    </row>
    <row r="4930" spans="19:19" x14ac:dyDescent="0.25">
      <c r="S4930" s="24">
        <f t="shared" si="380"/>
        <v>0.02</v>
      </c>
    </row>
    <row r="4931" spans="19:19" x14ac:dyDescent="0.25">
      <c r="S4931" s="24">
        <f t="shared" si="380"/>
        <v>0.02</v>
      </c>
    </row>
    <row r="4932" spans="19:19" x14ac:dyDescent="0.25">
      <c r="S4932" s="24">
        <f t="shared" si="380"/>
        <v>0.02</v>
      </c>
    </row>
    <row r="4933" spans="19:19" x14ac:dyDescent="0.25">
      <c r="S4933" s="24">
        <f t="shared" si="380"/>
        <v>0.02</v>
      </c>
    </row>
    <row r="4934" spans="19:19" x14ac:dyDescent="0.25">
      <c r="S4934" s="24">
        <f t="shared" si="380"/>
        <v>0.02</v>
      </c>
    </row>
    <row r="4935" spans="19:19" x14ac:dyDescent="0.25">
      <c r="S4935" s="24">
        <f t="shared" si="380"/>
        <v>0.02</v>
      </c>
    </row>
    <row r="4936" spans="19:19" x14ac:dyDescent="0.25">
      <c r="S4936" s="24">
        <f t="shared" si="380"/>
        <v>0.02</v>
      </c>
    </row>
    <row r="4937" spans="19:19" x14ac:dyDescent="0.25">
      <c r="S4937" s="24">
        <f t="shared" si="380"/>
        <v>0.02</v>
      </c>
    </row>
    <row r="4938" spans="19:19" x14ac:dyDescent="0.25">
      <c r="S4938" s="24">
        <f t="shared" si="380"/>
        <v>0.02</v>
      </c>
    </row>
    <row r="4939" spans="19:19" x14ac:dyDescent="0.25">
      <c r="S4939" s="24">
        <f t="shared" ref="S4939:S5002" si="381">VLOOKUP(N4939,$T$1:$U$7,2,TRUE)</f>
        <v>0.02</v>
      </c>
    </row>
    <row r="4940" spans="19:19" x14ac:dyDescent="0.25">
      <c r="S4940" s="24">
        <f t="shared" si="381"/>
        <v>0.02</v>
      </c>
    </row>
    <row r="4941" spans="19:19" x14ac:dyDescent="0.25">
      <c r="S4941" s="24">
        <f t="shared" si="381"/>
        <v>0.02</v>
      </c>
    </row>
    <row r="4942" spans="19:19" x14ac:dyDescent="0.25">
      <c r="S4942" s="24">
        <f t="shared" si="381"/>
        <v>0.02</v>
      </c>
    </row>
    <row r="4943" spans="19:19" x14ac:dyDescent="0.25">
      <c r="S4943" s="24">
        <f t="shared" si="381"/>
        <v>0.02</v>
      </c>
    </row>
    <row r="4944" spans="19:19" x14ac:dyDescent="0.25">
      <c r="S4944" s="24">
        <f t="shared" si="381"/>
        <v>0.02</v>
      </c>
    </row>
    <row r="4945" spans="19:19" x14ac:dyDescent="0.25">
      <c r="S4945" s="24">
        <f t="shared" si="381"/>
        <v>0.02</v>
      </c>
    </row>
    <row r="4946" spans="19:19" x14ac:dyDescent="0.25">
      <c r="S4946" s="24">
        <f t="shared" si="381"/>
        <v>0.02</v>
      </c>
    </row>
    <row r="4947" spans="19:19" x14ac:dyDescent="0.25">
      <c r="S4947" s="24">
        <f t="shared" si="381"/>
        <v>0.02</v>
      </c>
    </row>
    <row r="4948" spans="19:19" x14ac:dyDescent="0.25">
      <c r="S4948" s="24">
        <f t="shared" si="381"/>
        <v>0.02</v>
      </c>
    </row>
    <row r="4949" spans="19:19" x14ac:dyDescent="0.25">
      <c r="S4949" s="24">
        <f t="shared" si="381"/>
        <v>0.02</v>
      </c>
    </row>
    <row r="4950" spans="19:19" x14ac:dyDescent="0.25">
      <c r="S4950" s="24">
        <f t="shared" si="381"/>
        <v>0.02</v>
      </c>
    </row>
    <row r="4951" spans="19:19" x14ac:dyDescent="0.25">
      <c r="S4951" s="24">
        <f t="shared" si="381"/>
        <v>0.02</v>
      </c>
    </row>
    <row r="4952" spans="19:19" x14ac:dyDescent="0.25">
      <c r="S4952" s="24">
        <f t="shared" si="381"/>
        <v>0.02</v>
      </c>
    </row>
    <row r="4953" spans="19:19" x14ac:dyDescent="0.25">
      <c r="S4953" s="24">
        <f t="shared" si="381"/>
        <v>0.02</v>
      </c>
    </row>
    <row r="4954" spans="19:19" x14ac:dyDescent="0.25">
      <c r="S4954" s="24">
        <f t="shared" si="381"/>
        <v>0.02</v>
      </c>
    </row>
    <row r="4955" spans="19:19" x14ac:dyDescent="0.25">
      <c r="S4955" s="24">
        <f t="shared" si="381"/>
        <v>0.02</v>
      </c>
    </row>
    <row r="4956" spans="19:19" x14ac:dyDescent="0.25">
      <c r="S4956" s="24">
        <f t="shared" si="381"/>
        <v>0.02</v>
      </c>
    </row>
    <row r="4957" spans="19:19" x14ac:dyDescent="0.25">
      <c r="S4957" s="24">
        <f t="shared" si="381"/>
        <v>0.02</v>
      </c>
    </row>
    <row r="4958" spans="19:19" x14ac:dyDescent="0.25">
      <c r="S4958" s="24">
        <f t="shared" si="381"/>
        <v>0.02</v>
      </c>
    </row>
    <row r="4959" spans="19:19" x14ac:dyDescent="0.25">
      <c r="S4959" s="24">
        <f t="shared" si="381"/>
        <v>0.02</v>
      </c>
    </row>
    <row r="4960" spans="19:19" x14ac:dyDescent="0.25">
      <c r="S4960" s="24">
        <f t="shared" si="381"/>
        <v>0.02</v>
      </c>
    </row>
    <row r="4961" spans="19:19" x14ac:dyDescent="0.25">
      <c r="S4961" s="24">
        <f t="shared" si="381"/>
        <v>0.02</v>
      </c>
    </row>
    <row r="4962" spans="19:19" x14ac:dyDescent="0.25">
      <c r="S4962" s="24">
        <f t="shared" si="381"/>
        <v>0.02</v>
      </c>
    </row>
    <row r="4963" spans="19:19" x14ac:dyDescent="0.25">
      <c r="S4963" s="24">
        <f t="shared" si="381"/>
        <v>0.02</v>
      </c>
    </row>
    <row r="4964" spans="19:19" x14ac:dyDescent="0.25">
      <c r="S4964" s="24">
        <f t="shared" si="381"/>
        <v>0.02</v>
      </c>
    </row>
    <row r="4965" spans="19:19" x14ac:dyDescent="0.25">
      <c r="S4965" s="24">
        <f t="shared" si="381"/>
        <v>0.02</v>
      </c>
    </row>
    <row r="4966" spans="19:19" x14ac:dyDescent="0.25">
      <c r="S4966" s="24">
        <f t="shared" si="381"/>
        <v>0.02</v>
      </c>
    </row>
    <row r="4967" spans="19:19" x14ac:dyDescent="0.25">
      <c r="S4967" s="24">
        <f t="shared" si="381"/>
        <v>0.02</v>
      </c>
    </row>
    <row r="4968" spans="19:19" x14ac:dyDescent="0.25">
      <c r="S4968" s="24">
        <f t="shared" si="381"/>
        <v>0.02</v>
      </c>
    </row>
    <row r="4969" spans="19:19" x14ac:dyDescent="0.25">
      <c r="S4969" s="24">
        <f t="shared" si="381"/>
        <v>0.02</v>
      </c>
    </row>
    <row r="4970" spans="19:19" x14ac:dyDescent="0.25">
      <c r="S4970" s="24">
        <f t="shared" si="381"/>
        <v>0.02</v>
      </c>
    </row>
    <row r="4971" spans="19:19" x14ac:dyDescent="0.25">
      <c r="S4971" s="24">
        <f t="shared" si="381"/>
        <v>0.02</v>
      </c>
    </row>
    <row r="4972" spans="19:19" x14ac:dyDescent="0.25">
      <c r="S4972" s="24">
        <f t="shared" si="381"/>
        <v>0.02</v>
      </c>
    </row>
    <row r="4973" spans="19:19" x14ac:dyDescent="0.25">
      <c r="S4973" s="24">
        <f t="shared" si="381"/>
        <v>0.02</v>
      </c>
    </row>
    <row r="4974" spans="19:19" x14ac:dyDescent="0.25">
      <c r="S4974" s="24">
        <f t="shared" si="381"/>
        <v>0.02</v>
      </c>
    </row>
    <row r="4975" spans="19:19" x14ac:dyDescent="0.25">
      <c r="S4975" s="24">
        <f t="shared" si="381"/>
        <v>0.02</v>
      </c>
    </row>
    <row r="4976" spans="19:19" x14ac:dyDescent="0.25">
      <c r="S4976" s="24">
        <f t="shared" si="381"/>
        <v>0.02</v>
      </c>
    </row>
    <row r="4977" spans="19:19" x14ac:dyDescent="0.25">
      <c r="S4977" s="24">
        <f t="shared" si="381"/>
        <v>0.02</v>
      </c>
    </row>
    <row r="4978" spans="19:19" x14ac:dyDescent="0.25">
      <c r="S4978" s="24">
        <f t="shared" si="381"/>
        <v>0.02</v>
      </c>
    </row>
    <row r="4979" spans="19:19" x14ac:dyDescent="0.25">
      <c r="S4979" s="24">
        <f t="shared" si="381"/>
        <v>0.02</v>
      </c>
    </row>
    <row r="4980" spans="19:19" x14ac:dyDescent="0.25">
      <c r="S4980" s="24">
        <f t="shared" si="381"/>
        <v>0.02</v>
      </c>
    </row>
    <row r="4981" spans="19:19" x14ac:dyDescent="0.25">
      <c r="S4981" s="24">
        <f t="shared" si="381"/>
        <v>0.02</v>
      </c>
    </row>
    <row r="4982" spans="19:19" x14ac:dyDescent="0.25">
      <c r="S4982" s="24">
        <f t="shared" si="381"/>
        <v>0.02</v>
      </c>
    </row>
    <row r="4983" spans="19:19" x14ac:dyDescent="0.25">
      <c r="S4983" s="24">
        <f t="shared" si="381"/>
        <v>0.02</v>
      </c>
    </row>
    <row r="4984" spans="19:19" x14ac:dyDescent="0.25">
      <c r="S4984" s="24">
        <f t="shared" si="381"/>
        <v>0.02</v>
      </c>
    </row>
    <row r="4985" spans="19:19" x14ac:dyDescent="0.25">
      <c r="S4985" s="24">
        <f t="shared" si="381"/>
        <v>0.02</v>
      </c>
    </row>
    <row r="4986" spans="19:19" x14ac:dyDescent="0.25">
      <c r="S4986" s="24">
        <f t="shared" si="381"/>
        <v>0.02</v>
      </c>
    </row>
    <row r="4987" spans="19:19" x14ac:dyDescent="0.25">
      <c r="S4987" s="24">
        <f t="shared" si="381"/>
        <v>0.02</v>
      </c>
    </row>
    <row r="4988" spans="19:19" x14ac:dyDescent="0.25">
      <c r="S4988" s="24">
        <f t="shared" si="381"/>
        <v>0.02</v>
      </c>
    </row>
    <row r="4989" spans="19:19" x14ac:dyDescent="0.25">
      <c r="S4989" s="24">
        <f t="shared" si="381"/>
        <v>0.02</v>
      </c>
    </row>
    <row r="4990" spans="19:19" x14ac:dyDescent="0.25">
      <c r="S4990" s="24">
        <f t="shared" si="381"/>
        <v>0.02</v>
      </c>
    </row>
    <row r="4991" spans="19:19" x14ac:dyDescent="0.25">
      <c r="S4991" s="24">
        <f t="shared" si="381"/>
        <v>0.02</v>
      </c>
    </row>
    <row r="4992" spans="19:19" x14ac:dyDescent="0.25">
      <c r="S4992" s="24">
        <f t="shared" si="381"/>
        <v>0.02</v>
      </c>
    </row>
    <row r="4993" spans="19:19" x14ac:dyDescent="0.25">
      <c r="S4993" s="24">
        <f t="shared" si="381"/>
        <v>0.02</v>
      </c>
    </row>
    <row r="4994" spans="19:19" x14ac:dyDescent="0.25">
      <c r="S4994" s="24">
        <f t="shared" si="381"/>
        <v>0.02</v>
      </c>
    </row>
    <row r="4995" spans="19:19" x14ac:dyDescent="0.25">
      <c r="S4995" s="24">
        <f t="shared" si="381"/>
        <v>0.02</v>
      </c>
    </row>
    <row r="4996" spans="19:19" x14ac:dyDescent="0.25">
      <c r="S4996" s="24">
        <f t="shared" si="381"/>
        <v>0.02</v>
      </c>
    </row>
    <row r="4997" spans="19:19" x14ac:dyDescent="0.25">
      <c r="S4997" s="24">
        <f t="shared" si="381"/>
        <v>0.02</v>
      </c>
    </row>
    <row r="4998" spans="19:19" x14ac:dyDescent="0.25">
      <c r="S4998" s="24">
        <f t="shared" si="381"/>
        <v>0.02</v>
      </c>
    </row>
    <row r="4999" spans="19:19" x14ac:dyDescent="0.25">
      <c r="S4999" s="24">
        <f t="shared" si="381"/>
        <v>0.02</v>
      </c>
    </row>
    <row r="5000" spans="19:19" x14ac:dyDescent="0.25">
      <c r="S5000" s="24">
        <f t="shared" si="381"/>
        <v>0.02</v>
      </c>
    </row>
    <row r="5001" spans="19:19" x14ac:dyDescent="0.25">
      <c r="S5001" s="24">
        <f t="shared" si="381"/>
        <v>0.02</v>
      </c>
    </row>
    <row r="5002" spans="19:19" x14ac:dyDescent="0.25">
      <c r="S5002" s="24">
        <f t="shared" si="381"/>
        <v>0.02</v>
      </c>
    </row>
    <row r="5003" spans="19:19" x14ac:dyDescent="0.25">
      <c r="S5003" s="24">
        <f t="shared" ref="S5003:S5066" si="382">VLOOKUP(N5003,$T$1:$U$7,2,TRUE)</f>
        <v>0.02</v>
      </c>
    </row>
    <row r="5004" spans="19:19" x14ac:dyDescent="0.25">
      <c r="S5004" s="24">
        <f t="shared" si="382"/>
        <v>0.02</v>
      </c>
    </row>
    <row r="5005" spans="19:19" x14ac:dyDescent="0.25">
      <c r="S5005" s="24">
        <f t="shared" si="382"/>
        <v>0.02</v>
      </c>
    </row>
    <row r="5006" spans="19:19" x14ac:dyDescent="0.25">
      <c r="S5006" s="24">
        <f t="shared" si="382"/>
        <v>0.02</v>
      </c>
    </row>
    <row r="5007" spans="19:19" x14ac:dyDescent="0.25">
      <c r="S5007" s="24">
        <f t="shared" si="382"/>
        <v>0.02</v>
      </c>
    </row>
    <row r="5008" spans="19:19" x14ac:dyDescent="0.25">
      <c r="S5008" s="24">
        <f t="shared" si="382"/>
        <v>0.02</v>
      </c>
    </row>
    <row r="5009" spans="19:19" x14ac:dyDescent="0.25">
      <c r="S5009" s="24">
        <f t="shared" si="382"/>
        <v>0.02</v>
      </c>
    </row>
    <row r="5010" spans="19:19" x14ac:dyDescent="0.25">
      <c r="S5010" s="24">
        <f t="shared" si="382"/>
        <v>0.02</v>
      </c>
    </row>
    <row r="5011" spans="19:19" x14ac:dyDescent="0.25">
      <c r="S5011" s="24">
        <f t="shared" si="382"/>
        <v>0.02</v>
      </c>
    </row>
    <row r="5012" spans="19:19" x14ac:dyDescent="0.25">
      <c r="S5012" s="24">
        <f t="shared" si="382"/>
        <v>0.02</v>
      </c>
    </row>
    <row r="5013" spans="19:19" x14ac:dyDescent="0.25">
      <c r="S5013" s="24">
        <f t="shared" si="382"/>
        <v>0.02</v>
      </c>
    </row>
    <row r="5014" spans="19:19" x14ac:dyDescent="0.25">
      <c r="S5014" s="24">
        <f t="shared" si="382"/>
        <v>0.02</v>
      </c>
    </row>
    <row r="5015" spans="19:19" x14ac:dyDescent="0.25">
      <c r="S5015" s="24">
        <f t="shared" si="382"/>
        <v>0.02</v>
      </c>
    </row>
    <row r="5016" spans="19:19" x14ac:dyDescent="0.25">
      <c r="S5016" s="24">
        <f t="shared" si="382"/>
        <v>0.02</v>
      </c>
    </row>
    <row r="5017" spans="19:19" x14ac:dyDescent="0.25">
      <c r="S5017" s="24">
        <f t="shared" si="382"/>
        <v>0.02</v>
      </c>
    </row>
    <row r="5018" spans="19:19" x14ac:dyDescent="0.25">
      <c r="S5018" s="24">
        <f t="shared" si="382"/>
        <v>0.02</v>
      </c>
    </row>
    <row r="5019" spans="19:19" x14ac:dyDescent="0.25">
      <c r="S5019" s="24">
        <f t="shared" si="382"/>
        <v>0.02</v>
      </c>
    </row>
    <row r="5020" spans="19:19" x14ac:dyDescent="0.25">
      <c r="S5020" s="24">
        <f t="shared" si="382"/>
        <v>0.02</v>
      </c>
    </row>
    <row r="5021" spans="19:19" x14ac:dyDescent="0.25">
      <c r="S5021" s="24">
        <f t="shared" si="382"/>
        <v>0.02</v>
      </c>
    </row>
    <row r="5022" spans="19:19" x14ac:dyDescent="0.25">
      <c r="S5022" s="24">
        <f t="shared" si="382"/>
        <v>0.02</v>
      </c>
    </row>
    <row r="5023" spans="19:19" x14ac:dyDescent="0.25">
      <c r="S5023" s="24">
        <f t="shared" si="382"/>
        <v>0.02</v>
      </c>
    </row>
    <row r="5024" spans="19:19" x14ac:dyDescent="0.25">
      <c r="S5024" s="24">
        <f t="shared" si="382"/>
        <v>0.02</v>
      </c>
    </row>
    <row r="5025" spans="19:19" x14ac:dyDescent="0.25">
      <c r="S5025" s="24">
        <f t="shared" si="382"/>
        <v>0.02</v>
      </c>
    </row>
    <row r="5026" spans="19:19" x14ac:dyDescent="0.25">
      <c r="S5026" s="24">
        <f t="shared" si="382"/>
        <v>0.02</v>
      </c>
    </row>
    <row r="5027" spans="19:19" x14ac:dyDescent="0.25">
      <c r="S5027" s="24">
        <f t="shared" si="382"/>
        <v>0.02</v>
      </c>
    </row>
    <row r="5028" spans="19:19" x14ac:dyDescent="0.25">
      <c r="S5028" s="24">
        <f t="shared" si="382"/>
        <v>0.02</v>
      </c>
    </row>
    <row r="5029" spans="19:19" x14ac:dyDescent="0.25">
      <c r="S5029" s="24">
        <f t="shared" si="382"/>
        <v>0.02</v>
      </c>
    </row>
    <row r="5030" spans="19:19" x14ac:dyDescent="0.25">
      <c r="S5030" s="24">
        <f t="shared" si="382"/>
        <v>0.02</v>
      </c>
    </row>
    <row r="5031" spans="19:19" x14ac:dyDescent="0.25">
      <c r="S5031" s="24">
        <f t="shared" si="382"/>
        <v>0.02</v>
      </c>
    </row>
    <row r="5032" spans="19:19" x14ac:dyDescent="0.25">
      <c r="S5032" s="24">
        <f t="shared" si="382"/>
        <v>0.02</v>
      </c>
    </row>
    <row r="5033" spans="19:19" x14ac:dyDescent="0.25">
      <c r="S5033" s="24">
        <f t="shared" si="382"/>
        <v>0.02</v>
      </c>
    </row>
    <row r="5034" spans="19:19" x14ac:dyDescent="0.25">
      <c r="S5034" s="24">
        <f t="shared" si="382"/>
        <v>0.02</v>
      </c>
    </row>
    <row r="5035" spans="19:19" x14ac:dyDescent="0.25">
      <c r="S5035" s="24">
        <f t="shared" si="382"/>
        <v>0.02</v>
      </c>
    </row>
    <row r="5036" spans="19:19" x14ac:dyDescent="0.25">
      <c r="S5036" s="24">
        <f t="shared" si="382"/>
        <v>0.02</v>
      </c>
    </row>
    <row r="5037" spans="19:19" x14ac:dyDescent="0.25">
      <c r="S5037" s="24">
        <f t="shared" si="382"/>
        <v>0.02</v>
      </c>
    </row>
    <row r="5038" spans="19:19" x14ac:dyDescent="0.25">
      <c r="S5038" s="24">
        <f t="shared" si="382"/>
        <v>0.02</v>
      </c>
    </row>
    <row r="5039" spans="19:19" x14ac:dyDescent="0.25">
      <c r="S5039" s="24">
        <f t="shared" si="382"/>
        <v>0.02</v>
      </c>
    </row>
    <row r="5040" spans="19:19" x14ac:dyDescent="0.25">
      <c r="S5040" s="24">
        <f t="shared" si="382"/>
        <v>0.02</v>
      </c>
    </row>
    <row r="5041" spans="19:19" x14ac:dyDescent="0.25">
      <c r="S5041" s="24">
        <f t="shared" si="382"/>
        <v>0.02</v>
      </c>
    </row>
    <row r="5042" spans="19:19" x14ac:dyDescent="0.25">
      <c r="S5042" s="24">
        <f t="shared" si="382"/>
        <v>0.02</v>
      </c>
    </row>
    <row r="5043" spans="19:19" x14ac:dyDescent="0.25">
      <c r="S5043" s="24">
        <f t="shared" si="382"/>
        <v>0.02</v>
      </c>
    </row>
    <row r="5044" spans="19:19" x14ac:dyDescent="0.25">
      <c r="S5044" s="24">
        <f t="shared" si="382"/>
        <v>0.02</v>
      </c>
    </row>
    <row r="5045" spans="19:19" x14ac:dyDescent="0.25">
      <c r="S5045" s="24">
        <f t="shared" si="382"/>
        <v>0.02</v>
      </c>
    </row>
    <row r="5046" spans="19:19" x14ac:dyDescent="0.25">
      <c r="S5046" s="24">
        <f t="shared" si="382"/>
        <v>0.02</v>
      </c>
    </row>
    <row r="5047" spans="19:19" x14ac:dyDescent="0.25">
      <c r="S5047" s="24">
        <f t="shared" si="382"/>
        <v>0.02</v>
      </c>
    </row>
    <row r="5048" spans="19:19" x14ac:dyDescent="0.25">
      <c r="S5048" s="24">
        <f t="shared" si="382"/>
        <v>0.02</v>
      </c>
    </row>
    <row r="5049" spans="19:19" x14ac:dyDescent="0.25">
      <c r="S5049" s="24">
        <f t="shared" si="382"/>
        <v>0.02</v>
      </c>
    </row>
    <row r="5050" spans="19:19" x14ac:dyDescent="0.25">
      <c r="S5050" s="24">
        <f t="shared" si="382"/>
        <v>0.02</v>
      </c>
    </row>
    <row r="5051" spans="19:19" x14ac:dyDescent="0.25">
      <c r="S5051" s="24">
        <f t="shared" si="382"/>
        <v>0.02</v>
      </c>
    </row>
    <row r="5052" spans="19:19" x14ac:dyDescent="0.25">
      <c r="S5052" s="24">
        <f t="shared" si="382"/>
        <v>0.02</v>
      </c>
    </row>
    <row r="5053" spans="19:19" x14ac:dyDescent="0.25">
      <c r="S5053" s="24">
        <f t="shared" si="382"/>
        <v>0.02</v>
      </c>
    </row>
    <row r="5054" spans="19:19" x14ac:dyDescent="0.25">
      <c r="S5054" s="24">
        <f t="shared" si="382"/>
        <v>0.02</v>
      </c>
    </row>
    <row r="5055" spans="19:19" x14ac:dyDescent="0.25">
      <c r="S5055" s="24">
        <f t="shared" si="382"/>
        <v>0.02</v>
      </c>
    </row>
    <row r="5056" spans="19:19" x14ac:dyDescent="0.25">
      <c r="S5056" s="24">
        <f t="shared" si="382"/>
        <v>0.02</v>
      </c>
    </row>
    <row r="5057" spans="19:19" x14ac:dyDescent="0.25">
      <c r="S5057" s="24">
        <f t="shared" si="382"/>
        <v>0.02</v>
      </c>
    </row>
    <row r="5058" spans="19:19" x14ac:dyDescent="0.25">
      <c r="S5058" s="24">
        <f t="shared" si="382"/>
        <v>0.02</v>
      </c>
    </row>
    <row r="5059" spans="19:19" x14ac:dyDescent="0.25">
      <c r="S5059" s="24">
        <f t="shared" si="382"/>
        <v>0.02</v>
      </c>
    </row>
    <row r="5060" spans="19:19" x14ac:dyDescent="0.25">
      <c r="S5060" s="24">
        <f t="shared" si="382"/>
        <v>0.02</v>
      </c>
    </row>
    <row r="5061" spans="19:19" x14ac:dyDescent="0.25">
      <c r="S5061" s="24">
        <f t="shared" si="382"/>
        <v>0.02</v>
      </c>
    </row>
    <row r="5062" spans="19:19" x14ac:dyDescent="0.25">
      <c r="S5062" s="24">
        <f t="shared" si="382"/>
        <v>0.02</v>
      </c>
    </row>
    <row r="5063" spans="19:19" x14ac:dyDescent="0.25">
      <c r="S5063" s="24">
        <f t="shared" si="382"/>
        <v>0.02</v>
      </c>
    </row>
    <row r="5064" spans="19:19" x14ac:dyDescent="0.25">
      <c r="S5064" s="24">
        <f t="shared" si="382"/>
        <v>0.02</v>
      </c>
    </row>
    <row r="5065" spans="19:19" x14ac:dyDescent="0.25">
      <c r="S5065" s="24">
        <f t="shared" si="382"/>
        <v>0.02</v>
      </c>
    </row>
    <row r="5066" spans="19:19" x14ac:dyDescent="0.25">
      <c r="S5066" s="24">
        <f t="shared" si="382"/>
        <v>0.02</v>
      </c>
    </row>
    <row r="5067" spans="19:19" x14ac:dyDescent="0.25">
      <c r="S5067" s="24">
        <f t="shared" ref="S5067:S5130" si="383">VLOOKUP(N5067,$T$1:$U$7,2,TRUE)</f>
        <v>0.02</v>
      </c>
    </row>
    <row r="5068" spans="19:19" x14ac:dyDescent="0.25">
      <c r="S5068" s="24">
        <f t="shared" si="383"/>
        <v>0.02</v>
      </c>
    </row>
    <row r="5069" spans="19:19" x14ac:dyDescent="0.25">
      <c r="S5069" s="24">
        <f t="shared" si="383"/>
        <v>0.02</v>
      </c>
    </row>
    <row r="5070" spans="19:19" x14ac:dyDescent="0.25">
      <c r="S5070" s="24">
        <f t="shared" si="383"/>
        <v>0.02</v>
      </c>
    </row>
    <row r="5071" spans="19:19" x14ac:dyDescent="0.25">
      <c r="S5071" s="24">
        <f t="shared" si="383"/>
        <v>0.02</v>
      </c>
    </row>
    <row r="5072" spans="19:19" x14ac:dyDescent="0.25">
      <c r="S5072" s="24">
        <f t="shared" si="383"/>
        <v>0.02</v>
      </c>
    </row>
    <row r="5073" spans="19:19" x14ac:dyDescent="0.25">
      <c r="S5073" s="24">
        <f t="shared" si="383"/>
        <v>0.02</v>
      </c>
    </row>
    <row r="5074" spans="19:19" x14ac:dyDescent="0.25">
      <c r="S5074" s="24">
        <f t="shared" si="383"/>
        <v>0.02</v>
      </c>
    </row>
    <row r="5075" spans="19:19" x14ac:dyDescent="0.25">
      <c r="S5075" s="24">
        <f t="shared" si="383"/>
        <v>0.02</v>
      </c>
    </row>
    <row r="5076" spans="19:19" x14ac:dyDescent="0.25">
      <c r="S5076" s="24">
        <f t="shared" si="383"/>
        <v>0.02</v>
      </c>
    </row>
    <row r="5077" spans="19:19" x14ac:dyDescent="0.25">
      <c r="S5077" s="24">
        <f t="shared" si="383"/>
        <v>0.02</v>
      </c>
    </row>
    <row r="5078" spans="19:19" x14ac:dyDescent="0.25">
      <c r="S5078" s="24">
        <f t="shared" si="383"/>
        <v>0.02</v>
      </c>
    </row>
    <row r="5079" spans="19:19" x14ac:dyDescent="0.25">
      <c r="S5079" s="24">
        <f t="shared" si="383"/>
        <v>0.02</v>
      </c>
    </row>
    <row r="5080" spans="19:19" x14ac:dyDescent="0.25">
      <c r="S5080" s="24">
        <f t="shared" si="383"/>
        <v>0.02</v>
      </c>
    </row>
    <row r="5081" spans="19:19" x14ac:dyDescent="0.25">
      <c r="S5081" s="24">
        <f t="shared" si="383"/>
        <v>0.02</v>
      </c>
    </row>
    <row r="5082" spans="19:19" x14ac:dyDescent="0.25">
      <c r="S5082" s="24">
        <f t="shared" si="383"/>
        <v>0.02</v>
      </c>
    </row>
    <row r="5083" spans="19:19" x14ac:dyDescent="0.25">
      <c r="S5083" s="24">
        <f t="shared" si="383"/>
        <v>0.02</v>
      </c>
    </row>
    <row r="5084" spans="19:19" x14ac:dyDescent="0.25">
      <c r="S5084" s="24">
        <f t="shared" si="383"/>
        <v>0.02</v>
      </c>
    </row>
    <row r="5085" spans="19:19" x14ac:dyDescent="0.25">
      <c r="S5085" s="24">
        <f t="shared" si="383"/>
        <v>0.02</v>
      </c>
    </row>
    <row r="5086" spans="19:19" x14ac:dyDescent="0.25">
      <c r="S5086" s="24">
        <f t="shared" si="383"/>
        <v>0.02</v>
      </c>
    </row>
    <row r="5087" spans="19:19" x14ac:dyDescent="0.25">
      <c r="S5087" s="24">
        <f t="shared" si="383"/>
        <v>0.02</v>
      </c>
    </row>
    <row r="5088" spans="19:19" x14ac:dyDescent="0.25">
      <c r="S5088" s="24">
        <f t="shared" si="383"/>
        <v>0.02</v>
      </c>
    </row>
    <row r="5089" spans="19:19" x14ac:dyDescent="0.25">
      <c r="S5089" s="24">
        <f t="shared" si="383"/>
        <v>0.02</v>
      </c>
    </row>
    <row r="5090" spans="19:19" x14ac:dyDescent="0.25">
      <c r="S5090" s="24">
        <f t="shared" si="383"/>
        <v>0.02</v>
      </c>
    </row>
    <row r="5091" spans="19:19" x14ac:dyDescent="0.25">
      <c r="S5091" s="24">
        <f t="shared" si="383"/>
        <v>0.02</v>
      </c>
    </row>
    <row r="5092" spans="19:19" x14ac:dyDescent="0.25">
      <c r="S5092" s="24">
        <f t="shared" si="383"/>
        <v>0.02</v>
      </c>
    </row>
    <row r="5093" spans="19:19" x14ac:dyDescent="0.25">
      <c r="S5093" s="24">
        <f t="shared" si="383"/>
        <v>0.02</v>
      </c>
    </row>
    <row r="5094" spans="19:19" x14ac:dyDescent="0.25">
      <c r="S5094" s="24">
        <f t="shared" si="383"/>
        <v>0.02</v>
      </c>
    </row>
    <row r="5095" spans="19:19" x14ac:dyDescent="0.25">
      <c r="S5095" s="24">
        <f t="shared" si="383"/>
        <v>0.02</v>
      </c>
    </row>
    <row r="5096" spans="19:19" x14ac:dyDescent="0.25">
      <c r="S5096" s="24">
        <f t="shared" si="383"/>
        <v>0.02</v>
      </c>
    </row>
    <row r="5097" spans="19:19" x14ac:dyDescent="0.25">
      <c r="S5097" s="24">
        <f t="shared" si="383"/>
        <v>0.02</v>
      </c>
    </row>
    <row r="5098" spans="19:19" x14ac:dyDescent="0.25">
      <c r="S5098" s="24">
        <f t="shared" si="383"/>
        <v>0.02</v>
      </c>
    </row>
    <row r="5099" spans="19:19" x14ac:dyDescent="0.25">
      <c r="S5099" s="24">
        <f t="shared" si="383"/>
        <v>0.02</v>
      </c>
    </row>
    <row r="5100" spans="19:19" x14ac:dyDescent="0.25">
      <c r="S5100" s="24">
        <f t="shared" si="383"/>
        <v>0.02</v>
      </c>
    </row>
    <row r="5101" spans="19:19" x14ac:dyDescent="0.25">
      <c r="S5101" s="24">
        <f t="shared" si="383"/>
        <v>0.02</v>
      </c>
    </row>
    <row r="5102" spans="19:19" x14ac:dyDescent="0.25">
      <c r="S5102" s="24">
        <f t="shared" si="383"/>
        <v>0.02</v>
      </c>
    </row>
    <row r="5103" spans="19:19" x14ac:dyDescent="0.25">
      <c r="S5103" s="24">
        <f t="shared" si="383"/>
        <v>0.02</v>
      </c>
    </row>
    <row r="5104" spans="19:19" x14ac:dyDescent="0.25">
      <c r="S5104" s="24">
        <f t="shared" si="383"/>
        <v>0.02</v>
      </c>
    </row>
    <row r="5105" spans="19:19" x14ac:dyDescent="0.25">
      <c r="S5105" s="24">
        <f t="shared" si="383"/>
        <v>0.02</v>
      </c>
    </row>
    <row r="5106" spans="19:19" x14ac:dyDescent="0.25">
      <c r="S5106" s="24">
        <f t="shared" si="383"/>
        <v>0.02</v>
      </c>
    </row>
    <row r="5107" spans="19:19" x14ac:dyDescent="0.25">
      <c r="S5107" s="24">
        <f t="shared" si="383"/>
        <v>0.02</v>
      </c>
    </row>
    <row r="5108" spans="19:19" x14ac:dyDescent="0.25">
      <c r="S5108" s="24">
        <f t="shared" si="383"/>
        <v>0.02</v>
      </c>
    </row>
    <row r="5109" spans="19:19" x14ac:dyDescent="0.25">
      <c r="S5109" s="24">
        <f t="shared" si="383"/>
        <v>0.02</v>
      </c>
    </row>
    <row r="5110" spans="19:19" x14ac:dyDescent="0.25">
      <c r="S5110" s="24">
        <f t="shared" si="383"/>
        <v>0.02</v>
      </c>
    </row>
    <row r="5111" spans="19:19" x14ac:dyDescent="0.25">
      <c r="S5111" s="24">
        <f t="shared" si="383"/>
        <v>0.02</v>
      </c>
    </row>
    <row r="5112" spans="19:19" x14ac:dyDescent="0.25">
      <c r="S5112" s="24">
        <f t="shared" si="383"/>
        <v>0.02</v>
      </c>
    </row>
    <row r="5113" spans="19:19" x14ac:dyDescent="0.25">
      <c r="S5113" s="24">
        <f t="shared" si="383"/>
        <v>0.02</v>
      </c>
    </row>
    <row r="5114" spans="19:19" x14ac:dyDescent="0.25">
      <c r="S5114" s="24">
        <f t="shared" si="383"/>
        <v>0.02</v>
      </c>
    </row>
    <row r="5115" spans="19:19" x14ac:dyDescent="0.25">
      <c r="S5115" s="24">
        <f t="shared" si="383"/>
        <v>0.02</v>
      </c>
    </row>
    <row r="5116" spans="19:19" x14ac:dyDescent="0.25">
      <c r="S5116" s="24">
        <f t="shared" si="383"/>
        <v>0.02</v>
      </c>
    </row>
    <row r="5117" spans="19:19" x14ac:dyDescent="0.25">
      <c r="S5117" s="24">
        <f t="shared" si="383"/>
        <v>0.02</v>
      </c>
    </row>
    <row r="5118" spans="19:19" x14ac:dyDescent="0.25">
      <c r="S5118" s="24">
        <f t="shared" si="383"/>
        <v>0.02</v>
      </c>
    </row>
    <row r="5119" spans="19:19" x14ac:dyDescent="0.25">
      <c r="S5119" s="24">
        <f t="shared" si="383"/>
        <v>0.02</v>
      </c>
    </row>
    <row r="5120" spans="19:19" x14ac:dyDescent="0.25">
      <c r="S5120" s="24">
        <f t="shared" si="383"/>
        <v>0.02</v>
      </c>
    </row>
    <row r="5121" spans="19:19" x14ac:dyDescent="0.25">
      <c r="S5121" s="24">
        <f t="shared" si="383"/>
        <v>0.02</v>
      </c>
    </row>
    <row r="5122" spans="19:19" x14ac:dyDescent="0.25">
      <c r="S5122" s="24">
        <f t="shared" si="383"/>
        <v>0.02</v>
      </c>
    </row>
    <row r="5123" spans="19:19" x14ac:dyDescent="0.25">
      <c r="S5123" s="24">
        <f t="shared" si="383"/>
        <v>0.02</v>
      </c>
    </row>
    <row r="5124" spans="19:19" x14ac:dyDescent="0.25">
      <c r="S5124" s="24">
        <f t="shared" si="383"/>
        <v>0.02</v>
      </c>
    </row>
    <row r="5125" spans="19:19" x14ac:dyDescent="0.25">
      <c r="S5125" s="24">
        <f t="shared" si="383"/>
        <v>0.02</v>
      </c>
    </row>
    <row r="5126" spans="19:19" x14ac:dyDescent="0.25">
      <c r="S5126" s="24">
        <f t="shared" si="383"/>
        <v>0.02</v>
      </c>
    </row>
    <row r="5127" spans="19:19" x14ac:dyDescent="0.25">
      <c r="S5127" s="24">
        <f t="shared" si="383"/>
        <v>0.02</v>
      </c>
    </row>
    <row r="5128" spans="19:19" x14ac:dyDescent="0.25">
      <c r="S5128" s="24">
        <f t="shared" si="383"/>
        <v>0.02</v>
      </c>
    </row>
    <row r="5129" spans="19:19" x14ac:dyDescent="0.25">
      <c r="S5129" s="24">
        <f t="shared" si="383"/>
        <v>0.02</v>
      </c>
    </row>
    <row r="5130" spans="19:19" x14ac:dyDescent="0.25">
      <c r="S5130" s="24">
        <f t="shared" si="383"/>
        <v>0.02</v>
      </c>
    </row>
    <row r="5131" spans="19:19" x14ac:dyDescent="0.25">
      <c r="S5131" s="24">
        <f t="shared" ref="S5131:S5194" si="384">VLOOKUP(N5131,$T$1:$U$7,2,TRUE)</f>
        <v>0.02</v>
      </c>
    </row>
    <row r="5132" spans="19:19" x14ac:dyDescent="0.25">
      <c r="S5132" s="24">
        <f t="shared" si="384"/>
        <v>0.02</v>
      </c>
    </row>
    <row r="5133" spans="19:19" x14ac:dyDescent="0.25">
      <c r="S5133" s="24">
        <f t="shared" si="384"/>
        <v>0.02</v>
      </c>
    </row>
    <row r="5134" spans="19:19" x14ac:dyDescent="0.25">
      <c r="S5134" s="24">
        <f t="shared" si="384"/>
        <v>0.02</v>
      </c>
    </row>
    <row r="5135" spans="19:19" x14ac:dyDescent="0.25">
      <c r="S5135" s="24">
        <f t="shared" si="384"/>
        <v>0.02</v>
      </c>
    </row>
    <row r="5136" spans="19:19" x14ac:dyDescent="0.25">
      <c r="S5136" s="24">
        <f t="shared" si="384"/>
        <v>0.02</v>
      </c>
    </row>
    <row r="5137" spans="19:19" x14ac:dyDescent="0.25">
      <c r="S5137" s="24">
        <f t="shared" si="384"/>
        <v>0.02</v>
      </c>
    </row>
    <row r="5138" spans="19:19" x14ac:dyDescent="0.25">
      <c r="S5138" s="24">
        <f t="shared" si="384"/>
        <v>0.02</v>
      </c>
    </row>
    <row r="5139" spans="19:19" x14ac:dyDescent="0.25">
      <c r="S5139" s="24">
        <f t="shared" si="384"/>
        <v>0.02</v>
      </c>
    </row>
    <row r="5140" spans="19:19" x14ac:dyDescent="0.25">
      <c r="S5140" s="24">
        <f t="shared" si="384"/>
        <v>0.02</v>
      </c>
    </row>
    <row r="5141" spans="19:19" x14ac:dyDescent="0.25">
      <c r="S5141" s="24">
        <f t="shared" si="384"/>
        <v>0.02</v>
      </c>
    </row>
    <row r="5142" spans="19:19" x14ac:dyDescent="0.25">
      <c r="S5142" s="24">
        <f t="shared" si="384"/>
        <v>0.02</v>
      </c>
    </row>
    <row r="5143" spans="19:19" x14ac:dyDescent="0.25">
      <c r="S5143" s="24">
        <f t="shared" si="384"/>
        <v>0.02</v>
      </c>
    </row>
    <row r="5144" spans="19:19" x14ac:dyDescent="0.25">
      <c r="S5144" s="24">
        <f t="shared" si="384"/>
        <v>0.02</v>
      </c>
    </row>
    <row r="5145" spans="19:19" x14ac:dyDescent="0.25">
      <c r="S5145" s="24">
        <f t="shared" si="384"/>
        <v>0.02</v>
      </c>
    </row>
    <row r="5146" spans="19:19" x14ac:dyDescent="0.25">
      <c r="S5146" s="24">
        <f t="shared" si="384"/>
        <v>0.02</v>
      </c>
    </row>
    <row r="5147" spans="19:19" x14ac:dyDescent="0.25">
      <c r="S5147" s="24">
        <f t="shared" si="384"/>
        <v>0.02</v>
      </c>
    </row>
    <row r="5148" spans="19:19" x14ac:dyDescent="0.25">
      <c r="S5148" s="24">
        <f t="shared" si="384"/>
        <v>0.02</v>
      </c>
    </row>
    <row r="5149" spans="19:19" x14ac:dyDescent="0.25">
      <c r="S5149" s="24">
        <f t="shared" si="384"/>
        <v>0.02</v>
      </c>
    </row>
    <row r="5150" spans="19:19" x14ac:dyDescent="0.25">
      <c r="S5150" s="24">
        <f t="shared" si="384"/>
        <v>0.02</v>
      </c>
    </row>
    <row r="5151" spans="19:19" x14ac:dyDescent="0.25">
      <c r="S5151" s="24">
        <f t="shared" si="384"/>
        <v>0.02</v>
      </c>
    </row>
    <row r="5152" spans="19:19" x14ac:dyDescent="0.25">
      <c r="S5152" s="24">
        <f t="shared" si="384"/>
        <v>0.02</v>
      </c>
    </row>
    <row r="5153" spans="19:19" x14ac:dyDescent="0.25">
      <c r="S5153" s="24">
        <f t="shared" si="384"/>
        <v>0.02</v>
      </c>
    </row>
    <row r="5154" spans="19:19" x14ac:dyDescent="0.25">
      <c r="S5154" s="24">
        <f t="shared" si="384"/>
        <v>0.02</v>
      </c>
    </row>
    <row r="5155" spans="19:19" x14ac:dyDescent="0.25">
      <c r="S5155" s="24">
        <f t="shared" si="384"/>
        <v>0.02</v>
      </c>
    </row>
    <row r="5156" spans="19:19" x14ac:dyDescent="0.25">
      <c r="S5156" s="24">
        <f t="shared" si="384"/>
        <v>0.02</v>
      </c>
    </row>
    <row r="5157" spans="19:19" x14ac:dyDescent="0.25">
      <c r="S5157" s="24">
        <f t="shared" si="384"/>
        <v>0.02</v>
      </c>
    </row>
    <row r="5158" spans="19:19" x14ac:dyDescent="0.25">
      <c r="S5158" s="24">
        <f t="shared" si="384"/>
        <v>0.02</v>
      </c>
    </row>
    <row r="5159" spans="19:19" x14ac:dyDescent="0.25">
      <c r="S5159" s="24">
        <f t="shared" si="384"/>
        <v>0.02</v>
      </c>
    </row>
    <row r="5160" spans="19:19" x14ac:dyDescent="0.25">
      <c r="S5160" s="24">
        <f t="shared" si="384"/>
        <v>0.02</v>
      </c>
    </row>
    <row r="5161" spans="19:19" x14ac:dyDescent="0.25">
      <c r="S5161" s="24">
        <f t="shared" si="384"/>
        <v>0.02</v>
      </c>
    </row>
    <row r="5162" spans="19:19" x14ac:dyDescent="0.25">
      <c r="S5162" s="24">
        <f t="shared" si="384"/>
        <v>0.02</v>
      </c>
    </row>
    <row r="5163" spans="19:19" x14ac:dyDescent="0.25">
      <c r="S5163" s="24">
        <f t="shared" si="384"/>
        <v>0.02</v>
      </c>
    </row>
    <row r="5164" spans="19:19" x14ac:dyDescent="0.25">
      <c r="S5164" s="24">
        <f t="shared" si="384"/>
        <v>0.02</v>
      </c>
    </row>
    <row r="5165" spans="19:19" x14ac:dyDescent="0.25">
      <c r="S5165" s="24">
        <f t="shared" si="384"/>
        <v>0.02</v>
      </c>
    </row>
    <row r="5166" spans="19:19" x14ac:dyDescent="0.25">
      <c r="S5166" s="24">
        <f t="shared" si="384"/>
        <v>0.02</v>
      </c>
    </row>
    <row r="5167" spans="19:19" x14ac:dyDescent="0.25">
      <c r="S5167" s="24">
        <f t="shared" si="384"/>
        <v>0.02</v>
      </c>
    </row>
    <row r="5168" spans="19:19" x14ac:dyDescent="0.25">
      <c r="S5168" s="24">
        <f t="shared" si="384"/>
        <v>0.02</v>
      </c>
    </row>
    <row r="5169" spans="19:19" x14ac:dyDescent="0.25">
      <c r="S5169" s="24">
        <f t="shared" si="384"/>
        <v>0.02</v>
      </c>
    </row>
    <row r="5170" spans="19:19" x14ac:dyDescent="0.25">
      <c r="S5170" s="24">
        <f t="shared" si="384"/>
        <v>0.02</v>
      </c>
    </row>
    <row r="5171" spans="19:19" x14ac:dyDescent="0.25">
      <c r="S5171" s="24">
        <f t="shared" si="384"/>
        <v>0.02</v>
      </c>
    </row>
    <row r="5172" spans="19:19" x14ac:dyDescent="0.25">
      <c r="S5172" s="24">
        <f t="shared" si="384"/>
        <v>0.02</v>
      </c>
    </row>
    <row r="5173" spans="19:19" x14ac:dyDescent="0.25">
      <c r="S5173" s="24">
        <f t="shared" si="384"/>
        <v>0.02</v>
      </c>
    </row>
    <row r="5174" spans="19:19" x14ac:dyDescent="0.25">
      <c r="S5174" s="24">
        <f t="shared" si="384"/>
        <v>0.02</v>
      </c>
    </row>
    <row r="5175" spans="19:19" x14ac:dyDescent="0.25">
      <c r="S5175" s="24">
        <f t="shared" si="384"/>
        <v>0.02</v>
      </c>
    </row>
    <row r="5176" spans="19:19" x14ac:dyDescent="0.25">
      <c r="S5176" s="24">
        <f t="shared" si="384"/>
        <v>0.02</v>
      </c>
    </row>
    <row r="5177" spans="19:19" x14ac:dyDescent="0.25">
      <c r="S5177" s="24">
        <f t="shared" si="384"/>
        <v>0.02</v>
      </c>
    </row>
    <row r="5178" spans="19:19" x14ac:dyDescent="0.25">
      <c r="S5178" s="24">
        <f t="shared" si="384"/>
        <v>0.02</v>
      </c>
    </row>
    <row r="5179" spans="19:19" x14ac:dyDescent="0.25">
      <c r="S5179" s="24">
        <f t="shared" si="384"/>
        <v>0.02</v>
      </c>
    </row>
    <row r="5180" spans="19:19" x14ac:dyDescent="0.25">
      <c r="S5180" s="24">
        <f t="shared" si="384"/>
        <v>0.02</v>
      </c>
    </row>
    <row r="5181" spans="19:19" x14ac:dyDescent="0.25">
      <c r="S5181" s="24">
        <f t="shared" si="384"/>
        <v>0.02</v>
      </c>
    </row>
    <row r="5182" spans="19:19" x14ac:dyDescent="0.25">
      <c r="S5182" s="24">
        <f t="shared" si="384"/>
        <v>0.02</v>
      </c>
    </row>
    <row r="5183" spans="19:19" x14ac:dyDescent="0.25">
      <c r="S5183" s="24">
        <f t="shared" si="384"/>
        <v>0.02</v>
      </c>
    </row>
    <row r="5184" spans="19:19" x14ac:dyDescent="0.25">
      <c r="S5184" s="24">
        <f t="shared" si="384"/>
        <v>0.02</v>
      </c>
    </row>
    <row r="5185" spans="19:19" x14ac:dyDescent="0.25">
      <c r="S5185" s="24">
        <f t="shared" si="384"/>
        <v>0.02</v>
      </c>
    </row>
    <row r="5186" spans="19:19" x14ac:dyDescent="0.25">
      <c r="S5186" s="24">
        <f t="shared" si="384"/>
        <v>0.02</v>
      </c>
    </row>
    <row r="5187" spans="19:19" x14ac:dyDescent="0.25">
      <c r="S5187" s="24">
        <f t="shared" si="384"/>
        <v>0.02</v>
      </c>
    </row>
    <row r="5188" spans="19:19" x14ac:dyDescent="0.25">
      <c r="S5188" s="24">
        <f t="shared" si="384"/>
        <v>0.02</v>
      </c>
    </row>
    <row r="5189" spans="19:19" x14ac:dyDescent="0.25">
      <c r="S5189" s="24">
        <f t="shared" si="384"/>
        <v>0.02</v>
      </c>
    </row>
    <row r="5190" spans="19:19" x14ac:dyDescent="0.25">
      <c r="S5190" s="24">
        <f t="shared" si="384"/>
        <v>0.02</v>
      </c>
    </row>
    <row r="5191" spans="19:19" x14ac:dyDescent="0.25">
      <c r="S5191" s="24">
        <f t="shared" si="384"/>
        <v>0.02</v>
      </c>
    </row>
    <row r="5192" spans="19:19" x14ac:dyDescent="0.25">
      <c r="S5192" s="24">
        <f t="shared" si="384"/>
        <v>0.02</v>
      </c>
    </row>
    <row r="5193" spans="19:19" x14ac:dyDescent="0.25">
      <c r="S5193" s="24">
        <f t="shared" si="384"/>
        <v>0.02</v>
      </c>
    </row>
    <row r="5194" spans="19:19" x14ac:dyDescent="0.25">
      <c r="S5194" s="24">
        <f t="shared" si="384"/>
        <v>0.02</v>
      </c>
    </row>
    <row r="5195" spans="19:19" x14ac:dyDescent="0.25">
      <c r="S5195" s="24">
        <f t="shared" ref="S5195:S5258" si="385">VLOOKUP(N5195,$T$1:$U$7,2,TRUE)</f>
        <v>0.02</v>
      </c>
    </row>
    <row r="5196" spans="19:19" x14ac:dyDescent="0.25">
      <c r="S5196" s="24">
        <f t="shared" si="385"/>
        <v>0.02</v>
      </c>
    </row>
    <row r="5197" spans="19:19" x14ac:dyDescent="0.25">
      <c r="S5197" s="24">
        <f t="shared" si="385"/>
        <v>0.02</v>
      </c>
    </row>
    <row r="5198" spans="19:19" x14ac:dyDescent="0.25">
      <c r="S5198" s="24">
        <f t="shared" si="385"/>
        <v>0.02</v>
      </c>
    </row>
    <row r="5199" spans="19:19" x14ac:dyDescent="0.25">
      <c r="S5199" s="24">
        <f t="shared" si="385"/>
        <v>0.02</v>
      </c>
    </row>
    <row r="5200" spans="19:19" x14ac:dyDescent="0.25">
      <c r="S5200" s="24">
        <f t="shared" si="385"/>
        <v>0.02</v>
      </c>
    </row>
    <row r="5201" spans="19:19" x14ac:dyDescent="0.25">
      <c r="S5201" s="24">
        <f t="shared" si="385"/>
        <v>0.02</v>
      </c>
    </row>
    <row r="5202" spans="19:19" x14ac:dyDescent="0.25">
      <c r="S5202" s="24">
        <f t="shared" si="385"/>
        <v>0.02</v>
      </c>
    </row>
    <row r="5203" spans="19:19" x14ac:dyDescent="0.25">
      <c r="S5203" s="24">
        <f t="shared" si="385"/>
        <v>0.02</v>
      </c>
    </row>
    <row r="5204" spans="19:19" x14ac:dyDescent="0.25">
      <c r="S5204" s="24">
        <f t="shared" si="385"/>
        <v>0.02</v>
      </c>
    </row>
    <row r="5205" spans="19:19" x14ac:dyDescent="0.25">
      <c r="S5205" s="24">
        <f t="shared" si="385"/>
        <v>0.02</v>
      </c>
    </row>
    <row r="5206" spans="19:19" x14ac:dyDescent="0.25">
      <c r="S5206" s="24">
        <f t="shared" si="385"/>
        <v>0.02</v>
      </c>
    </row>
    <row r="5207" spans="19:19" x14ac:dyDescent="0.25">
      <c r="S5207" s="24">
        <f t="shared" si="385"/>
        <v>0.02</v>
      </c>
    </row>
    <row r="5208" spans="19:19" x14ac:dyDescent="0.25">
      <c r="S5208" s="24">
        <f t="shared" si="385"/>
        <v>0.02</v>
      </c>
    </row>
    <row r="5209" spans="19:19" x14ac:dyDescent="0.25">
      <c r="S5209" s="24">
        <f t="shared" si="385"/>
        <v>0.02</v>
      </c>
    </row>
    <row r="5210" spans="19:19" x14ac:dyDescent="0.25">
      <c r="S5210" s="24">
        <f t="shared" si="385"/>
        <v>0.02</v>
      </c>
    </row>
    <row r="5211" spans="19:19" x14ac:dyDescent="0.25">
      <c r="S5211" s="24">
        <f t="shared" si="385"/>
        <v>0.02</v>
      </c>
    </row>
    <row r="5212" spans="19:19" x14ac:dyDescent="0.25">
      <c r="S5212" s="24">
        <f t="shared" si="385"/>
        <v>0.02</v>
      </c>
    </row>
    <row r="5213" spans="19:19" x14ac:dyDescent="0.25">
      <c r="S5213" s="24">
        <f t="shared" si="385"/>
        <v>0.02</v>
      </c>
    </row>
    <row r="5214" spans="19:19" x14ac:dyDescent="0.25">
      <c r="S5214" s="24">
        <f t="shared" si="385"/>
        <v>0.02</v>
      </c>
    </row>
    <row r="5215" spans="19:19" x14ac:dyDescent="0.25">
      <c r="S5215" s="24">
        <f t="shared" si="385"/>
        <v>0.02</v>
      </c>
    </row>
    <row r="5216" spans="19:19" x14ac:dyDescent="0.25">
      <c r="S5216" s="24">
        <f t="shared" si="385"/>
        <v>0.02</v>
      </c>
    </row>
    <row r="5217" spans="19:19" x14ac:dyDescent="0.25">
      <c r="S5217" s="24">
        <f t="shared" si="385"/>
        <v>0.02</v>
      </c>
    </row>
    <row r="5218" spans="19:19" x14ac:dyDescent="0.25">
      <c r="S5218" s="24">
        <f t="shared" si="385"/>
        <v>0.02</v>
      </c>
    </row>
    <row r="5219" spans="19:19" x14ac:dyDescent="0.25">
      <c r="S5219" s="24">
        <f t="shared" si="385"/>
        <v>0.02</v>
      </c>
    </row>
    <row r="5220" spans="19:19" x14ac:dyDescent="0.25">
      <c r="S5220" s="24">
        <f t="shared" si="385"/>
        <v>0.02</v>
      </c>
    </row>
    <row r="5221" spans="19:19" x14ac:dyDescent="0.25">
      <c r="S5221" s="24">
        <f t="shared" si="385"/>
        <v>0.02</v>
      </c>
    </row>
    <row r="5222" spans="19:19" x14ac:dyDescent="0.25">
      <c r="S5222" s="24">
        <f t="shared" si="385"/>
        <v>0.02</v>
      </c>
    </row>
    <row r="5223" spans="19:19" x14ac:dyDescent="0.25">
      <c r="S5223" s="24">
        <f t="shared" si="385"/>
        <v>0.02</v>
      </c>
    </row>
    <row r="5224" spans="19:19" x14ac:dyDescent="0.25">
      <c r="S5224" s="24">
        <f t="shared" si="385"/>
        <v>0.02</v>
      </c>
    </row>
    <row r="5225" spans="19:19" x14ac:dyDescent="0.25">
      <c r="S5225" s="24">
        <f t="shared" si="385"/>
        <v>0.02</v>
      </c>
    </row>
    <row r="5226" spans="19:19" x14ac:dyDescent="0.25">
      <c r="S5226" s="24">
        <f t="shared" si="385"/>
        <v>0.02</v>
      </c>
    </row>
    <row r="5227" spans="19:19" x14ac:dyDescent="0.25">
      <c r="S5227" s="24">
        <f t="shared" si="385"/>
        <v>0.02</v>
      </c>
    </row>
    <row r="5228" spans="19:19" x14ac:dyDescent="0.25">
      <c r="S5228" s="24">
        <f t="shared" si="385"/>
        <v>0.02</v>
      </c>
    </row>
    <row r="5229" spans="19:19" x14ac:dyDescent="0.25">
      <c r="S5229" s="24">
        <f t="shared" si="385"/>
        <v>0.02</v>
      </c>
    </row>
    <row r="5230" spans="19:19" x14ac:dyDescent="0.25">
      <c r="S5230" s="24">
        <f t="shared" si="385"/>
        <v>0.02</v>
      </c>
    </row>
    <row r="5231" spans="19:19" x14ac:dyDescent="0.25">
      <c r="S5231" s="24">
        <f t="shared" si="385"/>
        <v>0.02</v>
      </c>
    </row>
    <row r="5232" spans="19:19" x14ac:dyDescent="0.25">
      <c r="S5232" s="24">
        <f t="shared" si="385"/>
        <v>0.02</v>
      </c>
    </row>
    <row r="5233" spans="19:19" x14ac:dyDescent="0.25">
      <c r="S5233" s="24">
        <f t="shared" si="385"/>
        <v>0.02</v>
      </c>
    </row>
    <row r="5234" spans="19:19" x14ac:dyDescent="0.25">
      <c r="S5234" s="24">
        <f t="shared" si="385"/>
        <v>0.02</v>
      </c>
    </row>
    <row r="5235" spans="19:19" x14ac:dyDescent="0.25">
      <c r="S5235" s="24">
        <f t="shared" si="385"/>
        <v>0.02</v>
      </c>
    </row>
    <row r="5236" spans="19:19" x14ac:dyDescent="0.25">
      <c r="S5236" s="24">
        <f t="shared" si="385"/>
        <v>0.02</v>
      </c>
    </row>
    <row r="5237" spans="19:19" x14ac:dyDescent="0.25">
      <c r="S5237" s="24">
        <f t="shared" si="385"/>
        <v>0.02</v>
      </c>
    </row>
    <row r="5238" spans="19:19" x14ac:dyDescent="0.25">
      <c r="S5238" s="24">
        <f t="shared" si="385"/>
        <v>0.02</v>
      </c>
    </row>
    <row r="5239" spans="19:19" x14ac:dyDescent="0.25">
      <c r="S5239" s="24">
        <f t="shared" si="385"/>
        <v>0.02</v>
      </c>
    </row>
    <row r="5240" spans="19:19" x14ac:dyDescent="0.25">
      <c r="S5240" s="24">
        <f t="shared" si="385"/>
        <v>0.02</v>
      </c>
    </row>
    <row r="5241" spans="19:19" x14ac:dyDescent="0.25">
      <c r="S5241" s="24">
        <f t="shared" si="385"/>
        <v>0.02</v>
      </c>
    </row>
    <row r="5242" spans="19:19" x14ac:dyDescent="0.25">
      <c r="S5242" s="24">
        <f t="shared" si="385"/>
        <v>0.02</v>
      </c>
    </row>
    <row r="5243" spans="19:19" x14ac:dyDescent="0.25">
      <c r="S5243" s="24">
        <f t="shared" si="385"/>
        <v>0.02</v>
      </c>
    </row>
    <row r="5244" spans="19:19" x14ac:dyDescent="0.25">
      <c r="S5244" s="24">
        <f t="shared" si="385"/>
        <v>0.02</v>
      </c>
    </row>
    <row r="5245" spans="19:19" x14ac:dyDescent="0.25">
      <c r="S5245" s="24">
        <f t="shared" si="385"/>
        <v>0.02</v>
      </c>
    </row>
    <row r="5246" spans="19:19" x14ac:dyDescent="0.25">
      <c r="S5246" s="24">
        <f t="shared" si="385"/>
        <v>0.02</v>
      </c>
    </row>
    <row r="5247" spans="19:19" x14ac:dyDescent="0.25">
      <c r="S5247" s="24">
        <f t="shared" si="385"/>
        <v>0.02</v>
      </c>
    </row>
    <row r="5248" spans="19:19" x14ac:dyDescent="0.25">
      <c r="S5248" s="24">
        <f t="shared" si="385"/>
        <v>0.02</v>
      </c>
    </row>
    <row r="5249" spans="19:19" x14ac:dyDescent="0.25">
      <c r="S5249" s="24">
        <f t="shared" si="385"/>
        <v>0.02</v>
      </c>
    </row>
    <row r="5250" spans="19:19" x14ac:dyDescent="0.25">
      <c r="S5250" s="24">
        <f t="shared" si="385"/>
        <v>0.02</v>
      </c>
    </row>
    <row r="5251" spans="19:19" x14ac:dyDescent="0.25">
      <c r="S5251" s="24">
        <f t="shared" si="385"/>
        <v>0.02</v>
      </c>
    </row>
    <row r="5252" spans="19:19" x14ac:dyDescent="0.25">
      <c r="S5252" s="24">
        <f t="shared" si="385"/>
        <v>0.02</v>
      </c>
    </row>
    <row r="5253" spans="19:19" x14ac:dyDescent="0.25">
      <c r="S5253" s="24">
        <f t="shared" si="385"/>
        <v>0.02</v>
      </c>
    </row>
    <row r="5254" spans="19:19" x14ac:dyDescent="0.25">
      <c r="S5254" s="24">
        <f t="shared" si="385"/>
        <v>0.02</v>
      </c>
    </row>
    <row r="5255" spans="19:19" x14ac:dyDescent="0.25">
      <c r="S5255" s="24">
        <f t="shared" si="385"/>
        <v>0.02</v>
      </c>
    </row>
    <row r="5256" spans="19:19" x14ac:dyDescent="0.25">
      <c r="S5256" s="24">
        <f t="shared" si="385"/>
        <v>0.02</v>
      </c>
    </row>
    <row r="5257" spans="19:19" x14ac:dyDescent="0.25">
      <c r="S5257" s="24">
        <f t="shared" si="385"/>
        <v>0.02</v>
      </c>
    </row>
    <row r="5258" spans="19:19" x14ac:dyDescent="0.25">
      <c r="S5258" s="24">
        <f t="shared" si="385"/>
        <v>0.02</v>
      </c>
    </row>
    <row r="5259" spans="19:19" x14ac:dyDescent="0.25">
      <c r="S5259" s="24">
        <f t="shared" ref="S5259:S5322" si="386">VLOOKUP(N5259,$T$1:$U$7,2,TRUE)</f>
        <v>0.02</v>
      </c>
    </row>
    <row r="5260" spans="19:19" x14ac:dyDescent="0.25">
      <c r="S5260" s="24">
        <f t="shared" si="386"/>
        <v>0.02</v>
      </c>
    </row>
    <row r="5261" spans="19:19" x14ac:dyDescent="0.25">
      <c r="S5261" s="24">
        <f t="shared" si="386"/>
        <v>0.02</v>
      </c>
    </row>
    <row r="5262" spans="19:19" x14ac:dyDescent="0.25">
      <c r="S5262" s="24">
        <f t="shared" si="386"/>
        <v>0.02</v>
      </c>
    </row>
    <row r="5263" spans="19:19" x14ac:dyDescent="0.25">
      <c r="S5263" s="24">
        <f t="shared" si="386"/>
        <v>0.02</v>
      </c>
    </row>
    <row r="5264" spans="19:19" x14ac:dyDescent="0.25">
      <c r="S5264" s="24">
        <f t="shared" si="386"/>
        <v>0.02</v>
      </c>
    </row>
    <row r="5265" spans="19:19" x14ac:dyDescent="0.25">
      <c r="S5265" s="24">
        <f t="shared" si="386"/>
        <v>0.02</v>
      </c>
    </row>
    <row r="5266" spans="19:19" x14ac:dyDescent="0.25">
      <c r="S5266" s="24">
        <f t="shared" si="386"/>
        <v>0.02</v>
      </c>
    </row>
    <row r="5267" spans="19:19" x14ac:dyDescent="0.25">
      <c r="S5267" s="24">
        <f t="shared" si="386"/>
        <v>0.02</v>
      </c>
    </row>
    <row r="5268" spans="19:19" x14ac:dyDescent="0.25">
      <c r="S5268" s="24">
        <f t="shared" si="386"/>
        <v>0.02</v>
      </c>
    </row>
    <row r="5269" spans="19:19" x14ac:dyDescent="0.25">
      <c r="S5269" s="24">
        <f t="shared" si="386"/>
        <v>0.02</v>
      </c>
    </row>
    <row r="5270" spans="19:19" x14ac:dyDescent="0.25">
      <c r="S5270" s="24">
        <f t="shared" si="386"/>
        <v>0.02</v>
      </c>
    </row>
    <row r="5271" spans="19:19" x14ac:dyDescent="0.25">
      <c r="S5271" s="24">
        <f t="shared" si="386"/>
        <v>0.02</v>
      </c>
    </row>
    <row r="5272" spans="19:19" x14ac:dyDescent="0.25">
      <c r="S5272" s="24">
        <f t="shared" si="386"/>
        <v>0.02</v>
      </c>
    </row>
    <row r="5273" spans="19:19" x14ac:dyDescent="0.25">
      <c r="S5273" s="24">
        <f t="shared" si="386"/>
        <v>0.02</v>
      </c>
    </row>
    <row r="5274" spans="19:19" x14ac:dyDescent="0.25">
      <c r="S5274" s="24">
        <f t="shared" si="386"/>
        <v>0.02</v>
      </c>
    </row>
    <row r="5275" spans="19:19" x14ac:dyDescent="0.25">
      <c r="S5275" s="24">
        <f t="shared" si="386"/>
        <v>0.02</v>
      </c>
    </row>
    <row r="5276" spans="19:19" x14ac:dyDescent="0.25">
      <c r="S5276" s="24">
        <f t="shared" si="386"/>
        <v>0.02</v>
      </c>
    </row>
    <row r="5277" spans="19:19" x14ac:dyDescent="0.25">
      <c r="S5277" s="24">
        <f t="shared" si="386"/>
        <v>0.02</v>
      </c>
    </row>
    <row r="5278" spans="19:19" x14ac:dyDescent="0.25">
      <c r="S5278" s="24">
        <f t="shared" si="386"/>
        <v>0.02</v>
      </c>
    </row>
    <row r="5279" spans="19:19" x14ac:dyDescent="0.25">
      <c r="S5279" s="24">
        <f t="shared" si="386"/>
        <v>0.02</v>
      </c>
    </row>
    <row r="5280" spans="19:19" x14ac:dyDescent="0.25">
      <c r="S5280" s="24">
        <f t="shared" si="386"/>
        <v>0.02</v>
      </c>
    </row>
    <row r="5281" spans="19:19" x14ac:dyDescent="0.25">
      <c r="S5281" s="24">
        <f t="shared" si="386"/>
        <v>0.02</v>
      </c>
    </row>
    <row r="5282" spans="19:19" x14ac:dyDescent="0.25">
      <c r="S5282" s="24">
        <f t="shared" si="386"/>
        <v>0.02</v>
      </c>
    </row>
    <row r="5283" spans="19:19" x14ac:dyDescent="0.25">
      <c r="S5283" s="24">
        <f t="shared" si="386"/>
        <v>0.02</v>
      </c>
    </row>
    <row r="5284" spans="19:19" x14ac:dyDescent="0.25">
      <c r="S5284" s="24">
        <f t="shared" si="386"/>
        <v>0.02</v>
      </c>
    </row>
    <row r="5285" spans="19:19" x14ac:dyDescent="0.25">
      <c r="S5285" s="24">
        <f t="shared" si="386"/>
        <v>0.02</v>
      </c>
    </row>
    <row r="5286" spans="19:19" x14ac:dyDescent="0.25">
      <c r="S5286" s="24">
        <f t="shared" si="386"/>
        <v>0.02</v>
      </c>
    </row>
    <row r="5287" spans="19:19" x14ac:dyDescent="0.25">
      <c r="S5287" s="24">
        <f t="shared" si="386"/>
        <v>0.02</v>
      </c>
    </row>
    <row r="5288" spans="19:19" x14ac:dyDescent="0.25">
      <c r="S5288" s="24">
        <f t="shared" si="386"/>
        <v>0.02</v>
      </c>
    </row>
    <row r="5289" spans="19:19" x14ac:dyDescent="0.25">
      <c r="S5289" s="24">
        <f t="shared" si="386"/>
        <v>0.02</v>
      </c>
    </row>
    <row r="5290" spans="19:19" x14ac:dyDescent="0.25">
      <c r="S5290" s="24">
        <f t="shared" si="386"/>
        <v>0.02</v>
      </c>
    </row>
    <row r="5291" spans="19:19" x14ac:dyDescent="0.25">
      <c r="S5291" s="24">
        <f t="shared" si="386"/>
        <v>0.02</v>
      </c>
    </row>
    <row r="5292" spans="19:19" x14ac:dyDescent="0.25">
      <c r="S5292" s="24">
        <f t="shared" si="386"/>
        <v>0.02</v>
      </c>
    </row>
    <row r="5293" spans="19:19" x14ac:dyDescent="0.25">
      <c r="S5293" s="24">
        <f t="shared" si="386"/>
        <v>0.02</v>
      </c>
    </row>
    <row r="5294" spans="19:19" x14ac:dyDescent="0.25">
      <c r="S5294" s="24">
        <f t="shared" si="386"/>
        <v>0.02</v>
      </c>
    </row>
    <row r="5295" spans="19:19" x14ac:dyDescent="0.25">
      <c r="S5295" s="24">
        <f t="shared" si="386"/>
        <v>0.02</v>
      </c>
    </row>
    <row r="5296" spans="19:19" x14ac:dyDescent="0.25">
      <c r="S5296" s="24">
        <f t="shared" si="386"/>
        <v>0.02</v>
      </c>
    </row>
    <row r="5297" spans="19:19" x14ac:dyDescent="0.25">
      <c r="S5297" s="24">
        <f t="shared" si="386"/>
        <v>0.02</v>
      </c>
    </row>
    <row r="5298" spans="19:19" x14ac:dyDescent="0.25">
      <c r="S5298" s="24">
        <f t="shared" si="386"/>
        <v>0.02</v>
      </c>
    </row>
    <row r="5299" spans="19:19" x14ac:dyDescent="0.25">
      <c r="S5299" s="24">
        <f t="shared" si="386"/>
        <v>0.02</v>
      </c>
    </row>
    <row r="5300" spans="19:19" x14ac:dyDescent="0.25">
      <c r="S5300" s="24">
        <f t="shared" si="386"/>
        <v>0.02</v>
      </c>
    </row>
    <row r="5301" spans="19:19" x14ac:dyDescent="0.25">
      <c r="S5301" s="24">
        <f t="shared" si="386"/>
        <v>0.02</v>
      </c>
    </row>
    <row r="5302" spans="19:19" x14ac:dyDescent="0.25">
      <c r="S5302" s="24">
        <f t="shared" si="386"/>
        <v>0.02</v>
      </c>
    </row>
    <row r="5303" spans="19:19" x14ac:dyDescent="0.25">
      <c r="S5303" s="24">
        <f t="shared" si="386"/>
        <v>0.02</v>
      </c>
    </row>
    <row r="5304" spans="19:19" x14ac:dyDescent="0.25">
      <c r="S5304" s="24">
        <f t="shared" si="386"/>
        <v>0.02</v>
      </c>
    </row>
    <row r="5305" spans="19:19" x14ac:dyDescent="0.25">
      <c r="S5305" s="24">
        <f t="shared" si="386"/>
        <v>0.02</v>
      </c>
    </row>
    <row r="5306" spans="19:19" x14ac:dyDescent="0.25">
      <c r="S5306" s="24">
        <f t="shared" si="386"/>
        <v>0.02</v>
      </c>
    </row>
    <row r="5307" spans="19:19" x14ac:dyDescent="0.25">
      <c r="S5307" s="24">
        <f t="shared" si="386"/>
        <v>0.02</v>
      </c>
    </row>
    <row r="5308" spans="19:19" x14ac:dyDescent="0.25">
      <c r="S5308" s="24">
        <f t="shared" si="386"/>
        <v>0.02</v>
      </c>
    </row>
    <row r="5309" spans="19:19" x14ac:dyDescent="0.25">
      <c r="S5309" s="24">
        <f t="shared" si="386"/>
        <v>0.02</v>
      </c>
    </row>
    <row r="5310" spans="19:19" x14ac:dyDescent="0.25">
      <c r="S5310" s="24">
        <f t="shared" si="386"/>
        <v>0.02</v>
      </c>
    </row>
    <row r="5311" spans="19:19" x14ac:dyDescent="0.25">
      <c r="S5311" s="24">
        <f t="shared" si="386"/>
        <v>0.02</v>
      </c>
    </row>
    <row r="5312" spans="19:19" x14ac:dyDescent="0.25">
      <c r="S5312" s="24">
        <f t="shared" si="386"/>
        <v>0.02</v>
      </c>
    </row>
    <row r="5313" spans="19:19" x14ac:dyDescent="0.25">
      <c r="S5313" s="24">
        <f t="shared" si="386"/>
        <v>0.02</v>
      </c>
    </row>
    <row r="5314" spans="19:19" x14ac:dyDescent="0.25">
      <c r="S5314" s="24">
        <f t="shared" si="386"/>
        <v>0.02</v>
      </c>
    </row>
    <row r="5315" spans="19:19" x14ac:dyDescent="0.25">
      <c r="S5315" s="24">
        <f t="shared" si="386"/>
        <v>0.02</v>
      </c>
    </row>
    <row r="5316" spans="19:19" x14ac:dyDescent="0.25">
      <c r="S5316" s="24">
        <f t="shared" si="386"/>
        <v>0.02</v>
      </c>
    </row>
    <row r="5317" spans="19:19" x14ac:dyDescent="0.25">
      <c r="S5317" s="24">
        <f t="shared" si="386"/>
        <v>0.02</v>
      </c>
    </row>
    <row r="5318" spans="19:19" x14ac:dyDescent="0.25">
      <c r="S5318" s="24">
        <f t="shared" si="386"/>
        <v>0.02</v>
      </c>
    </row>
    <row r="5319" spans="19:19" x14ac:dyDescent="0.25">
      <c r="S5319" s="24">
        <f t="shared" si="386"/>
        <v>0.02</v>
      </c>
    </row>
    <row r="5320" spans="19:19" x14ac:dyDescent="0.25">
      <c r="S5320" s="24">
        <f t="shared" si="386"/>
        <v>0.02</v>
      </c>
    </row>
    <row r="5321" spans="19:19" x14ac:dyDescent="0.25">
      <c r="S5321" s="24">
        <f t="shared" si="386"/>
        <v>0.02</v>
      </c>
    </row>
    <row r="5322" spans="19:19" x14ac:dyDescent="0.25">
      <c r="S5322" s="24">
        <f t="shared" si="386"/>
        <v>0.02</v>
      </c>
    </row>
    <row r="5323" spans="19:19" x14ac:dyDescent="0.25">
      <c r="S5323" s="24">
        <f t="shared" ref="S5323:S5386" si="387">VLOOKUP(N5323,$T$1:$U$7,2,TRUE)</f>
        <v>0.02</v>
      </c>
    </row>
    <row r="5324" spans="19:19" x14ac:dyDescent="0.25">
      <c r="S5324" s="24">
        <f t="shared" si="387"/>
        <v>0.02</v>
      </c>
    </row>
    <row r="5325" spans="19:19" x14ac:dyDescent="0.25">
      <c r="S5325" s="24">
        <f t="shared" si="387"/>
        <v>0.02</v>
      </c>
    </row>
    <row r="5326" spans="19:19" x14ac:dyDescent="0.25">
      <c r="S5326" s="24">
        <f t="shared" si="387"/>
        <v>0.02</v>
      </c>
    </row>
    <row r="5327" spans="19:19" x14ac:dyDescent="0.25">
      <c r="S5327" s="24">
        <f t="shared" si="387"/>
        <v>0.02</v>
      </c>
    </row>
    <row r="5328" spans="19:19" x14ac:dyDescent="0.25">
      <c r="S5328" s="24">
        <f t="shared" si="387"/>
        <v>0.02</v>
      </c>
    </row>
    <row r="5329" spans="19:19" x14ac:dyDescent="0.25">
      <c r="S5329" s="24">
        <f t="shared" si="387"/>
        <v>0.02</v>
      </c>
    </row>
    <row r="5330" spans="19:19" x14ac:dyDescent="0.25">
      <c r="S5330" s="24">
        <f t="shared" si="387"/>
        <v>0.02</v>
      </c>
    </row>
    <row r="5331" spans="19:19" x14ac:dyDescent="0.25">
      <c r="S5331" s="24">
        <f t="shared" si="387"/>
        <v>0.02</v>
      </c>
    </row>
    <row r="5332" spans="19:19" x14ac:dyDescent="0.25">
      <c r="S5332" s="24">
        <f t="shared" si="387"/>
        <v>0.02</v>
      </c>
    </row>
    <row r="5333" spans="19:19" x14ac:dyDescent="0.25">
      <c r="S5333" s="24">
        <f t="shared" si="387"/>
        <v>0.02</v>
      </c>
    </row>
    <row r="5334" spans="19:19" x14ac:dyDescent="0.25">
      <c r="S5334" s="24">
        <f t="shared" si="387"/>
        <v>0.02</v>
      </c>
    </row>
    <row r="5335" spans="19:19" x14ac:dyDescent="0.25">
      <c r="S5335" s="24">
        <f t="shared" si="387"/>
        <v>0.02</v>
      </c>
    </row>
    <row r="5336" spans="19:19" x14ac:dyDescent="0.25">
      <c r="S5336" s="24">
        <f t="shared" si="387"/>
        <v>0.02</v>
      </c>
    </row>
    <row r="5337" spans="19:19" x14ac:dyDescent="0.25">
      <c r="S5337" s="24">
        <f t="shared" si="387"/>
        <v>0.02</v>
      </c>
    </row>
    <row r="5338" spans="19:19" x14ac:dyDescent="0.25">
      <c r="S5338" s="24">
        <f t="shared" si="387"/>
        <v>0.02</v>
      </c>
    </row>
    <row r="5339" spans="19:19" x14ac:dyDescent="0.25">
      <c r="S5339" s="24">
        <f t="shared" si="387"/>
        <v>0.02</v>
      </c>
    </row>
    <row r="5340" spans="19:19" x14ac:dyDescent="0.25">
      <c r="S5340" s="24">
        <f t="shared" si="387"/>
        <v>0.02</v>
      </c>
    </row>
    <row r="5341" spans="19:19" x14ac:dyDescent="0.25">
      <c r="S5341" s="24">
        <f t="shared" si="387"/>
        <v>0.02</v>
      </c>
    </row>
    <row r="5342" spans="19:19" x14ac:dyDescent="0.25">
      <c r="S5342" s="24">
        <f t="shared" si="387"/>
        <v>0.02</v>
      </c>
    </row>
    <row r="5343" spans="19:19" x14ac:dyDescent="0.25">
      <c r="S5343" s="24">
        <f t="shared" si="387"/>
        <v>0.02</v>
      </c>
    </row>
    <row r="5344" spans="19:19" x14ac:dyDescent="0.25">
      <c r="S5344" s="24">
        <f t="shared" si="387"/>
        <v>0.02</v>
      </c>
    </row>
    <row r="5345" spans="19:19" x14ac:dyDescent="0.25">
      <c r="S5345" s="24">
        <f t="shared" si="387"/>
        <v>0.02</v>
      </c>
    </row>
    <row r="5346" spans="19:19" x14ac:dyDescent="0.25">
      <c r="S5346" s="24">
        <f t="shared" si="387"/>
        <v>0.02</v>
      </c>
    </row>
    <row r="5347" spans="19:19" x14ac:dyDescent="0.25">
      <c r="S5347" s="24">
        <f t="shared" si="387"/>
        <v>0.02</v>
      </c>
    </row>
    <row r="5348" spans="19:19" x14ac:dyDescent="0.25">
      <c r="S5348" s="24">
        <f t="shared" si="387"/>
        <v>0.02</v>
      </c>
    </row>
    <row r="5349" spans="19:19" x14ac:dyDescent="0.25">
      <c r="S5349" s="24">
        <f t="shared" si="387"/>
        <v>0.02</v>
      </c>
    </row>
    <row r="5350" spans="19:19" x14ac:dyDescent="0.25">
      <c r="S5350" s="24">
        <f t="shared" si="387"/>
        <v>0.02</v>
      </c>
    </row>
    <row r="5351" spans="19:19" x14ac:dyDescent="0.25">
      <c r="S5351" s="24">
        <f t="shared" si="387"/>
        <v>0.02</v>
      </c>
    </row>
    <row r="5352" spans="19:19" x14ac:dyDescent="0.25">
      <c r="S5352" s="24">
        <f t="shared" si="387"/>
        <v>0.02</v>
      </c>
    </row>
    <row r="5353" spans="19:19" x14ac:dyDescent="0.25">
      <c r="S5353" s="24">
        <f t="shared" si="387"/>
        <v>0.02</v>
      </c>
    </row>
    <row r="5354" spans="19:19" x14ac:dyDescent="0.25">
      <c r="S5354" s="24">
        <f t="shared" si="387"/>
        <v>0.02</v>
      </c>
    </row>
    <row r="5355" spans="19:19" x14ac:dyDescent="0.25">
      <c r="S5355" s="24">
        <f t="shared" si="387"/>
        <v>0.02</v>
      </c>
    </row>
    <row r="5356" spans="19:19" x14ac:dyDescent="0.25">
      <c r="S5356" s="24">
        <f t="shared" si="387"/>
        <v>0.02</v>
      </c>
    </row>
    <row r="5357" spans="19:19" x14ac:dyDescent="0.25">
      <c r="S5357" s="24">
        <f t="shared" si="387"/>
        <v>0.02</v>
      </c>
    </row>
    <row r="5358" spans="19:19" x14ac:dyDescent="0.25">
      <c r="S5358" s="24">
        <f t="shared" si="387"/>
        <v>0.02</v>
      </c>
    </row>
    <row r="5359" spans="19:19" x14ac:dyDescent="0.25">
      <c r="S5359" s="24">
        <f t="shared" si="387"/>
        <v>0.02</v>
      </c>
    </row>
    <row r="5360" spans="19:19" x14ac:dyDescent="0.25">
      <c r="S5360" s="24">
        <f t="shared" si="387"/>
        <v>0.02</v>
      </c>
    </row>
    <row r="5361" spans="19:19" x14ac:dyDescent="0.25">
      <c r="S5361" s="24">
        <f t="shared" si="387"/>
        <v>0.02</v>
      </c>
    </row>
    <row r="5362" spans="19:19" x14ac:dyDescent="0.25">
      <c r="S5362" s="24">
        <f t="shared" si="387"/>
        <v>0.02</v>
      </c>
    </row>
    <row r="5363" spans="19:19" x14ac:dyDescent="0.25">
      <c r="S5363" s="24">
        <f t="shared" si="387"/>
        <v>0.02</v>
      </c>
    </row>
    <row r="5364" spans="19:19" x14ac:dyDescent="0.25">
      <c r="S5364" s="24">
        <f t="shared" si="387"/>
        <v>0.02</v>
      </c>
    </row>
    <row r="5365" spans="19:19" x14ac:dyDescent="0.25">
      <c r="S5365" s="24">
        <f t="shared" si="387"/>
        <v>0.02</v>
      </c>
    </row>
    <row r="5366" spans="19:19" x14ac:dyDescent="0.25">
      <c r="S5366" s="24">
        <f t="shared" si="387"/>
        <v>0.02</v>
      </c>
    </row>
    <row r="5367" spans="19:19" x14ac:dyDescent="0.25">
      <c r="S5367" s="24">
        <f t="shared" si="387"/>
        <v>0.02</v>
      </c>
    </row>
    <row r="5368" spans="19:19" x14ac:dyDescent="0.25">
      <c r="S5368" s="24">
        <f t="shared" si="387"/>
        <v>0.02</v>
      </c>
    </row>
    <row r="5369" spans="19:19" x14ac:dyDescent="0.25">
      <c r="S5369" s="24">
        <f t="shared" si="387"/>
        <v>0.02</v>
      </c>
    </row>
    <row r="5370" spans="19:19" x14ac:dyDescent="0.25">
      <c r="S5370" s="24">
        <f t="shared" si="387"/>
        <v>0.02</v>
      </c>
    </row>
    <row r="5371" spans="19:19" x14ac:dyDescent="0.25">
      <c r="S5371" s="24">
        <f t="shared" si="387"/>
        <v>0.02</v>
      </c>
    </row>
    <row r="5372" spans="19:19" x14ac:dyDescent="0.25">
      <c r="S5372" s="24">
        <f t="shared" si="387"/>
        <v>0.02</v>
      </c>
    </row>
    <row r="5373" spans="19:19" x14ac:dyDescent="0.25">
      <c r="S5373" s="24">
        <f t="shared" si="387"/>
        <v>0.02</v>
      </c>
    </row>
    <row r="5374" spans="19:19" x14ac:dyDescent="0.25">
      <c r="S5374" s="24">
        <f t="shared" si="387"/>
        <v>0.02</v>
      </c>
    </row>
    <row r="5375" spans="19:19" x14ac:dyDescent="0.25">
      <c r="S5375" s="24">
        <f t="shared" si="387"/>
        <v>0.02</v>
      </c>
    </row>
    <row r="5376" spans="19:19" x14ac:dyDescent="0.25">
      <c r="S5376" s="24">
        <f t="shared" si="387"/>
        <v>0.02</v>
      </c>
    </row>
    <row r="5377" spans="19:19" x14ac:dyDescent="0.25">
      <c r="S5377" s="24">
        <f t="shared" si="387"/>
        <v>0.02</v>
      </c>
    </row>
    <row r="5378" spans="19:19" x14ac:dyDescent="0.25">
      <c r="S5378" s="24">
        <f t="shared" si="387"/>
        <v>0.02</v>
      </c>
    </row>
    <row r="5379" spans="19:19" x14ac:dyDescent="0.25">
      <c r="S5379" s="24">
        <f t="shared" si="387"/>
        <v>0.02</v>
      </c>
    </row>
    <row r="5380" spans="19:19" x14ac:dyDescent="0.25">
      <c r="S5380" s="24">
        <f t="shared" si="387"/>
        <v>0.02</v>
      </c>
    </row>
    <row r="5381" spans="19:19" x14ac:dyDescent="0.25">
      <c r="S5381" s="24">
        <f t="shared" si="387"/>
        <v>0.02</v>
      </c>
    </row>
    <row r="5382" spans="19:19" x14ac:dyDescent="0.25">
      <c r="S5382" s="24">
        <f t="shared" si="387"/>
        <v>0.02</v>
      </c>
    </row>
    <row r="5383" spans="19:19" x14ac:dyDescent="0.25">
      <c r="S5383" s="24">
        <f t="shared" si="387"/>
        <v>0.02</v>
      </c>
    </row>
    <row r="5384" spans="19:19" x14ac:dyDescent="0.25">
      <c r="S5384" s="24">
        <f t="shared" si="387"/>
        <v>0.02</v>
      </c>
    </row>
    <row r="5385" spans="19:19" x14ac:dyDescent="0.25">
      <c r="S5385" s="24">
        <f t="shared" si="387"/>
        <v>0.02</v>
      </c>
    </row>
    <row r="5386" spans="19:19" x14ac:dyDescent="0.25">
      <c r="S5386" s="24">
        <f t="shared" si="387"/>
        <v>0.02</v>
      </c>
    </row>
    <row r="5387" spans="19:19" x14ac:dyDescent="0.25">
      <c r="S5387" s="24">
        <f t="shared" ref="S5387:S5450" si="388">VLOOKUP(N5387,$T$1:$U$7,2,TRUE)</f>
        <v>0.02</v>
      </c>
    </row>
    <row r="5388" spans="19:19" x14ac:dyDescent="0.25">
      <c r="S5388" s="24">
        <f t="shared" si="388"/>
        <v>0.02</v>
      </c>
    </row>
    <row r="5389" spans="19:19" x14ac:dyDescent="0.25">
      <c r="S5389" s="24">
        <f t="shared" si="388"/>
        <v>0.02</v>
      </c>
    </row>
    <row r="5390" spans="19:19" x14ac:dyDescent="0.25">
      <c r="S5390" s="24">
        <f t="shared" si="388"/>
        <v>0.02</v>
      </c>
    </row>
    <row r="5391" spans="19:19" x14ac:dyDescent="0.25">
      <c r="S5391" s="24">
        <f t="shared" si="388"/>
        <v>0.02</v>
      </c>
    </row>
    <row r="5392" spans="19:19" x14ac:dyDescent="0.25">
      <c r="S5392" s="24">
        <f t="shared" si="388"/>
        <v>0.02</v>
      </c>
    </row>
    <row r="5393" spans="19:19" x14ac:dyDescent="0.25">
      <c r="S5393" s="24">
        <f t="shared" si="388"/>
        <v>0.02</v>
      </c>
    </row>
    <row r="5394" spans="19:19" x14ac:dyDescent="0.25">
      <c r="S5394" s="24">
        <f t="shared" si="388"/>
        <v>0.02</v>
      </c>
    </row>
    <row r="5395" spans="19:19" x14ac:dyDescent="0.25">
      <c r="S5395" s="24">
        <f t="shared" si="388"/>
        <v>0.02</v>
      </c>
    </row>
    <row r="5396" spans="19:19" x14ac:dyDescent="0.25">
      <c r="S5396" s="24">
        <f t="shared" si="388"/>
        <v>0.02</v>
      </c>
    </row>
    <row r="5397" spans="19:19" x14ac:dyDescent="0.25">
      <c r="S5397" s="24">
        <f t="shared" si="388"/>
        <v>0.02</v>
      </c>
    </row>
    <row r="5398" spans="19:19" x14ac:dyDescent="0.25">
      <c r="S5398" s="24">
        <f t="shared" si="388"/>
        <v>0.02</v>
      </c>
    </row>
    <row r="5399" spans="19:19" x14ac:dyDescent="0.25">
      <c r="S5399" s="24">
        <f t="shared" si="388"/>
        <v>0.02</v>
      </c>
    </row>
    <row r="5400" spans="19:19" x14ac:dyDescent="0.25">
      <c r="S5400" s="24">
        <f t="shared" si="388"/>
        <v>0.02</v>
      </c>
    </row>
    <row r="5401" spans="19:19" x14ac:dyDescent="0.25">
      <c r="S5401" s="24">
        <f t="shared" si="388"/>
        <v>0.02</v>
      </c>
    </row>
    <row r="5402" spans="19:19" x14ac:dyDescent="0.25">
      <c r="S5402" s="24">
        <f t="shared" si="388"/>
        <v>0.02</v>
      </c>
    </row>
    <row r="5403" spans="19:19" x14ac:dyDescent="0.25">
      <c r="S5403" s="24">
        <f t="shared" si="388"/>
        <v>0.02</v>
      </c>
    </row>
    <row r="5404" spans="19:19" x14ac:dyDescent="0.25">
      <c r="S5404" s="24">
        <f t="shared" si="388"/>
        <v>0.02</v>
      </c>
    </row>
    <row r="5405" spans="19:19" x14ac:dyDescent="0.25">
      <c r="S5405" s="24">
        <f t="shared" si="388"/>
        <v>0.02</v>
      </c>
    </row>
    <row r="5406" spans="19:19" x14ac:dyDescent="0.25">
      <c r="S5406" s="24">
        <f t="shared" si="388"/>
        <v>0.02</v>
      </c>
    </row>
    <row r="5407" spans="19:19" x14ac:dyDescent="0.25">
      <c r="S5407" s="24">
        <f t="shared" si="388"/>
        <v>0.02</v>
      </c>
    </row>
    <row r="5408" spans="19:19" x14ac:dyDescent="0.25">
      <c r="S5408" s="24">
        <f t="shared" si="388"/>
        <v>0.02</v>
      </c>
    </row>
    <row r="5409" spans="19:19" x14ac:dyDescent="0.25">
      <c r="S5409" s="24">
        <f t="shared" si="388"/>
        <v>0.02</v>
      </c>
    </row>
    <row r="5410" spans="19:19" x14ac:dyDescent="0.25">
      <c r="S5410" s="24">
        <f t="shared" si="388"/>
        <v>0.02</v>
      </c>
    </row>
    <row r="5411" spans="19:19" x14ac:dyDescent="0.25">
      <c r="S5411" s="24">
        <f t="shared" si="388"/>
        <v>0.02</v>
      </c>
    </row>
    <row r="5412" spans="19:19" x14ac:dyDescent="0.25">
      <c r="S5412" s="24">
        <f t="shared" si="388"/>
        <v>0.02</v>
      </c>
    </row>
    <row r="5413" spans="19:19" x14ac:dyDescent="0.25">
      <c r="S5413" s="24">
        <f t="shared" si="388"/>
        <v>0.02</v>
      </c>
    </row>
    <row r="5414" spans="19:19" x14ac:dyDescent="0.25">
      <c r="S5414" s="24">
        <f t="shared" si="388"/>
        <v>0.02</v>
      </c>
    </row>
    <row r="5415" spans="19:19" x14ac:dyDescent="0.25">
      <c r="S5415" s="24">
        <f t="shared" si="388"/>
        <v>0.02</v>
      </c>
    </row>
    <row r="5416" spans="19:19" x14ac:dyDescent="0.25">
      <c r="S5416" s="24">
        <f t="shared" si="388"/>
        <v>0.02</v>
      </c>
    </row>
    <row r="5417" spans="19:19" x14ac:dyDescent="0.25">
      <c r="S5417" s="24">
        <f t="shared" si="388"/>
        <v>0.02</v>
      </c>
    </row>
    <row r="5418" spans="19:19" x14ac:dyDescent="0.25">
      <c r="S5418" s="24">
        <f t="shared" si="388"/>
        <v>0.02</v>
      </c>
    </row>
    <row r="5419" spans="19:19" x14ac:dyDescent="0.25">
      <c r="S5419" s="24">
        <f t="shared" si="388"/>
        <v>0.02</v>
      </c>
    </row>
    <row r="5420" spans="19:19" x14ac:dyDescent="0.25">
      <c r="S5420" s="24">
        <f t="shared" si="388"/>
        <v>0.02</v>
      </c>
    </row>
    <row r="5421" spans="19:19" x14ac:dyDescent="0.25">
      <c r="S5421" s="24">
        <f t="shared" si="388"/>
        <v>0.02</v>
      </c>
    </row>
    <row r="5422" spans="19:19" x14ac:dyDescent="0.25">
      <c r="S5422" s="24">
        <f t="shared" si="388"/>
        <v>0.02</v>
      </c>
    </row>
    <row r="5423" spans="19:19" x14ac:dyDescent="0.25">
      <c r="S5423" s="24">
        <f t="shared" si="388"/>
        <v>0.02</v>
      </c>
    </row>
    <row r="5424" spans="19:19" x14ac:dyDescent="0.25">
      <c r="S5424" s="24">
        <f t="shared" si="388"/>
        <v>0.02</v>
      </c>
    </row>
    <row r="5425" spans="19:19" x14ac:dyDescent="0.25">
      <c r="S5425" s="24">
        <f t="shared" si="388"/>
        <v>0.02</v>
      </c>
    </row>
    <row r="5426" spans="19:19" x14ac:dyDescent="0.25">
      <c r="S5426" s="24">
        <f t="shared" si="388"/>
        <v>0.02</v>
      </c>
    </row>
    <row r="5427" spans="19:19" x14ac:dyDescent="0.25">
      <c r="S5427" s="24">
        <f t="shared" si="388"/>
        <v>0.02</v>
      </c>
    </row>
    <row r="5428" spans="19:19" x14ac:dyDescent="0.25">
      <c r="S5428" s="24">
        <f t="shared" si="388"/>
        <v>0.02</v>
      </c>
    </row>
    <row r="5429" spans="19:19" x14ac:dyDescent="0.25">
      <c r="S5429" s="24">
        <f t="shared" si="388"/>
        <v>0.02</v>
      </c>
    </row>
    <row r="5430" spans="19:19" x14ac:dyDescent="0.25">
      <c r="S5430" s="24">
        <f t="shared" si="388"/>
        <v>0.02</v>
      </c>
    </row>
    <row r="5431" spans="19:19" x14ac:dyDescent="0.25">
      <c r="S5431" s="24">
        <f t="shared" si="388"/>
        <v>0.02</v>
      </c>
    </row>
    <row r="5432" spans="19:19" x14ac:dyDescent="0.25">
      <c r="S5432" s="24">
        <f t="shared" si="388"/>
        <v>0.02</v>
      </c>
    </row>
    <row r="5433" spans="19:19" x14ac:dyDescent="0.25">
      <c r="S5433" s="24">
        <f t="shared" si="388"/>
        <v>0.02</v>
      </c>
    </row>
    <row r="5434" spans="19:19" x14ac:dyDescent="0.25">
      <c r="S5434" s="24">
        <f t="shared" si="388"/>
        <v>0.02</v>
      </c>
    </row>
    <row r="5435" spans="19:19" x14ac:dyDescent="0.25">
      <c r="S5435" s="24">
        <f t="shared" si="388"/>
        <v>0.02</v>
      </c>
    </row>
    <row r="5436" spans="19:19" x14ac:dyDescent="0.25">
      <c r="S5436" s="24">
        <f t="shared" si="388"/>
        <v>0.02</v>
      </c>
    </row>
    <row r="5437" spans="19:19" x14ac:dyDescent="0.25">
      <c r="S5437" s="24">
        <f t="shared" si="388"/>
        <v>0.02</v>
      </c>
    </row>
    <row r="5438" spans="19:19" x14ac:dyDescent="0.25">
      <c r="S5438" s="24">
        <f t="shared" si="388"/>
        <v>0.02</v>
      </c>
    </row>
    <row r="5439" spans="19:19" x14ac:dyDescent="0.25">
      <c r="S5439" s="24">
        <f t="shared" si="388"/>
        <v>0.02</v>
      </c>
    </row>
    <row r="5440" spans="19:19" x14ac:dyDescent="0.25">
      <c r="S5440" s="24">
        <f t="shared" si="388"/>
        <v>0.02</v>
      </c>
    </row>
    <row r="5441" spans="19:19" x14ac:dyDescent="0.25">
      <c r="S5441" s="24">
        <f t="shared" si="388"/>
        <v>0.02</v>
      </c>
    </row>
    <row r="5442" spans="19:19" x14ac:dyDescent="0.25">
      <c r="S5442" s="24">
        <f t="shared" si="388"/>
        <v>0.02</v>
      </c>
    </row>
    <row r="5443" spans="19:19" x14ac:dyDescent="0.25">
      <c r="S5443" s="24">
        <f t="shared" si="388"/>
        <v>0.02</v>
      </c>
    </row>
    <row r="5444" spans="19:19" x14ac:dyDescent="0.25">
      <c r="S5444" s="24">
        <f t="shared" si="388"/>
        <v>0.02</v>
      </c>
    </row>
    <row r="5445" spans="19:19" x14ac:dyDescent="0.25">
      <c r="S5445" s="24">
        <f t="shared" si="388"/>
        <v>0.02</v>
      </c>
    </row>
    <row r="5446" spans="19:19" x14ac:dyDescent="0.25">
      <c r="S5446" s="24">
        <f t="shared" si="388"/>
        <v>0.02</v>
      </c>
    </row>
    <row r="5447" spans="19:19" x14ac:dyDescent="0.25">
      <c r="S5447" s="24">
        <f t="shared" si="388"/>
        <v>0.02</v>
      </c>
    </row>
    <row r="5448" spans="19:19" x14ac:dyDescent="0.25">
      <c r="S5448" s="24">
        <f t="shared" si="388"/>
        <v>0.02</v>
      </c>
    </row>
    <row r="5449" spans="19:19" x14ac:dyDescent="0.25">
      <c r="S5449" s="24">
        <f t="shared" si="388"/>
        <v>0.02</v>
      </c>
    </row>
    <row r="5450" spans="19:19" x14ac:dyDescent="0.25">
      <c r="S5450" s="24">
        <f t="shared" si="388"/>
        <v>0.02</v>
      </c>
    </row>
    <row r="5451" spans="19:19" x14ac:dyDescent="0.25">
      <c r="S5451" s="24">
        <f t="shared" ref="S5451:S5514" si="389">VLOOKUP(N5451,$T$1:$U$7,2,TRUE)</f>
        <v>0.02</v>
      </c>
    </row>
    <row r="5452" spans="19:19" x14ac:dyDescent="0.25">
      <c r="S5452" s="24">
        <f t="shared" si="389"/>
        <v>0.02</v>
      </c>
    </row>
    <row r="5453" spans="19:19" x14ac:dyDescent="0.25">
      <c r="S5453" s="24">
        <f t="shared" si="389"/>
        <v>0.02</v>
      </c>
    </row>
    <row r="5454" spans="19:19" x14ac:dyDescent="0.25">
      <c r="S5454" s="24">
        <f t="shared" si="389"/>
        <v>0.02</v>
      </c>
    </row>
    <row r="5455" spans="19:19" x14ac:dyDescent="0.25">
      <c r="S5455" s="24">
        <f t="shared" si="389"/>
        <v>0.02</v>
      </c>
    </row>
    <row r="5456" spans="19:19" x14ac:dyDescent="0.25">
      <c r="S5456" s="24">
        <f t="shared" si="389"/>
        <v>0.02</v>
      </c>
    </row>
    <row r="5457" spans="19:19" x14ac:dyDescent="0.25">
      <c r="S5457" s="24">
        <f t="shared" si="389"/>
        <v>0.02</v>
      </c>
    </row>
    <row r="5458" spans="19:19" x14ac:dyDescent="0.25">
      <c r="S5458" s="24">
        <f t="shared" si="389"/>
        <v>0.02</v>
      </c>
    </row>
    <row r="5459" spans="19:19" x14ac:dyDescent="0.25">
      <c r="S5459" s="24">
        <f t="shared" si="389"/>
        <v>0.02</v>
      </c>
    </row>
    <row r="5460" spans="19:19" x14ac:dyDescent="0.25">
      <c r="S5460" s="24">
        <f t="shared" si="389"/>
        <v>0.02</v>
      </c>
    </row>
    <row r="5461" spans="19:19" x14ac:dyDescent="0.25">
      <c r="S5461" s="24">
        <f t="shared" si="389"/>
        <v>0.02</v>
      </c>
    </row>
    <row r="5462" spans="19:19" x14ac:dyDescent="0.25">
      <c r="S5462" s="24">
        <f t="shared" si="389"/>
        <v>0.02</v>
      </c>
    </row>
    <row r="5463" spans="19:19" x14ac:dyDescent="0.25">
      <c r="S5463" s="24">
        <f t="shared" si="389"/>
        <v>0.02</v>
      </c>
    </row>
    <row r="5464" spans="19:19" x14ac:dyDescent="0.25">
      <c r="S5464" s="24">
        <f t="shared" si="389"/>
        <v>0.02</v>
      </c>
    </row>
    <row r="5465" spans="19:19" x14ac:dyDescent="0.25">
      <c r="S5465" s="24">
        <f t="shared" si="389"/>
        <v>0.02</v>
      </c>
    </row>
    <row r="5466" spans="19:19" x14ac:dyDescent="0.25">
      <c r="S5466" s="24">
        <f t="shared" si="389"/>
        <v>0.02</v>
      </c>
    </row>
    <row r="5467" spans="19:19" x14ac:dyDescent="0.25">
      <c r="S5467" s="24">
        <f t="shared" si="389"/>
        <v>0.02</v>
      </c>
    </row>
    <row r="5468" spans="19:19" x14ac:dyDescent="0.25">
      <c r="S5468" s="24">
        <f t="shared" si="389"/>
        <v>0.02</v>
      </c>
    </row>
    <row r="5469" spans="19:19" x14ac:dyDescent="0.25">
      <c r="S5469" s="24">
        <f t="shared" si="389"/>
        <v>0.02</v>
      </c>
    </row>
    <row r="5470" spans="19:19" x14ac:dyDescent="0.25">
      <c r="S5470" s="24">
        <f t="shared" si="389"/>
        <v>0.02</v>
      </c>
    </row>
    <row r="5471" spans="19:19" x14ac:dyDescent="0.25">
      <c r="S5471" s="24">
        <f t="shared" si="389"/>
        <v>0.02</v>
      </c>
    </row>
    <row r="5472" spans="19:19" x14ac:dyDescent="0.25">
      <c r="S5472" s="24">
        <f t="shared" si="389"/>
        <v>0.02</v>
      </c>
    </row>
    <row r="5473" spans="19:19" x14ac:dyDescent="0.25">
      <c r="S5473" s="24">
        <f t="shared" si="389"/>
        <v>0.02</v>
      </c>
    </row>
    <row r="5474" spans="19:19" x14ac:dyDescent="0.25">
      <c r="S5474" s="24">
        <f t="shared" si="389"/>
        <v>0.02</v>
      </c>
    </row>
    <row r="5475" spans="19:19" x14ac:dyDescent="0.25">
      <c r="S5475" s="24">
        <f t="shared" si="389"/>
        <v>0.02</v>
      </c>
    </row>
    <row r="5476" spans="19:19" x14ac:dyDescent="0.25">
      <c r="S5476" s="24">
        <f t="shared" si="389"/>
        <v>0.02</v>
      </c>
    </row>
    <row r="5477" spans="19:19" x14ac:dyDescent="0.25">
      <c r="S5477" s="24">
        <f t="shared" si="389"/>
        <v>0.02</v>
      </c>
    </row>
    <row r="5478" spans="19:19" x14ac:dyDescent="0.25">
      <c r="S5478" s="24">
        <f t="shared" si="389"/>
        <v>0.02</v>
      </c>
    </row>
    <row r="5479" spans="19:19" x14ac:dyDescent="0.25">
      <c r="S5479" s="24">
        <f t="shared" si="389"/>
        <v>0.02</v>
      </c>
    </row>
    <row r="5480" spans="19:19" x14ac:dyDescent="0.25">
      <c r="S5480" s="24">
        <f t="shared" si="389"/>
        <v>0.02</v>
      </c>
    </row>
    <row r="5481" spans="19:19" x14ac:dyDescent="0.25">
      <c r="S5481" s="24">
        <f t="shared" si="389"/>
        <v>0.02</v>
      </c>
    </row>
    <row r="5482" spans="19:19" x14ac:dyDescent="0.25">
      <c r="S5482" s="24">
        <f t="shared" si="389"/>
        <v>0.02</v>
      </c>
    </row>
    <row r="5483" spans="19:19" x14ac:dyDescent="0.25">
      <c r="S5483" s="24">
        <f t="shared" si="389"/>
        <v>0.02</v>
      </c>
    </row>
    <row r="5484" spans="19:19" x14ac:dyDescent="0.25">
      <c r="S5484" s="24">
        <f t="shared" si="389"/>
        <v>0.02</v>
      </c>
    </row>
    <row r="5485" spans="19:19" x14ac:dyDescent="0.25">
      <c r="S5485" s="24">
        <f t="shared" si="389"/>
        <v>0.02</v>
      </c>
    </row>
    <row r="5486" spans="19:19" x14ac:dyDescent="0.25">
      <c r="S5486" s="24">
        <f t="shared" si="389"/>
        <v>0.02</v>
      </c>
    </row>
    <row r="5487" spans="19:19" x14ac:dyDescent="0.25">
      <c r="S5487" s="24">
        <f t="shared" si="389"/>
        <v>0.02</v>
      </c>
    </row>
    <row r="5488" spans="19:19" x14ac:dyDescent="0.25">
      <c r="S5488" s="24">
        <f t="shared" si="389"/>
        <v>0.02</v>
      </c>
    </row>
    <row r="5489" spans="19:19" x14ac:dyDescent="0.25">
      <c r="S5489" s="24">
        <f t="shared" si="389"/>
        <v>0.02</v>
      </c>
    </row>
    <row r="5490" spans="19:19" x14ac:dyDescent="0.25">
      <c r="S5490" s="24">
        <f t="shared" si="389"/>
        <v>0.02</v>
      </c>
    </row>
    <row r="5491" spans="19:19" x14ac:dyDescent="0.25">
      <c r="S5491" s="24">
        <f t="shared" si="389"/>
        <v>0.02</v>
      </c>
    </row>
    <row r="5492" spans="19:19" x14ac:dyDescent="0.25">
      <c r="S5492" s="24">
        <f t="shared" si="389"/>
        <v>0.02</v>
      </c>
    </row>
    <row r="5493" spans="19:19" x14ac:dyDescent="0.25">
      <c r="S5493" s="24">
        <f t="shared" si="389"/>
        <v>0.02</v>
      </c>
    </row>
    <row r="5494" spans="19:19" x14ac:dyDescent="0.25">
      <c r="S5494" s="24">
        <f t="shared" si="389"/>
        <v>0.02</v>
      </c>
    </row>
    <row r="5495" spans="19:19" x14ac:dyDescent="0.25">
      <c r="S5495" s="24">
        <f t="shared" si="389"/>
        <v>0.02</v>
      </c>
    </row>
    <row r="5496" spans="19:19" x14ac:dyDescent="0.25">
      <c r="S5496" s="24">
        <f t="shared" si="389"/>
        <v>0.02</v>
      </c>
    </row>
    <row r="5497" spans="19:19" x14ac:dyDescent="0.25">
      <c r="S5497" s="24">
        <f t="shared" si="389"/>
        <v>0.02</v>
      </c>
    </row>
    <row r="5498" spans="19:19" x14ac:dyDescent="0.25">
      <c r="S5498" s="24">
        <f t="shared" si="389"/>
        <v>0.02</v>
      </c>
    </row>
    <row r="5499" spans="19:19" x14ac:dyDescent="0.25">
      <c r="S5499" s="24">
        <f t="shared" si="389"/>
        <v>0.02</v>
      </c>
    </row>
    <row r="5500" spans="19:19" x14ac:dyDescent="0.25">
      <c r="S5500" s="24">
        <f t="shared" si="389"/>
        <v>0.02</v>
      </c>
    </row>
    <row r="5501" spans="19:19" x14ac:dyDescent="0.25">
      <c r="S5501" s="24">
        <f t="shared" si="389"/>
        <v>0.02</v>
      </c>
    </row>
    <row r="5502" spans="19:19" x14ac:dyDescent="0.25">
      <c r="S5502" s="24">
        <f t="shared" si="389"/>
        <v>0.02</v>
      </c>
    </row>
    <row r="5503" spans="19:19" x14ac:dyDescent="0.25">
      <c r="S5503" s="24">
        <f t="shared" si="389"/>
        <v>0.02</v>
      </c>
    </row>
    <row r="5504" spans="19:19" x14ac:dyDescent="0.25">
      <c r="S5504" s="24">
        <f t="shared" si="389"/>
        <v>0.02</v>
      </c>
    </row>
    <row r="5505" spans="19:19" x14ac:dyDescent="0.25">
      <c r="S5505" s="24">
        <f t="shared" si="389"/>
        <v>0.02</v>
      </c>
    </row>
    <row r="5506" spans="19:19" x14ac:dyDescent="0.25">
      <c r="S5506" s="24">
        <f t="shared" si="389"/>
        <v>0.02</v>
      </c>
    </row>
    <row r="5507" spans="19:19" x14ac:dyDescent="0.25">
      <c r="S5507" s="24">
        <f t="shared" si="389"/>
        <v>0.02</v>
      </c>
    </row>
    <row r="5508" spans="19:19" x14ac:dyDescent="0.25">
      <c r="S5508" s="24">
        <f t="shared" si="389"/>
        <v>0.02</v>
      </c>
    </row>
    <row r="5509" spans="19:19" x14ac:dyDescent="0.25">
      <c r="S5509" s="24">
        <f t="shared" si="389"/>
        <v>0.02</v>
      </c>
    </row>
    <row r="5510" spans="19:19" x14ac:dyDescent="0.25">
      <c r="S5510" s="24">
        <f t="shared" si="389"/>
        <v>0.02</v>
      </c>
    </row>
    <row r="5511" spans="19:19" x14ac:dyDescent="0.25">
      <c r="S5511" s="24">
        <f t="shared" si="389"/>
        <v>0.02</v>
      </c>
    </row>
    <row r="5512" spans="19:19" x14ac:dyDescent="0.25">
      <c r="S5512" s="24">
        <f t="shared" si="389"/>
        <v>0.02</v>
      </c>
    </row>
    <row r="5513" spans="19:19" x14ac:dyDescent="0.25">
      <c r="S5513" s="24">
        <f t="shared" si="389"/>
        <v>0.02</v>
      </c>
    </row>
    <row r="5514" spans="19:19" x14ac:dyDescent="0.25">
      <c r="S5514" s="24">
        <f t="shared" si="389"/>
        <v>0.02</v>
      </c>
    </row>
    <row r="5515" spans="19:19" x14ac:dyDescent="0.25">
      <c r="S5515" s="24">
        <f t="shared" ref="S5515:S5578" si="390">VLOOKUP(N5515,$T$1:$U$7,2,TRUE)</f>
        <v>0.02</v>
      </c>
    </row>
    <row r="5516" spans="19:19" x14ac:dyDescent="0.25">
      <c r="S5516" s="24">
        <f t="shared" si="390"/>
        <v>0.02</v>
      </c>
    </row>
    <row r="5517" spans="19:19" x14ac:dyDescent="0.25">
      <c r="S5517" s="24">
        <f t="shared" si="390"/>
        <v>0.02</v>
      </c>
    </row>
    <row r="5518" spans="19:19" x14ac:dyDescent="0.25">
      <c r="S5518" s="24">
        <f t="shared" si="390"/>
        <v>0.02</v>
      </c>
    </row>
    <row r="5519" spans="19:19" x14ac:dyDescent="0.25">
      <c r="S5519" s="24">
        <f t="shared" si="390"/>
        <v>0.02</v>
      </c>
    </row>
    <row r="5520" spans="19:19" x14ac:dyDescent="0.25">
      <c r="S5520" s="24">
        <f t="shared" si="390"/>
        <v>0.02</v>
      </c>
    </row>
    <row r="5521" spans="19:19" x14ac:dyDescent="0.25">
      <c r="S5521" s="24">
        <f t="shared" si="390"/>
        <v>0.02</v>
      </c>
    </row>
    <row r="5522" spans="19:19" x14ac:dyDescent="0.25">
      <c r="S5522" s="24">
        <f t="shared" si="390"/>
        <v>0.02</v>
      </c>
    </row>
    <row r="5523" spans="19:19" x14ac:dyDescent="0.25">
      <c r="S5523" s="24">
        <f t="shared" si="390"/>
        <v>0.02</v>
      </c>
    </row>
    <row r="5524" spans="19:19" x14ac:dyDescent="0.25">
      <c r="S5524" s="24">
        <f t="shared" si="390"/>
        <v>0.02</v>
      </c>
    </row>
    <row r="5525" spans="19:19" x14ac:dyDescent="0.25">
      <c r="S5525" s="24">
        <f t="shared" si="390"/>
        <v>0.02</v>
      </c>
    </row>
    <row r="5526" spans="19:19" x14ac:dyDescent="0.25">
      <c r="S5526" s="24">
        <f t="shared" si="390"/>
        <v>0.02</v>
      </c>
    </row>
    <row r="5527" spans="19:19" x14ac:dyDescent="0.25">
      <c r="S5527" s="24">
        <f t="shared" si="390"/>
        <v>0.02</v>
      </c>
    </row>
    <row r="5528" spans="19:19" x14ac:dyDescent="0.25">
      <c r="S5528" s="24">
        <f t="shared" si="390"/>
        <v>0.02</v>
      </c>
    </row>
    <row r="5529" spans="19:19" x14ac:dyDescent="0.25">
      <c r="S5529" s="24">
        <f t="shared" si="390"/>
        <v>0.02</v>
      </c>
    </row>
    <row r="5530" spans="19:19" x14ac:dyDescent="0.25">
      <c r="S5530" s="24">
        <f t="shared" si="390"/>
        <v>0.02</v>
      </c>
    </row>
    <row r="5531" spans="19:19" x14ac:dyDescent="0.25">
      <c r="S5531" s="24">
        <f t="shared" si="390"/>
        <v>0.02</v>
      </c>
    </row>
    <row r="5532" spans="19:19" x14ac:dyDescent="0.25">
      <c r="S5532" s="24">
        <f t="shared" si="390"/>
        <v>0.02</v>
      </c>
    </row>
    <row r="5533" spans="19:19" x14ac:dyDescent="0.25">
      <c r="S5533" s="24">
        <f t="shared" si="390"/>
        <v>0.02</v>
      </c>
    </row>
    <row r="5534" spans="19:19" x14ac:dyDescent="0.25">
      <c r="S5534" s="24">
        <f t="shared" si="390"/>
        <v>0.02</v>
      </c>
    </row>
    <row r="5535" spans="19:19" x14ac:dyDescent="0.25">
      <c r="S5535" s="24">
        <f t="shared" si="390"/>
        <v>0.02</v>
      </c>
    </row>
    <row r="5536" spans="19:19" x14ac:dyDescent="0.25">
      <c r="S5536" s="24">
        <f t="shared" si="390"/>
        <v>0.02</v>
      </c>
    </row>
    <row r="5537" spans="19:19" x14ac:dyDescent="0.25">
      <c r="S5537" s="24">
        <f t="shared" si="390"/>
        <v>0.02</v>
      </c>
    </row>
    <row r="5538" spans="19:19" x14ac:dyDescent="0.25">
      <c r="S5538" s="24">
        <f t="shared" si="390"/>
        <v>0.02</v>
      </c>
    </row>
    <row r="5539" spans="19:19" x14ac:dyDescent="0.25">
      <c r="S5539" s="24">
        <f t="shared" si="390"/>
        <v>0.02</v>
      </c>
    </row>
    <row r="5540" spans="19:19" x14ac:dyDescent="0.25">
      <c r="S5540" s="24">
        <f t="shared" si="390"/>
        <v>0.02</v>
      </c>
    </row>
    <row r="5541" spans="19:19" x14ac:dyDescent="0.25">
      <c r="S5541" s="24">
        <f t="shared" si="390"/>
        <v>0.02</v>
      </c>
    </row>
    <row r="5542" spans="19:19" x14ac:dyDescent="0.25">
      <c r="S5542" s="24">
        <f t="shared" si="390"/>
        <v>0.02</v>
      </c>
    </row>
    <row r="5543" spans="19:19" x14ac:dyDescent="0.25">
      <c r="S5543" s="24">
        <f t="shared" si="390"/>
        <v>0.02</v>
      </c>
    </row>
    <row r="5544" spans="19:19" x14ac:dyDescent="0.25">
      <c r="S5544" s="24">
        <f t="shared" si="390"/>
        <v>0.02</v>
      </c>
    </row>
    <row r="5545" spans="19:19" x14ac:dyDescent="0.25">
      <c r="S5545" s="24">
        <f t="shared" si="390"/>
        <v>0.02</v>
      </c>
    </row>
    <row r="5546" spans="19:19" x14ac:dyDescent="0.25">
      <c r="S5546" s="24">
        <f t="shared" si="390"/>
        <v>0.02</v>
      </c>
    </row>
    <row r="5547" spans="19:19" x14ac:dyDescent="0.25">
      <c r="S5547" s="24">
        <f t="shared" si="390"/>
        <v>0.02</v>
      </c>
    </row>
    <row r="5548" spans="19:19" x14ac:dyDescent="0.25">
      <c r="S5548" s="24">
        <f t="shared" si="390"/>
        <v>0.02</v>
      </c>
    </row>
    <row r="5549" spans="19:19" x14ac:dyDescent="0.25">
      <c r="S5549" s="24">
        <f t="shared" si="390"/>
        <v>0.02</v>
      </c>
    </row>
    <row r="5550" spans="19:19" x14ac:dyDescent="0.25">
      <c r="S5550" s="24">
        <f t="shared" si="390"/>
        <v>0.02</v>
      </c>
    </row>
    <row r="5551" spans="19:19" x14ac:dyDescent="0.25">
      <c r="S5551" s="24">
        <f t="shared" si="390"/>
        <v>0.02</v>
      </c>
    </row>
    <row r="5552" spans="19:19" x14ac:dyDescent="0.25">
      <c r="S5552" s="24">
        <f t="shared" si="390"/>
        <v>0.02</v>
      </c>
    </row>
    <row r="5553" spans="19:19" x14ac:dyDescent="0.25">
      <c r="S5553" s="24">
        <f t="shared" si="390"/>
        <v>0.02</v>
      </c>
    </row>
    <row r="5554" spans="19:19" x14ac:dyDescent="0.25">
      <c r="S5554" s="24">
        <f t="shared" si="390"/>
        <v>0.02</v>
      </c>
    </row>
    <row r="5555" spans="19:19" x14ac:dyDescent="0.25">
      <c r="S5555" s="24">
        <f t="shared" si="390"/>
        <v>0.02</v>
      </c>
    </row>
    <row r="5556" spans="19:19" x14ac:dyDescent="0.25">
      <c r="S5556" s="24">
        <f t="shared" si="390"/>
        <v>0.02</v>
      </c>
    </row>
    <row r="5557" spans="19:19" x14ac:dyDescent="0.25">
      <c r="S5557" s="24">
        <f t="shared" si="390"/>
        <v>0.02</v>
      </c>
    </row>
    <row r="5558" spans="19:19" x14ac:dyDescent="0.25">
      <c r="S5558" s="24">
        <f t="shared" si="390"/>
        <v>0.02</v>
      </c>
    </row>
    <row r="5559" spans="19:19" x14ac:dyDescent="0.25">
      <c r="S5559" s="24">
        <f t="shared" si="390"/>
        <v>0.02</v>
      </c>
    </row>
    <row r="5560" spans="19:19" x14ac:dyDescent="0.25">
      <c r="S5560" s="24">
        <f t="shared" si="390"/>
        <v>0.02</v>
      </c>
    </row>
    <row r="5561" spans="19:19" x14ac:dyDescent="0.25">
      <c r="S5561" s="24">
        <f t="shared" si="390"/>
        <v>0.02</v>
      </c>
    </row>
    <row r="5562" spans="19:19" x14ac:dyDescent="0.25">
      <c r="S5562" s="24">
        <f t="shared" si="390"/>
        <v>0.02</v>
      </c>
    </row>
    <row r="5563" spans="19:19" x14ac:dyDescent="0.25">
      <c r="S5563" s="24">
        <f t="shared" si="390"/>
        <v>0.02</v>
      </c>
    </row>
    <row r="5564" spans="19:19" x14ac:dyDescent="0.25">
      <c r="S5564" s="24">
        <f t="shared" si="390"/>
        <v>0.02</v>
      </c>
    </row>
    <row r="5565" spans="19:19" x14ac:dyDescent="0.25">
      <c r="S5565" s="24">
        <f t="shared" si="390"/>
        <v>0.02</v>
      </c>
    </row>
    <row r="5566" spans="19:19" x14ac:dyDescent="0.25">
      <c r="S5566" s="24">
        <f t="shared" si="390"/>
        <v>0.02</v>
      </c>
    </row>
    <row r="5567" spans="19:19" x14ac:dyDescent="0.25">
      <c r="S5567" s="24">
        <f t="shared" si="390"/>
        <v>0.02</v>
      </c>
    </row>
    <row r="5568" spans="19:19" x14ac:dyDescent="0.25">
      <c r="S5568" s="24">
        <f t="shared" si="390"/>
        <v>0.02</v>
      </c>
    </row>
    <row r="5569" spans="19:19" x14ac:dyDescent="0.25">
      <c r="S5569" s="24">
        <f t="shared" si="390"/>
        <v>0.02</v>
      </c>
    </row>
    <row r="5570" spans="19:19" x14ac:dyDescent="0.25">
      <c r="S5570" s="24">
        <f t="shared" si="390"/>
        <v>0.02</v>
      </c>
    </row>
    <row r="5571" spans="19:19" x14ac:dyDescent="0.25">
      <c r="S5571" s="24">
        <f t="shared" si="390"/>
        <v>0.02</v>
      </c>
    </row>
    <row r="5572" spans="19:19" x14ac:dyDescent="0.25">
      <c r="S5572" s="24">
        <f t="shared" si="390"/>
        <v>0.02</v>
      </c>
    </row>
    <row r="5573" spans="19:19" x14ac:dyDescent="0.25">
      <c r="S5573" s="24">
        <f t="shared" si="390"/>
        <v>0.02</v>
      </c>
    </row>
    <row r="5574" spans="19:19" x14ac:dyDescent="0.25">
      <c r="S5574" s="24">
        <f t="shared" si="390"/>
        <v>0.02</v>
      </c>
    </row>
    <row r="5575" spans="19:19" x14ac:dyDescent="0.25">
      <c r="S5575" s="24">
        <f t="shared" si="390"/>
        <v>0.02</v>
      </c>
    </row>
    <row r="5576" spans="19:19" x14ac:dyDescent="0.25">
      <c r="S5576" s="24">
        <f t="shared" si="390"/>
        <v>0.02</v>
      </c>
    </row>
    <row r="5577" spans="19:19" x14ac:dyDescent="0.25">
      <c r="S5577" s="24">
        <f t="shared" si="390"/>
        <v>0.02</v>
      </c>
    </row>
    <row r="5578" spans="19:19" x14ac:dyDescent="0.25">
      <c r="S5578" s="24">
        <f t="shared" si="390"/>
        <v>0.02</v>
      </c>
    </row>
    <row r="5579" spans="19:19" x14ac:dyDescent="0.25">
      <c r="S5579" s="24">
        <f t="shared" ref="S5579:S5642" si="391">VLOOKUP(N5579,$T$1:$U$7,2,TRUE)</f>
        <v>0.02</v>
      </c>
    </row>
    <row r="5580" spans="19:19" x14ac:dyDescent="0.25">
      <c r="S5580" s="24">
        <f t="shared" si="391"/>
        <v>0.02</v>
      </c>
    </row>
    <row r="5581" spans="19:19" x14ac:dyDescent="0.25">
      <c r="S5581" s="24">
        <f t="shared" si="391"/>
        <v>0.02</v>
      </c>
    </row>
    <row r="5582" spans="19:19" x14ac:dyDescent="0.25">
      <c r="S5582" s="24">
        <f t="shared" si="391"/>
        <v>0.02</v>
      </c>
    </row>
    <row r="5583" spans="19:19" x14ac:dyDescent="0.25">
      <c r="S5583" s="24">
        <f t="shared" si="391"/>
        <v>0.02</v>
      </c>
    </row>
    <row r="5584" spans="19:19" x14ac:dyDescent="0.25">
      <c r="S5584" s="24">
        <f t="shared" si="391"/>
        <v>0.02</v>
      </c>
    </row>
    <row r="5585" spans="19:19" x14ac:dyDescent="0.25">
      <c r="S5585" s="24">
        <f t="shared" si="391"/>
        <v>0.02</v>
      </c>
    </row>
    <row r="5586" spans="19:19" x14ac:dyDescent="0.25">
      <c r="S5586" s="24">
        <f t="shared" si="391"/>
        <v>0.02</v>
      </c>
    </row>
    <row r="5587" spans="19:19" x14ac:dyDescent="0.25">
      <c r="S5587" s="24">
        <f t="shared" si="391"/>
        <v>0.02</v>
      </c>
    </row>
    <row r="5588" spans="19:19" x14ac:dyDescent="0.25">
      <c r="S5588" s="24">
        <f t="shared" si="391"/>
        <v>0.02</v>
      </c>
    </row>
    <row r="5589" spans="19:19" x14ac:dyDescent="0.25">
      <c r="S5589" s="24">
        <f t="shared" si="391"/>
        <v>0.02</v>
      </c>
    </row>
    <row r="5590" spans="19:19" x14ac:dyDescent="0.25">
      <c r="S5590" s="24">
        <f t="shared" si="391"/>
        <v>0.02</v>
      </c>
    </row>
    <row r="5591" spans="19:19" x14ac:dyDescent="0.25">
      <c r="S5591" s="24">
        <f t="shared" si="391"/>
        <v>0.02</v>
      </c>
    </row>
    <row r="5592" spans="19:19" x14ac:dyDescent="0.25">
      <c r="S5592" s="24">
        <f t="shared" si="391"/>
        <v>0.02</v>
      </c>
    </row>
    <row r="5593" spans="19:19" x14ac:dyDescent="0.25">
      <c r="S5593" s="24">
        <f t="shared" si="391"/>
        <v>0.02</v>
      </c>
    </row>
    <row r="5594" spans="19:19" x14ac:dyDescent="0.25">
      <c r="S5594" s="24">
        <f t="shared" si="391"/>
        <v>0.02</v>
      </c>
    </row>
    <row r="5595" spans="19:19" x14ac:dyDescent="0.25">
      <c r="S5595" s="24">
        <f t="shared" si="391"/>
        <v>0.02</v>
      </c>
    </row>
    <row r="5596" spans="19:19" x14ac:dyDescent="0.25">
      <c r="S5596" s="24">
        <f t="shared" si="391"/>
        <v>0.02</v>
      </c>
    </row>
    <row r="5597" spans="19:19" x14ac:dyDescent="0.25">
      <c r="S5597" s="24">
        <f t="shared" si="391"/>
        <v>0.02</v>
      </c>
    </row>
    <row r="5598" spans="19:19" x14ac:dyDescent="0.25">
      <c r="S5598" s="24">
        <f t="shared" si="391"/>
        <v>0.02</v>
      </c>
    </row>
    <row r="5599" spans="19:19" x14ac:dyDescent="0.25">
      <c r="S5599" s="24">
        <f t="shared" si="391"/>
        <v>0.02</v>
      </c>
    </row>
    <row r="5600" spans="19:19" x14ac:dyDescent="0.25">
      <c r="S5600" s="24">
        <f t="shared" si="391"/>
        <v>0.02</v>
      </c>
    </row>
    <row r="5601" spans="19:19" x14ac:dyDescent="0.25">
      <c r="S5601" s="24">
        <f t="shared" si="391"/>
        <v>0.02</v>
      </c>
    </row>
    <row r="5602" spans="19:19" x14ac:dyDescent="0.25">
      <c r="S5602" s="24">
        <f t="shared" si="391"/>
        <v>0.02</v>
      </c>
    </row>
    <row r="5603" spans="19:19" x14ac:dyDescent="0.25">
      <c r="S5603" s="24">
        <f t="shared" si="391"/>
        <v>0.02</v>
      </c>
    </row>
    <row r="5604" spans="19:19" x14ac:dyDescent="0.25">
      <c r="S5604" s="24">
        <f t="shared" si="391"/>
        <v>0.02</v>
      </c>
    </row>
    <row r="5605" spans="19:19" x14ac:dyDescent="0.25">
      <c r="S5605" s="24">
        <f t="shared" si="391"/>
        <v>0.02</v>
      </c>
    </row>
    <row r="5606" spans="19:19" x14ac:dyDescent="0.25">
      <c r="S5606" s="24">
        <f t="shared" si="391"/>
        <v>0.02</v>
      </c>
    </row>
    <row r="5607" spans="19:19" x14ac:dyDescent="0.25">
      <c r="S5607" s="24">
        <f t="shared" si="391"/>
        <v>0.02</v>
      </c>
    </row>
    <row r="5608" spans="19:19" x14ac:dyDescent="0.25">
      <c r="S5608" s="24">
        <f t="shared" si="391"/>
        <v>0.02</v>
      </c>
    </row>
    <row r="5609" spans="19:19" x14ac:dyDescent="0.25">
      <c r="S5609" s="24">
        <f t="shared" si="391"/>
        <v>0.02</v>
      </c>
    </row>
    <row r="5610" spans="19:19" x14ac:dyDescent="0.25">
      <c r="S5610" s="24">
        <f t="shared" si="391"/>
        <v>0.02</v>
      </c>
    </row>
    <row r="5611" spans="19:19" x14ac:dyDescent="0.25">
      <c r="S5611" s="24">
        <f t="shared" si="391"/>
        <v>0.02</v>
      </c>
    </row>
    <row r="5612" spans="19:19" x14ac:dyDescent="0.25">
      <c r="S5612" s="24">
        <f t="shared" si="391"/>
        <v>0.02</v>
      </c>
    </row>
    <row r="5613" spans="19:19" x14ac:dyDescent="0.25">
      <c r="S5613" s="24">
        <f t="shared" si="391"/>
        <v>0.02</v>
      </c>
    </row>
    <row r="5614" spans="19:19" x14ac:dyDescent="0.25">
      <c r="S5614" s="24">
        <f t="shared" si="391"/>
        <v>0.02</v>
      </c>
    </row>
    <row r="5615" spans="19:19" x14ac:dyDescent="0.25">
      <c r="S5615" s="24">
        <f t="shared" si="391"/>
        <v>0.02</v>
      </c>
    </row>
    <row r="5616" spans="19:19" x14ac:dyDescent="0.25">
      <c r="S5616" s="24">
        <f t="shared" si="391"/>
        <v>0.02</v>
      </c>
    </row>
    <row r="5617" spans="19:19" x14ac:dyDescent="0.25">
      <c r="S5617" s="24">
        <f t="shared" si="391"/>
        <v>0.02</v>
      </c>
    </row>
    <row r="5618" spans="19:19" x14ac:dyDescent="0.25">
      <c r="S5618" s="24">
        <f t="shared" si="391"/>
        <v>0.02</v>
      </c>
    </row>
    <row r="5619" spans="19:19" x14ac:dyDescent="0.25">
      <c r="S5619" s="24">
        <f t="shared" si="391"/>
        <v>0.02</v>
      </c>
    </row>
    <row r="5620" spans="19:19" x14ac:dyDescent="0.25">
      <c r="S5620" s="24">
        <f t="shared" si="391"/>
        <v>0.02</v>
      </c>
    </row>
    <row r="5621" spans="19:19" x14ac:dyDescent="0.25">
      <c r="S5621" s="24">
        <f t="shared" si="391"/>
        <v>0.02</v>
      </c>
    </row>
    <row r="5622" spans="19:19" x14ac:dyDescent="0.25">
      <c r="S5622" s="24">
        <f t="shared" si="391"/>
        <v>0.02</v>
      </c>
    </row>
    <row r="5623" spans="19:19" x14ac:dyDescent="0.25">
      <c r="S5623" s="24">
        <f t="shared" si="391"/>
        <v>0.02</v>
      </c>
    </row>
    <row r="5624" spans="19:19" x14ac:dyDescent="0.25">
      <c r="S5624" s="24">
        <f t="shared" si="391"/>
        <v>0.02</v>
      </c>
    </row>
    <row r="5625" spans="19:19" x14ac:dyDescent="0.25">
      <c r="S5625" s="24">
        <f t="shared" si="391"/>
        <v>0.02</v>
      </c>
    </row>
    <row r="5626" spans="19:19" x14ac:dyDescent="0.25">
      <c r="S5626" s="24">
        <f t="shared" si="391"/>
        <v>0.02</v>
      </c>
    </row>
    <row r="5627" spans="19:19" x14ac:dyDescent="0.25">
      <c r="S5627" s="24">
        <f t="shared" si="391"/>
        <v>0.02</v>
      </c>
    </row>
    <row r="5628" spans="19:19" x14ac:dyDescent="0.25">
      <c r="S5628" s="24">
        <f t="shared" si="391"/>
        <v>0.02</v>
      </c>
    </row>
    <row r="5629" spans="19:19" x14ac:dyDescent="0.25">
      <c r="S5629" s="24">
        <f t="shared" si="391"/>
        <v>0.02</v>
      </c>
    </row>
    <row r="5630" spans="19:19" x14ac:dyDescent="0.25">
      <c r="S5630" s="24">
        <f t="shared" si="391"/>
        <v>0.02</v>
      </c>
    </row>
    <row r="5631" spans="19:19" x14ac:dyDescent="0.25">
      <c r="S5631" s="24">
        <f t="shared" si="391"/>
        <v>0.02</v>
      </c>
    </row>
    <row r="5632" spans="19:19" x14ac:dyDescent="0.25">
      <c r="S5632" s="24">
        <f t="shared" si="391"/>
        <v>0.02</v>
      </c>
    </row>
    <row r="5633" spans="19:19" x14ac:dyDescent="0.25">
      <c r="S5633" s="24">
        <f t="shared" si="391"/>
        <v>0.02</v>
      </c>
    </row>
    <row r="5634" spans="19:19" x14ac:dyDescent="0.25">
      <c r="S5634" s="24">
        <f t="shared" si="391"/>
        <v>0.02</v>
      </c>
    </row>
    <row r="5635" spans="19:19" x14ac:dyDescent="0.25">
      <c r="S5635" s="24">
        <f t="shared" si="391"/>
        <v>0.02</v>
      </c>
    </row>
    <row r="5636" spans="19:19" x14ac:dyDescent="0.25">
      <c r="S5636" s="24">
        <f t="shared" si="391"/>
        <v>0.02</v>
      </c>
    </row>
    <row r="5637" spans="19:19" x14ac:dyDescent="0.25">
      <c r="S5637" s="24">
        <f t="shared" si="391"/>
        <v>0.02</v>
      </c>
    </row>
    <row r="5638" spans="19:19" x14ac:dyDescent="0.25">
      <c r="S5638" s="24">
        <f t="shared" si="391"/>
        <v>0.02</v>
      </c>
    </row>
    <row r="5639" spans="19:19" x14ac:dyDescent="0.25">
      <c r="S5639" s="24">
        <f t="shared" si="391"/>
        <v>0.02</v>
      </c>
    </row>
    <row r="5640" spans="19:19" x14ac:dyDescent="0.25">
      <c r="S5640" s="24">
        <f t="shared" si="391"/>
        <v>0.02</v>
      </c>
    </row>
    <row r="5641" spans="19:19" x14ac:dyDescent="0.25">
      <c r="S5641" s="24">
        <f t="shared" si="391"/>
        <v>0.02</v>
      </c>
    </row>
    <row r="5642" spans="19:19" x14ac:dyDescent="0.25">
      <c r="S5642" s="24">
        <f t="shared" si="391"/>
        <v>0.02</v>
      </c>
    </row>
    <row r="5643" spans="19:19" x14ac:dyDescent="0.25">
      <c r="S5643" s="24">
        <f t="shared" ref="S5643:S5706" si="392">VLOOKUP(N5643,$T$1:$U$7,2,TRUE)</f>
        <v>0.02</v>
      </c>
    </row>
    <row r="5644" spans="19:19" x14ac:dyDescent="0.25">
      <c r="S5644" s="24">
        <f t="shared" si="392"/>
        <v>0.02</v>
      </c>
    </row>
    <row r="5645" spans="19:19" x14ac:dyDescent="0.25">
      <c r="S5645" s="24">
        <f t="shared" si="392"/>
        <v>0.02</v>
      </c>
    </row>
    <row r="5646" spans="19:19" x14ac:dyDescent="0.25">
      <c r="S5646" s="24">
        <f t="shared" si="392"/>
        <v>0.02</v>
      </c>
    </row>
    <row r="5647" spans="19:19" x14ac:dyDescent="0.25">
      <c r="S5647" s="24">
        <f t="shared" si="392"/>
        <v>0.02</v>
      </c>
    </row>
    <row r="5648" spans="19:19" x14ac:dyDescent="0.25">
      <c r="S5648" s="24">
        <f t="shared" si="392"/>
        <v>0.02</v>
      </c>
    </row>
    <row r="5649" spans="19:19" x14ac:dyDescent="0.25">
      <c r="S5649" s="24">
        <f t="shared" si="392"/>
        <v>0.02</v>
      </c>
    </row>
    <row r="5650" spans="19:19" x14ac:dyDescent="0.25">
      <c r="S5650" s="24">
        <f t="shared" si="392"/>
        <v>0.02</v>
      </c>
    </row>
    <row r="5651" spans="19:19" x14ac:dyDescent="0.25">
      <c r="S5651" s="24">
        <f t="shared" si="392"/>
        <v>0.02</v>
      </c>
    </row>
    <row r="5652" spans="19:19" x14ac:dyDescent="0.25">
      <c r="S5652" s="24">
        <f t="shared" si="392"/>
        <v>0.02</v>
      </c>
    </row>
    <row r="5653" spans="19:19" x14ac:dyDescent="0.25">
      <c r="S5653" s="24">
        <f t="shared" si="392"/>
        <v>0.02</v>
      </c>
    </row>
    <row r="5654" spans="19:19" x14ac:dyDescent="0.25">
      <c r="S5654" s="24">
        <f t="shared" si="392"/>
        <v>0.02</v>
      </c>
    </row>
    <row r="5655" spans="19:19" x14ac:dyDescent="0.25">
      <c r="S5655" s="24">
        <f t="shared" si="392"/>
        <v>0.02</v>
      </c>
    </row>
    <row r="5656" spans="19:19" x14ac:dyDescent="0.25">
      <c r="S5656" s="24">
        <f t="shared" si="392"/>
        <v>0.02</v>
      </c>
    </row>
    <row r="5657" spans="19:19" x14ac:dyDescent="0.25">
      <c r="S5657" s="24">
        <f t="shared" si="392"/>
        <v>0.02</v>
      </c>
    </row>
    <row r="5658" spans="19:19" x14ac:dyDescent="0.25">
      <c r="S5658" s="24">
        <f t="shared" si="392"/>
        <v>0.02</v>
      </c>
    </row>
    <row r="5659" spans="19:19" x14ac:dyDescent="0.25">
      <c r="S5659" s="24">
        <f t="shared" si="392"/>
        <v>0.02</v>
      </c>
    </row>
    <row r="5660" spans="19:19" x14ac:dyDescent="0.25">
      <c r="S5660" s="24">
        <f t="shared" si="392"/>
        <v>0.02</v>
      </c>
    </row>
    <row r="5661" spans="19:19" x14ac:dyDescent="0.25">
      <c r="S5661" s="24">
        <f t="shared" si="392"/>
        <v>0.02</v>
      </c>
    </row>
    <row r="5662" spans="19:19" x14ac:dyDescent="0.25">
      <c r="S5662" s="24">
        <f t="shared" si="392"/>
        <v>0.02</v>
      </c>
    </row>
    <row r="5663" spans="19:19" x14ac:dyDescent="0.25">
      <c r="S5663" s="24">
        <f t="shared" si="392"/>
        <v>0.02</v>
      </c>
    </row>
    <row r="5664" spans="19:19" x14ac:dyDescent="0.25">
      <c r="S5664" s="24">
        <f t="shared" si="392"/>
        <v>0.02</v>
      </c>
    </row>
    <row r="5665" spans="19:19" x14ac:dyDescent="0.25">
      <c r="S5665" s="24">
        <f t="shared" si="392"/>
        <v>0.02</v>
      </c>
    </row>
    <row r="5666" spans="19:19" x14ac:dyDescent="0.25">
      <c r="S5666" s="24">
        <f t="shared" si="392"/>
        <v>0.02</v>
      </c>
    </row>
    <row r="5667" spans="19:19" x14ac:dyDescent="0.25">
      <c r="S5667" s="24">
        <f t="shared" si="392"/>
        <v>0.02</v>
      </c>
    </row>
    <row r="5668" spans="19:19" x14ac:dyDescent="0.25">
      <c r="S5668" s="24">
        <f t="shared" si="392"/>
        <v>0.02</v>
      </c>
    </row>
    <row r="5669" spans="19:19" x14ac:dyDescent="0.25">
      <c r="S5669" s="24">
        <f t="shared" si="392"/>
        <v>0.02</v>
      </c>
    </row>
    <row r="5670" spans="19:19" x14ac:dyDescent="0.25">
      <c r="S5670" s="24">
        <f t="shared" si="392"/>
        <v>0.02</v>
      </c>
    </row>
    <row r="5671" spans="19:19" x14ac:dyDescent="0.25">
      <c r="S5671" s="24">
        <f t="shared" si="392"/>
        <v>0.02</v>
      </c>
    </row>
    <row r="5672" spans="19:19" x14ac:dyDescent="0.25">
      <c r="S5672" s="24">
        <f t="shared" si="392"/>
        <v>0.02</v>
      </c>
    </row>
    <row r="5673" spans="19:19" x14ac:dyDescent="0.25">
      <c r="S5673" s="24">
        <f t="shared" si="392"/>
        <v>0.02</v>
      </c>
    </row>
    <row r="5674" spans="19:19" x14ac:dyDescent="0.25">
      <c r="S5674" s="24">
        <f t="shared" si="392"/>
        <v>0.02</v>
      </c>
    </row>
    <row r="5675" spans="19:19" x14ac:dyDescent="0.25">
      <c r="S5675" s="24">
        <f t="shared" si="392"/>
        <v>0.02</v>
      </c>
    </row>
    <row r="5676" spans="19:19" x14ac:dyDescent="0.25">
      <c r="S5676" s="24">
        <f t="shared" si="392"/>
        <v>0.02</v>
      </c>
    </row>
    <row r="5677" spans="19:19" x14ac:dyDescent="0.25">
      <c r="S5677" s="24">
        <f t="shared" si="392"/>
        <v>0.02</v>
      </c>
    </row>
    <row r="5678" spans="19:19" x14ac:dyDescent="0.25">
      <c r="S5678" s="24">
        <f t="shared" si="392"/>
        <v>0.02</v>
      </c>
    </row>
    <row r="5679" spans="19:19" x14ac:dyDescent="0.25">
      <c r="S5679" s="24">
        <f t="shared" si="392"/>
        <v>0.02</v>
      </c>
    </row>
    <row r="5680" spans="19:19" x14ac:dyDescent="0.25">
      <c r="S5680" s="24">
        <f t="shared" si="392"/>
        <v>0.02</v>
      </c>
    </row>
    <row r="5681" spans="19:19" x14ac:dyDescent="0.25">
      <c r="S5681" s="24">
        <f t="shared" si="392"/>
        <v>0.02</v>
      </c>
    </row>
    <row r="5682" spans="19:19" x14ac:dyDescent="0.25">
      <c r="S5682" s="24">
        <f t="shared" si="392"/>
        <v>0.02</v>
      </c>
    </row>
    <row r="5683" spans="19:19" x14ac:dyDescent="0.25">
      <c r="S5683" s="24">
        <f t="shared" si="392"/>
        <v>0.02</v>
      </c>
    </row>
    <row r="5684" spans="19:19" x14ac:dyDescent="0.25">
      <c r="S5684" s="24">
        <f t="shared" si="392"/>
        <v>0.02</v>
      </c>
    </row>
    <row r="5685" spans="19:19" x14ac:dyDescent="0.25">
      <c r="S5685" s="24">
        <f t="shared" si="392"/>
        <v>0.02</v>
      </c>
    </row>
    <row r="5686" spans="19:19" x14ac:dyDescent="0.25">
      <c r="S5686" s="24">
        <f t="shared" si="392"/>
        <v>0.02</v>
      </c>
    </row>
    <row r="5687" spans="19:19" x14ac:dyDescent="0.25">
      <c r="S5687" s="24">
        <f t="shared" si="392"/>
        <v>0.02</v>
      </c>
    </row>
    <row r="5688" spans="19:19" x14ac:dyDescent="0.25">
      <c r="S5688" s="24">
        <f t="shared" si="392"/>
        <v>0.02</v>
      </c>
    </row>
    <row r="5689" spans="19:19" x14ac:dyDescent="0.25">
      <c r="S5689" s="24">
        <f t="shared" si="392"/>
        <v>0.02</v>
      </c>
    </row>
    <row r="5690" spans="19:19" x14ac:dyDescent="0.25">
      <c r="S5690" s="24">
        <f t="shared" si="392"/>
        <v>0.02</v>
      </c>
    </row>
    <row r="5691" spans="19:19" x14ac:dyDescent="0.25">
      <c r="S5691" s="24">
        <f t="shared" si="392"/>
        <v>0.02</v>
      </c>
    </row>
    <row r="5692" spans="19:19" x14ac:dyDescent="0.25">
      <c r="S5692" s="24">
        <f t="shared" si="392"/>
        <v>0.02</v>
      </c>
    </row>
    <row r="5693" spans="19:19" x14ac:dyDescent="0.25">
      <c r="S5693" s="24">
        <f t="shared" si="392"/>
        <v>0.02</v>
      </c>
    </row>
    <row r="5694" spans="19:19" x14ac:dyDescent="0.25">
      <c r="S5694" s="24">
        <f t="shared" si="392"/>
        <v>0.02</v>
      </c>
    </row>
    <row r="5695" spans="19:19" x14ac:dyDescent="0.25">
      <c r="S5695" s="24">
        <f t="shared" si="392"/>
        <v>0.02</v>
      </c>
    </row>
    <row r="5696" spans="19:19" x14ac:dyDescent="0.25">
      <c r="S5696" s="24">
        <f t="shared" si="392"/>
        <v>0.02</v>
      </c>
    </row>
    <row r="5697" spans="19:19" x14ac:dyDescent="0.25">
      <c r="S5697" s="24">
        <f t="shared" si="392"/>
        <v>0.02</v>
      </c>
    </row>
    <row r="5698" spans="19:19" x14ac:dyDescent="0.25">
      <c r="S5698" s="24">
        <f t="shared" si="392"/>
        <v>0.02</v>
      </c>
    </row>
    <row r="5699" spans="19:19" x14ac:dyDescent="0.25">
      <c r="S5699" s="24">
        <f t="shared" si="392"/>
        <v>0.02</v>
      </c>
    </row>
    <row r="5700" spans="19:19" x14ac:dyDescent="0.25">
      <c r="S5700" s="24">
        <f t="shared" si="392"/>
        <v>0.02</v>
      </c>
    </row>
    <row r="5701" spans="19:19" x14ac:dyDescent="0.25">
      <c r="S5701" s="24">
        <f t="shared" si="392"/>
        <v>0.02</v>
      </c>
    </row>
    <row r="5702" spans="19:19" x14ac:dyDescent="0.25">
      <c r="S5702" s="24">
        <f t="shared" si="392"/>
        <v>0.02</v>
      </c>
    </row>
    <row r="5703" spans="19:19" x14ac:dyDescent="0.25">
      <c r="S5703" s="24">
        <f t="shared" si="392"/>
        <v>0.02</v>
      </c>
    </row>
    <row r="5704" spans="19:19" x14ac:dyDescent="0.25">
      <c r="S5704" s="24">
        <f t="shared" si="392"/>
        <v>0.02</v>
      </c>
    </row>
    <row r="5705" spans="19:19" x14ac:dyDescent="0.25">
      <c r="S5705" s="24">
        <f t="shared" si="392"/>
        <v>0.02</v>
      </c>
    </row>
    <row r="5706" spans="19:19" x14ac:dyDescent="0.25">
      <c r="S5706" s="24">
        <f t="shared" si="392"/>
        <v>0.02</v>
      </c>
    </row>
    <row r="5707" spans="19:19" x14ac:dyDescent="0.25">
      <c r="S5707" s="24">
        <f t="shared" ref="S5707:S5770" si="393">VLOOKUP(N5707,$T$1:$U$7,2,TRUE)</f>
        <v>0.02</v>
      </c>
    </row>
    <row r="5708" spans="19:19" x14ac:dyDescent="0.25">
      <c r="S5708" s="24">
        <f t="shared" si="393"/>
        <v>0.02</v>
      </c>
    </row>
    <row r="5709" spans="19:19" x14ac:dyDescent="0.25">
      <c r="S5709" s="24">
        <f t="shared" si="393"/>
        <v>0.02</v>
      </c>
    </row>
    <row r="5710" spans="19:19" x14ac:dyDescent="0.25">
      <c r="S5710" s="24">
        <f t="shared" si="393"/>
        <v>0.02</v>
      </c>
    </row>
    <row r="5711" spans="19:19" x14ac:dyDescent="0.25">
      <c r="S5711" s="24">
        <f t="shared" si="393"/>
        <v>0.02</v>
      </c>
    </row>
    <row r="5712" spans="19:19" x14ac:dyDescent="0.25">
      <c r="S5712" s="24">
        <f t="shared" si="393"/>
        <v>0.02</v>
      </c>
    </row>
    <row r="5713" spans="19:19" x14ac:dyDescent="0.25">
      <c r="S5713" s="24">
        <f t="shared" si="393"/>
        <v>0.02</v>
      </c>
    </row>
    <row r="5714" spans="19:19" x14ac:dyDescent="0.25">
      <c r="S5714" s="24">
        <f t="shared" si="393"/>
        <v>0.02</v>
      </c>
    </row>
    <row r="5715" spans="19:19" x14ac:dyDescent="0.25">
      <c r="S5715" s="24">
        <f t="shared" si="393"/>
        <v>0.02</v>
      </c>
    </row>
    <row r="5716" spans="19:19" x14ac:dyDescent="0.25">
      <c r="S5716" s="24">
        <f t="shared" si="393"/>
        <v>0.02</v>
      </c>
    </row>
    <row r="5717" spans="19:19" x14ac:dyDescent="0.25">
      <c r="S5717" s="24">
        <f t="shared" si="393"/>
        <v>0.02</v>
      </c>
    </row>
    <row r="5718" spans="19:19" x14ac:dyDescent="0.25">
      <c r="S5718" s="24">
        <f t="shared" si="393"/>
        <v>0.02</v>
      </c>
    </row>
    <row r="5719" spans="19:19" x14ac:dyDescent="0.25">
      <c r="S5719" s="24">
        <f t="shared" si="393"/>
        <v>0.02</v>
      </c>
    </row>
    <row r="5720" spans="19:19" x14ac:dyDescent="0.25">
      <c r="S5720" s="24">
        <f t="shared" si="393"/>
        <v>0.02</v>
      </c>
    </row>
    <row r="5721" spans="19:19" x14ac:dyDescent="0.25">
      <c r="S5721" s="24">
        <f t="shared" si="393"/>
        <v>0.02</v>
      </c>
    </row>
    <row r="5722" spans="19:19" x14ac:dyDescent="0.25">
      <c r="S5722" s="24">
        <f t="shared" si="393"/>
        <v>0.02</v>
      </c>
    </row>
    <row r="5723" spans="19:19" x14ac:dyDescent="0.25">
      <c r="S5723" s="24">
        <f t="shared" si="393"/>
        <v>0.02</v>
      </c>
    </row>
    <row r="5724" spans="19:19" x14ac:dyDescent="0.25">
      <c r="S5724" s="24">
        <f t="shared" si="393"/>
        <v>0.02</v>
      </c>
    </row>
    <row r="5725" spans="19:19" x14ac:dyDescent="0.25">
      <c r="S5725" s="24">
        <f t="shared" si="393"/>
        <v>0.02</v>
      </c>
    </row>
    <row r="5726" spans="19:19" x14ac:dyDescent="0.25">
      <c r="S5726" s="24">
        <f t="shared" si="393"/>
        <v>0.02</v>
      </c>
    </row>
    <row r="5727" spans="19:19" x14ac:dyDescent="0.25">
      <c r="S5727" s="24">
        <f t="shared" si="393"/>
        <v>0.02</v>
      </c>
    </row>
    <row r="5728" spans="19:19" x14ac:dyDescent="0.25">
      <c r="S5728" s="24">
        <f t="shared" si="393"/>
        <v>0.02</v>
      </c>
    </row>
    <row r="5729" spans="19:19" x14ac:dyDescent="0.25">
      <c r="S5729" s="24">
        <f t="shared" si="393"/>
        <v>0.02</v>
      </c>
    </row>
    <row r="5730" spans="19:19" x14ac:dyDescent="0.25">
      <c r="S5730" s="24">
        <f t="shared" si="393"/>
        <v>0.02</v>
      </c>
    </row>
    <row r="5731" spans="19:19" x14ac:dyDescent="0.25">
      <c r="S5731" s="24">
        <f t="shared" si="393"/>
        <v>0.02</v>
      </c>
    </row>
    <row r="5732" spans="19:19" x14ac:dyDescent="0.25">
      <c r="S5732" s="24">
        <f t="shared" si="393"/>
        <v>0.02</v>
      </c>
    </row>
    <row r="5733" spans="19:19" x14ac:dyDescent="0.25">
      <c r="S5733" s="24">
        <f t="shared" si="393"/>
        <v>0.02</v>
      </c>
    </row>
    <row r="5734" spans="19:19" x14ac:dyDescent="0.25">
      <c r="S5734" s="24">
        <f t="shared" si="393"/>
        <v>0.02</v>
      </c>
    </row>
    <row r="5735" spans="19:19" x14ac:dyDescent="0.25">
      <c r="S5735" s="24">
        <f t="shared" si="393"/>
        <v>0.02</v>
      </c>
    </row>
    <row r="5736" spans="19:19" x14ac:dyDescent="0.25">
      <c r="S5736" s="24">
        <f t="shared" si="393"/>
        <v>0.02</v>
      </c>
    </row>
    <row r="5737" spans="19:19" x14ac:dyDescent="0.25">
      <c r="S5737" s="24">
        <f t="shared" si="393"/>
        <v>0.02</v>
      </c>
    </row>
    <row r="5738" spans="19:19" x14ac:dyDescent="0.25">
      <c r="S5738" s="24">
        <f t="shared" si="393"/>
        <v>0.02</v>
      </c>
    </row>
    <row r="5739" spans="19:19" x14ac:dyDescent="0.25">
      <c r="S5739" s="24">
        <f t="shared" si="393"/>
        <v>0.02</v>
      </c>
    </row>
    <row r="5740" spans="19:19" x14ac:dyDescent="0.25">
      <c r="S5740" s="24">
        <f t="shared" si="393"/>
        <v>0.02</v>
      </c>
    </row>
    <row r="5741" spans="19:19" x14ac:dyDescent="0.25">
      <c r="S5741" s="24">
        <f t="shared" si="393"/>
        <v>0.02</v>
      </c>
    </row>
    <row r="5742" spans="19:19" x14ac:dyDescent="0.25">
      <c r="S5742" s="24">
        <f t="shared" si="393"/>
        <v>0.02</v>
      </c>
    </row>
    <row r="5743" spans="19:19" x14ac:dyDescent="0.25">
      <c r="S5743" s="24">
        <f t="shared" si="393"/>
        <v>0.02</v>
      </c>
    </row>
    <row r="5744" spans="19:19" x14ac:dyDescent="0.25">
      <c r="S5744" s="24">
        <f t="shared" si="393"/>
        <v>0.02</v>
      </c>
    </row>
    <row r="5745" spans="19:19" x14ac:dyDescent="0.25">
      <c r="S5745" s="24">
        <f t="shared" si="393"/>
        <v>0.02</v>
      </c>
    </row>
    <row r="5746" spans="19:19" x14ac:dyDescent="0.25">
      <c r="S5746" s="24">
        <f t="shared" si="393"/>
        <v>0.02</v>
      </c>
    </row>
    <row r="5747" spans="19:19" x14ac:dyDescent="0.25">
      <c r="S5747" s="24">
        <f t="shared" si="393"/>
        <v>0.02</v>
      </c>
    </row>
    <row r="5748" spans="19:19" x14ac:dyDescent="0.25">
      <c r="S5748" s="24">
        <f t="shared" si="393"/>
        <v>0.02</v>
      </c>
    </row>
    <row r="5749" spans="19:19" x14ac:dyDescent="0.25">
      <c r="S5749" s="24">
        <f t="shared" si="393"/>
        <v>0.02</v>
      </c>
    </row>
    <row r="5750" spans="19:19" x14ac:dyDescent="0.25">
      <c r="S5750" s="24">
        <f t="shared" si="393"/>
        <v>0.02</v>
      </c>
    </row>
    <row r="5751" spans="19:19" x14ac:dyDescent="0.25">
      <c r="S5751" s="24">
        <f t="shared" si="393"/>
        <v>0.02</v>
      </c>
    </row>
    <row r="5752" spans="19:19" x14ac:dyDescent="0.25">
      <c r="S5752" s="24">
        <f t="shared" si="393"/>
        <v>0.02</v>
      </c>
    </row>
    <row r="5753" spans="19:19" x14ac:dyDescent="0.25">
      <c r="S5753" s="24">
        <f t="shared" si="393"/>
        <v>0.02</v>
      </c>
    </row>
    <row r="5754" spans="19:19" x14ac:dyDescent="0.25">
      <c r="S5754" s="24">
        <f t="shared" si="393"/>
        <v>0.02</v>
      </c>
    </row>
    <row r="5755" spans="19:19" x14ac:dyDescent="0.25">
      <c r="S5755" s="24">
        <f t="shared" si="393"/>
        <v>0.02</v>
      </c>
    </row>
    <row r="5756" spans="19:19" x14ac:dyDescent="0.25">
      <c r="S5756" s="24">
        <f t="shared" si="393"/>
        <v>0.02</v>
      </c>
    </row>
    <row r="5757" spans="19:19" x14ac:dyDescent="0.25">
      <c r="S5757" s="24">
        <f t="shared" si="393"/>
        <v>0.02</v>
      </c>
    </row>
    <row r="5758" spans="19:19" x14ac:dyDescent="0.25">
      <c r="S5758" s="24">
        <f t="shared" si="393"/>
        <v>0.02</v>
      </c>
    </row>
    <row r="5759" spans="19:19" x14ac:dyDescent="0.25">
      <c r="S5759" s="24">
        <f t="shared" si="393"/>
        <v>0.02</v>
      </c>
    </row>
    <row r="5760" spans="19:19" x14ac:dyDescent="0.25">
      <c r="S5760" s="24">
        <f t="shared" si="393"/>
        <v>0.02</v>
      </c>
    </row>
    <row r="5761" spans="19:19" x14ac:dyDescent="0.25">
      <c r="S5761" s="24">
        <f t="shared" si="393"/>
        <v>0.02</v>
      </c>
    </row>
    <row r="5762" spans="19:19" x14ac:dyDescent="0.25">
      <c r="S5762" s="24">
        <f t="shared" si="393"/>
        <v>0.02</v>
      </c>
    </row>
    <row r="5763" spans="19:19" x14ac:dyDescent="0.25">
      <c r="S5763" s="24">
        <f t="shared" si="393"/>
        <v>0.02</v>
      </c>
    </row>
    <row r="5764" spans="19:19" x14ac:dyDescent="0.25">
      <c r="S5764" s="24">
        <f t="shared" si="393"/>
        <v>0.02</v>
      </c>
    </row>
    <row r="5765" spans="19:19" x14ac:dyDescent="0.25">
      <c r="S5765" s="24">
        <f t="shared" si="393"/>
        <v>0.02</v>
      </c>
    </row>
    <row r="5766" spans="19:19" x14ac:dyDescent="0.25">
      <c r="S5766" s="24">
        <f t="shared" si="393"/>
        <v>0.02</v>
      </c>
    </row>
    <row r="5767" spans="19:19" x14ac:dyDescent="0.25">
      <c r="S5767" s="24">
        <f t="shared" si="393"/>
        <v>0.02</v>
      </c>
    </row>
    <row r="5768" spans="19:19" x14ac:dyDescent="0.25">
      <c r="S5768" s="24">
        <f t="shared" si="393"/>
        <v>0.02</v>
      </c>
    </row>
    <row r="5769" spans="19:19" x14ac:dyDescent="0.25">
      <c r="S5769" s="24">
        <f t="shared" si="393"/>
        <v>0.02</v>
      </c>
    </row>
    <row r="5770" spans="19:19" x14ac:dyDescent="0.25">
      <c r="S5770" s="24">
        <f t="shared" si="393"/>
        <v>0.02</v>
      </c>
    </row>
    <row r="5771" spans="19:19" x14ac:dyDescent="0.25">
      <c r="S5771" s="24">
        <f t="shared" ref="S5771:S5834" si="394">VLOOKUP(N5771,$T$1:$U$7,2,TRUE)</f>
        <v>0.02</v>
      </c>
    </row>
    <row r="5772" spans="19:19" x14ac:dyDescent="0.25">
      <c r="S5772" s="24">
        <f t="shared" si="394"/>
        <v>0.02</v>
      </c>
    </row>
    <row r="5773" spans="19:19" x14ac:dyDescent="0.25">
      <c r="S5773" s="24">
        <f t="shared" si="394"/>
        <v>0.02</v>
      </c>
    </row>
    <row r="5774" spans="19:19" x14ac:dyDescent="0.25">
      <c r="S5774" s="24">
        <f t="shared" si="394"/>
        <v>0.02</v>
      </c>
    </row>
    <row r="5775" spans="19:19" x14ac:dyDescent="0.25">
      <c r="S5775" s="24">
        <f t="shared" si="394"/>
        <v>0.02</v>
      </c>
    </row>
    <row r="5776" spans="19:19" x14ac:dyDescent="0.25">
      <c r="S5776" s="24">
        <f t="shared" si="394"/>
        <v>0.02</v>
      </c>
    </row>
    <row r="5777" spans="19:19" x14ac:dyDescent="0.25">
      <c r="S5777" s="24">
        <f t="shared" si="394"/>
        <v>0.02</v>
      </c>
    </row>
    <row r="5778" spans="19:19" x14ac:dyDescent="0.25">
      <c r="S5778" s="24">
        <f t="shared" si="394"/>
        <v>0.02</v>
      </c>
    </row>
    <row r="5779" spans="19:19" x14ac:dyDescent="0.25">
      <c r="S5779" s="24">
        <f t="shared" si="394"/>
        <v>0.02</v>
      </c>
    </row>
    <row r="5780" spans="19:19" x14ac:dyDescent="0.25">
      <c r="S5780" s="24">
        <f t="shared" si="394"/>
        <v>0.02</v>
      </c>
    </row>
    <row r="5781" spans="19:19" x14ac:dyDescent="0.25">
      <c r="S5781" s="24">
        <f t="shared" si="394"/>
        <v>0.02</v>
      </c>
    </row>
    <row r="5782" spans="19:19" x14ac:dyDescent="0.25">
      <c r="S5782" s="24">
        <f t="shared" si="394"/>
        <v>0.02</v>
      </c>
    </row>
    <row r="5783" spans="19:19" x14ac:dyDescent="0.25">
      <c r="S5783" s="24">
        <f t="shared" si="394"/>
        <v>0.02</v>
      </c>
    </row>
    <row r="5784" spans="19:19" x14ac:dyDescent="0.25">
      <c r="S5784" s="24">
        <f t="shared" si="394"/>
        <v>0.02</v>
      </c>
    </row>
    <row r="5785" spans="19:19" x14ac:dyDescent="0.25">
      <c r="S5785" s="24">
        <f t="shared" si="394"/>
        <v>0.02</v>
      </c>
    </row>
    <row r="5786" spans="19:19" x14ac:dyDescent="0.25">
      <c r="S5786" s="24">
        <f t="shared" si="394"/>
        <v>0.02</v>
      </c>
    </row>
    <row r="5787" spans="19:19" x14ac:dyDescent="0.25">
      <c r="S5787" s="24">
        <f t="shared" si="394"/>
        <v>0.02</v>
      </c>
    </row>
    <row r="5788" spans="19:19" x14ac:dyDescent="0.25">
      <c r="S5788" s="24">
        <f t="shared" si="394"/>
        <v>0.02</v>
      </c>
    </row>
    <row r="5789" spans="19:19" x14ac:dyDescent="0.25">
      <c r="S5789" s="24">
        <f t="shared" si="394"/>
        <v>0.02</v>
      </c>
    </row>
    <row r="5790" spans="19:19" x14ac:dyDescent="0.25">
      <c r="S5790" s="24">
        <f t="shared" si="394"/>
        <v>0.02</v>
      </c>
    </row>
    <row r="5791" spans="19:19" x14ac:dyDescent="0.25">
      <c r="S5791" s="24">
        <f t="shared" si="394"/>
        <v>0.02</v>
      </c>
    </row>
    <row r="5792" spans="19:19" x14ac:dyDescent="0.25">
      <c r="S5792" s="24">
        <f t="shared" si="394"/>
        <v>0.02</v>
      </c>
    </row>
    <row r="5793" spans="19:19" x14ac:dyDescent="0.25">
      <c r="S5793" s="24">
        <f t="shared" si="394"/>
        <v>0.02</v>
      </c>
    </row>
    <row r="5794" spans="19:19" x14ac:dyDescent="0.25">
      <c r="S5794" s="24">
        <f t="shared" si="394"/>
        <v>0.02</v>
      </c>
    </row>
    <row r="5795" spans="19:19" x14ac:dyDescent="0.25">
      <c r="S5795" s="24">
        <f t="shared" si="394"/>
        <v>0.02</v>
      </c>
    </row>
    <row r="5796" spans="19:19" x14ac:dyDescent="0.25">
      <c r="S5796" s="24">
        <f t="shared" si="394"/>
        <v>0.02</v>
      </c>
    </row>
    <row r="5797" spans="19:19" x14ac:dyDescent="0.25">
      <c r="S5797" s="24">
        <f t="shared" si="394"/>
        <v>0.02</v>
      </c>
    </row>
    <row r="5798" spans="19:19" x14ac:dyDescent="0.25">
      <c r="S5798" s="24">
        <f t="shared" si="394"/>
        <v>0.02</v>
      </c>
    </row>
    <row r="5799" spans="19:19" x14ac:dyDescent="0.25">
      <c r="S5799" s="24">
        <f t="shared" si="394"/>
        <v>0.02</v>
      </c>
    </row>
    <row r="5800" spans="19:19" x14ac:dyDescent="0.25">
      <c r="S5800" s="24">
        <f t="shared" si="394"/>
        <v>0.02</v>
      </c>
    </row>
    <row r="5801" spans="19:19" x14ac:dyDescent="0.25">
      <c r="S5801" s="24">
        <f t="shared" si="394"/>
        <v>0.02</v>
      </c>
    </row>
    <row r="5802" spans="19:19" x14ac:dyDescent="0.25">
      <c r="S5802" s="24">
        <f t="shared" si="394"/>
        <v>0.02</v>
      </c>
    </row>
    <row r="5803" spans="19:19" x14ac:dyDescent="0.25">
      <c r="S5803" s="24">
        <f t="shared" si="394"/>
        <v>0.02</v>
      </c>
    </row>
    <row r="5804" spans="19:19" x14ac:dyDescent="0.25">
      <c r="S5804" s="24">
        <f t="shared" si="394"/>
        <v>0.02</v>
      </c>
    </row>
    <row r="5805" spans="19:19" x14ac:dyDescent="0.25">
      <c r="S5805" s="24">
        <f t="shared" si="394"/>
        <v>0.02</v>
      </c>
    </row>
    <row r="5806" spans="19:19" x14ac:dyDescent="0.25">
      <c r="S5806" s="24">
        <f t="shared" si="394"/>
        <v>0.02</v>
      </c>
    </row>
    <row r="5807" spans="19:19" x14ac:dyDescent="0.25">
      <c r="S5807" s="24">
        <f t="shared" si="394"/>
        <v>0.02</v>
      </c>
    </row>
    <row r="5808" spans="19:19" x14ac:dyDescent="0.25">
      <c r="S5808" s="24">
        <f t="shared" si="394"/>
        <v>0.02</v>
      </c>
    </row>
    <row r="5809" spans="19:19" x14ac:dyDescent="0.25">
      <c r="S5809" s="24">
        <f t="shared" si="394"/>
        <v>0.02</v>
      </c>
    </row>
    <row r="5810" spans="19:19" x14ac:dyDescent="0.25">
      <c r="S5810" s="24">
        <f t="shared" si="394"/>
        <v>0.02</v>
      </c>
    </row>
    <row r="5811" spans="19:19" x14ac:dyDescent="0.25">
      <c r="S5811" s="24">
        <f t="shared" si="394"/>
        <v>0.02</v>
      </c>
    </row>
    <row r="5812" spans="19:19" x14ac:dyDescent="0.25">
      <c r="S5812" s="24">
        <f t="shared" si="394"/>
        <v>0.02</v>
      </c>
    </row>
    <row r="5813" spans="19:19" x14ac:dyDescent="0.25">
      <c r="S5813" s="24">
        <f t="shared" si="394"/>
        <v>0.02</v>
      </c>
    </row>
    <row r="5814" spans="19:19" x14ac:dyDescent="0.25">
      <c r="S5814" s="24">
        <f t="shared" si="394"/>
        <v>0.02</v>
      </c>
    </row>
    <row r="5815" spans="19:19" x14ac:dyDescent="0.25">
      <c r="S5815" s="24">
        <f t="shared" si="394"/>
        <v>0.02</v>
      </c>
    </row>
    <row r="5816" spans="19:19" x14ac:dyDescent="0.25">
      <c r="S5816" s="24">
        <f t="shared" si="394"/>
        <v>0.02</v>
      </c>
    </row>
    <row r="5817" spans="19:19" x14ac:dyDescent="0.25">
      <c r="S5817" s="24">
        <f t="shared" si="394"/>
        <v>0.02</v>
      </c>
    </row>
    <row r="5818" spans="19:19" x14ac:dyDescent="0.25">
      <c r="S5818" s="24">
        <f t="shared" si="394"/>
        <v>0.02</v>
      </c>
    </row>
    <row r="5819" spans="19:19" x14ac:dyDescent="0.25">
      <c r="S5819" s="24">
        <f t="shared" si="394"/>
        <v>0.02</v>
      </c>
    </row>
    <row r="5820" spans="19:19" x14ac:dyDescent="0.25">
      <c r="S5820" s="24">
        <f t="shared" si="394"/>
        <v>0.02</v>
      </c>
    </row>
    <row r="5821" spans="19:19" x14ac:dyDescent="0.25">
      <c r="S5821" s="24">
        <f t="shared" si="394"/>
        <v>0.02</v>
      </c>
    </row>
    <row r="5822" spans="19:19" x14ac:dyDescent="0.25">
      <c r="S5822" s="24">
        <f t="shared" si="394"/>
        <v>0.02</v>
      </c>
    </row>
    <row r="5823" spans="19:19" x14ac:dyDescent="0.25">
      <c r="S5823" s="24">
        <f t="shared" si="394"/>
        <v>0.02</v>
      </c>
    </row>
    <row r="5824" spans="19:19" x14ac:dyDescent="0.25">
      <c r="S5824" s="24">
        <f t="shared" si="394"/>
        <v>0.02</v>
      </c>
    </row>
    <row r="5825" spans="19:19" x14ac:dyDescent="0.25">
      <c r="S5825" s="24">
        <f t="shared" si="394"/>
        <v>0.02</v>
      </c>
    </row>
    <row r="5826" spans="19:19" x14ac:dyDescent="0.25">
      <c r="S5826" s="24">
        <f t="shared" si="394"/>
        <v>0.02</v>
      </c>
    </row>
    <row r="5827" spans="19:19" x14ac:dyDescent="0.25">
      <c r="S5827" s="24">
        <f t="shared" si="394"/>
        <v>0.02</v>
      </c>
    </row>
    <row r="5828" spans="19:19" x14ac:dyDescent="0.25">
      <c r="S5828" s="24">
        <f t="shared" si="394"/>
        <v>0.02</v>
      </c>
    </row>
    <row r="5829" spans="19:19" x14ac:dyDescent="0.25">
      <c r="S5829" s="24">
        <f t="shared" si="394"/>
        <v>0.02</v>
      </c>
    </row>
    <row r="5830" spans="19:19" x14ac:dyDescent="0.25">
      <c r="S5830" s="24">
        <f t="shared" si="394"/>
        <v>0.02</v>
      </c>
    </row>
    <row r="5831" spans="19:19" x14ac:dyDescent="0.25">
      <c r="S5831" s="24">
        <f t="shared" si="394"/>
        <v>0.02</v>
      </c>
    </row>
    <row r="5832" spans="19:19" x14ac:dyDescent="0.25">
      <c r="S5832" s="24">
        <f t="shared" si="394"/>
        <v>0.02</v>
      </c>
    </row>
    <row r="5833" spans="19:19" x14ac:dyDescent="0.25">
      <c r="S5833" s="24">
        <f t="shared" si="394"/>
        <v>0.02</v>
      </c>
    </row>
    <row r="5834" spans="19:19" x14ac:dyDescent="0.25">
      <c r="S5834" s="24">
        <f t="shared" si="394"/>
        <v>0.02</v>
      </c>
    </row>
    <row r="5835" spans="19:19" x14ac:dyDescent="0.25">
      <c r="S5835" s="24">
        <f t="shared" ref="S5835:S5898" si="395">VLOOKUP(N5835,$T$1:$U$7,2,TRUE)</f>
        <v>0.02</v>
      </c>
    </row>
    <row r="5836" spans="19:19" x14ac:dyDescent="0.25">
      <c r="S5836" s="24">
        <f t="shared" si="395"/>
        <v>0.02</v>
      </c>
    </row>
    <row r="5837" spans="19:19" x14ac:dyDescent="0.25">
      <c r="S5837" s="24">
        <f t="shared" si="395"/>
        <v>0.02</v>
      </c>
    </row>
    <row r="5838" spans="19:19" x14ac:dyDescent="0.25">
      <c r="S5838" s="24">
        <f t="shared" si="395"/>
        <v>0.02</v>
      </c>
    </row>
    <row r="5839" spans="19:19" x14ac:dyDescent="0.25">
      <c r="S5839" s="24">
        <f t="shared" si="395"/>
        <v>0.02</v>
      </c>
    </row>
    <row r="5840" spans="19:19" x14ac:dyDescent="0.25">
      <c r="S5840" s="24">
        <f t="shared" si="395"/>
        <v>0.02</v>
      </c>
    </row>
    <row r="5841" spans="19:19" x14ac:dyDescent="0.25">
      <c r="S5841" s="24">
        <f t="shared" si="395"/>
        <v>0.02</v>
      </c>
    </row>
    <row r="5842" spans="19:19" x14ac:dyDescent="0.25">
      <c r="S5842" s="24">
        <f t="shared" si="395"/>
        <v>0.02</v>
      </c>
    </row>
    <row r="5843" spans="19:19" x14ac:dyDescent="0.25">
      <c r="S5843" s="24">
        <f t="shared" si="395"/>
        <v>0.02</v>
      </c>
    </row>
    <row r="5844" spans="19:19" x14ac:dyDescent="0.25">
      <c r="S5844" s="24">
        <f t="shared" si="395"/>
        <v>0.02</v>
      </c>
    </row>
    <row r="5845" spans="19:19" x14ac:dyDescent="0.25">
      <c r="S5845" s="24">
        <f t="shared" si="395"/>
        <v>0.02</v>
      </c>
    </row>
    <row r="5846" spans="19:19" x14ac:dyDescent="0.25">
      <c r="S5846" s="24">
        <f t="shared" si="395"/>
        <v>0.02</v>
      </c>
    </row>
    <row r="5847" spans="19:19" x14ac:dyDescent="0.25">
      <c r="S5847" s="24">
        <f t="shared" si="395"/>
        <v>0.02</v>
      </c>
    </row>
    <row r="5848" spans="19:19" x14ac:dyDescent="0.25">
      <c r="S5848" s="24">
        <f t="shared" si="395"/>
        <v>0.02</v>
      </c>
    </row>
    <row r="5849" spans="19:19" x14ac:dyDescent="0.25">
      <c r="S5849" s="24">
        <f t="shared" si="395"/>
        <v>0.02</v>
      </c>
    </row>
    <row r="5850" spans="19:19" x14ac:dyDescent="0.25">
      <c r="S5850" s="24">
        <f t="shared" si="395"/>
        <v>0.02</v>
      </c>
    </row>
    <row r="5851" spans="19:19" x14ac:dyDescent="0.25">
      <c r="S5851" s="24">
        <f t="shared" si="395"/>
        <v>0.02</v>
      </c>
    </row>
    <row r="5852" spans="19:19" x14ac:dyDescent="0.25">
      <c r="S5852" s="24">
        <f t="shared" si="395"/>
        <v>0.02</v>
      </c>
    </row>
    <row r="5853" spans="19:19" x14ac:dyDescent="0.25">
      <c r="S5853" s="24">
        <f t="shared" si="395"/>
        <v>0.02</v>
      </c>
    </row>
    <row r="5854" spans="19:19" x14ac:dyDescent="0.25">
      <c r="S5854" s="24">
        <f t="shared" si="395"/>
        <v>0.02</v>
      </c>
    </row>
    <row r="5855" spans="19:19" x14ac:dyDescent="0.25">
      <c r="S5855" s="24">
        <f t="shared" si="395"/>
        <v>0.02</v>
      </c>
    </row>
    <row r="5856" spans="19:19" x14ac:dyDescent="0.25">
      <c r="S5856" s="24">
        <f t="shared" si="395"/>
        <v>0.02</v>
      </c>
    </row>
    <row r="5857" spans="19:19" x14ac:dyDescent="0.25">
      <c r="S5857" s="24">
        <f t="shared" si="395"/>
        <v>0.02</v>
      </c>
    </row>
    <row r="5858" spans="19:19" x14ac:dyDescent="0.25">
      <c r="S5858" s="24">
        <f t="shared" si="395"/>
        <v>0.02</v>
      </c>
    </row>
    <row r="5859" spans="19:19" x14ac:dyDescent="0.25">
      <c r="S5859" s="24">
        <f t="shared" si="395"/>
        <v>0.02</v>
      </c>
    </row>
    <row r="5860" spans="19:19" x14ac:dyDescent="0.25">
      <c r="S5860" s="24">
        <f t="shared" si="395"/>
        <v>0.02</v>
      </c>
    </row>
    <row r="5861" spans="19:19" x14ac:dyDescent="0.25">
      <c r="S5861" s="24">
        <f t="shared" si="395"/>
        <v>0.02</v>
      </c>
    </row>
    <row r="5862" spans="19:19" x14ac:dyDescent="0.25">
      <c r="S5862" s="24">
        <f t="shared" si="395"/>
        <v>0.02</v>
      </c>
    </row>
    <row r="5863" spans="19:19" x14ac:dyDescent="0.25">
      <c r="S5863" s="24">
        <f t="shared" si="395"/>
        <v>0.02</v>
      </c>
    </row>
    <row r="5864" spans="19:19" x14ac:dyDescent="0.25">
      <c r="S5864" s="24">
        <f t="shared" si="395"/>
        <v>0.02</v>
      </c>
    </row>
    <row r="5865" spans="19:19" x14ac:dyDescent="0.25">
      <c r="S5865" s="24">
        <f t="shared" si="395"/>
        <v>0.02</v>
      </c>
    </row>
    <row r="5866" spans="19:19" x14ac:dyDescent="0.25">
      <c r="S5866" s="24">
        <f t="shared" si="395"/>
        <v>0.02</v>
      </c>
    </row>
    <row r="5867" spans="19:19" x14ac:dyDescent="0.25">
      <c r="S5867" s="24">
        <f t="shared" si="395"/>
        <v>0.02</v>
      </c>
    </row>
    <row r="5868" spans="19:19" x14ac:dyDescent="0.25">
      <c r="S5868" s="24">
        <f t="shared" si="395"/>
        <v>0.02</v>
      </c>
    </row>
    <row r="5869" spans="19:19" x14ac:dyDescent="0.25">
      <c r="S5869" s="24">
        <f t="shared" si="395"/>
        <v>0.02</v>
      </c>
    </row>
    <row r="5870" spans="19:19" x14ac:dyDescent="0.25">
      <c r="S5870" s="24">
        <f t="shared" si="395"/>
        <v>0.02</v>
      </c>
    </row>
    <row r="5871" spans="19:19" x14ac:dyDescent="0.25">
      <c r="S5871" s="24">
        <f t="shared" si="395"/>
        <v>0.02</v>
      </c>
    </row>
    <row r="5872" spans="19:19" x14ac:dyDescent="0.25">
      <c r="S5872" s="24">
        <f t="shared" si="395"/>
        <v>0.02</v>
      </c>
    </row>
    <row r="5873" spans="19:19" x14ac:dyDescent="0.25">
      <c r="S5873" s="24">
        <f t="shared" si="395"/>
        <v>0.02</v>
      </c>
    </row>
    <row r="5874" spans="19:19" x14ac:dyDescent="0.25">
      <c r="S5874" s="24">
        <f t="shared" si="395"/>
        <v>0.02</v>
      </c>
    </row>
    <row r="5875" spans="19:19" x14ac:dyDescent="0.25">
      <c r="S5875" s="24">
        <f t="shared" si="395"/>
        <v>0.02</v>
      </c>
    </row>
    <row r="5876" spans="19:19" x14ac:dyDescent="0.25">
      <c r="S5876" s="24">
        <f t="shared" si="395"/>
        <v>0.02</v>
      </c>
    </row>
    <row r="5877" spans="19:19" x14ac:dyDescent="0.25">
      <c r="S5877" s="24">
        <f t="shared" si="395"/>
        <v>0.02</v>
      </c>
    </row>
    <row r="5878" spans="19:19" x14ac:dyDescent="0.25">
      <c r="S5878" s="24">
        <f t="shared" si="395"/>
        <v>0.02</v>
      </c>
    </row>
    <row r="5879" spans="19:19" x14ac:dyDescent="0.25">
      <c r="S5879" s="24">
        <f t="shared" si="395"/>
        <v>0.02</v>
      </c>
    </row>
    <row r="5880" spans="19:19" x14ac:dyDescent="0.25">
      <c r="S5880" s="24">
        <f t="shared" si="395"/>
        <v>0.02</v>
      </c>
    </row>
    <row r="5881" spans="19:19" x14ac:dyDescent="0.25">
      <c r="S5881" s="24">
        <f t="shared" si="395"/>
        <v>0.02</v>
      </c>
    </row>
    <row r="5882" spans="19:19" x14ac:dyDescent="0.25">
      <c r="S5882" s="24">
        <f t="shared" si="395"/>
        <v>0.02</v>
      </c>
    </row>
    <row r="5883" spans="19:19" x14ac:dyDescent="0.25">
      <c r="S5883" s="24">
        <f t="shared" si="395"/>
        <v>0.02</v>
      </c>
    </row>
    <row r="5884" spans="19:19" x14ac:dyDescent="0.25">
      <c r="S5884" s="24">
        <f t="shared" si="395"/>
        <v>0.02</v>
      </c>
    </row>
    <row r="5885" spans="19:19" x14ac:dyDescent="0.25">
      <c r="S5885" s="24">
        <f t="shared" si="395"/>
        <v>0.02</v>
      </c>
    </row>
    <row r="5886" spans="19:19" x14ac:dyDescent="0.25">
      <c r="S5886" s="24">
        <f t="shared" si="395"/>
        <v>0.02</v>
      </c>
    </row>
    <row r="5887" spans="19:19" x14ac:dyDescent="0.25">
      <c r="S5887" s="24">
        <f t="shared" si="395"/>
        <v>0.02</v>
      </c>
    </row>
    <row r="5888" spans="19:19" x14ac:dyDescent="0.25">
      <c r="S5888" s="24">
        <f t="shared" si="395"/>
        <v>0.02</v>
      </c>
    </row>
    <row r="5889" spans="19:19" x14ac:dyDescent="0.25">
      <c r="S5889" s="24">
        <f t="shared" si="395"/>
        <v>0.02</v>
      </c>
    </row>
    <row r="5890" spans="19:19" x14ac:dyDescent="0.25">
      <c r="S5890" s="24">
        <f t="shared" si="395"/>
        <v>0.02</v>
      </c>
    </row>
    <row r="5891" spans="19:19" x14ac:dyDescent="0.25">
      <c r="S5891" s="24">
        <f t="shared" si="395"/>
        <v>0.02</v>
      </c>
    </row>
    <row r="5892" spans="19:19" x14ac:dyDescent="0.25">
      <c r="S5892" s="24">
        <f t="shared" si="395"/>
        <v>0.02</v>
      </c>
    </row>
    <row r="5893" spans="19:19" x14ac:dyDescent="0.25">
      <c r="S5893" s="24">
        <f t="shared" si="395"/>
        <v>0.02</v>
      </c>
    </row>
    <row r="5894" spans="19:19" x14ac:dyDescent="0.25">
      <c r="S5894" s="24">
        <f t="shared" si="395"/>
        <v>0.02</v>
      </c>
    </row>
    <row r="5895" spans="19:19" x14ac:dyDescent="0.25">
      <c r="S5895" s="24">
        <f t="shared" si="395"/>
        <v>0.02</v>
      </c>
    </row>
    <row r="5896" spans="19:19" x14ac:dyDescent="0.25">
      <c r="S5896" s="24">
        <f t="shared" si="395"/>
        <v>0.02</v>
      </c>
    </row>
    <row r="5897" spans="19:19" x14ac:dyDescent="0.25">
      <c r="S5897" s="24">
        <f t="shared" si="395"/>
        <v>0.02</v>
      </c>
    </row>
    <row r="5898" spans="19:19" x14ac:dyDescent="0.25">
      <c r="S5898" s="24">
        <f t="shared" si="395"/>
        <v>0.02</v>
      </c>
    </row>
    <row r="5899" spans="19:19" x14ac:dyDescent="0.25">
      <c r="S5899" s="24">
        <f t="shared" ref="S5899:S5962" si="396">VLOOKUP(N5899,$T$1:$U$7,2,TRUE)</f>
        <v>0.02</v>
      </c>
    </row>
    <row r="5900" spans="19:19" x14ac:dyDescent="0.25">
      <c r="S5900" s="24">
        <f t="shared" si="396"/>
        <v>0.02</v>
      </c>
    </row>
    <row r="5901" spans="19:19" x14ac:dyDescent="0.25">
      <c r="S5901" s="24">
        <f t="shared" si="396"/>
        <v>0.02</v>
      </c>
    </row>
    <row r="5902" spans="19:19" x14ac:dyDescent="0.25">
      <c r="S5902" s="24">
        <f t="shared" si="396"/>
        <v>0.02</v>
      </c>
    </row>
    <row r="5903" spans="19:19" x14ac:dyDescent="0.25">
      <c r="S5903" s="24">
        <f t="shared" si="396"/>
        <v>0.02</v>
      </c>
    </row>
    <row r="5904" spans="19:19" x14ac:dyDescent="0.25">
      <c r="S5904" s="24">
        <f t="shared" si="396"/>
        <v>0.02</v>
      </c>
    </row>
    <row r="5905" spans="19:19" x14ac:dyDescent="0.25">
      <c r="S5905" s="24">
        <f t="shared" si="396"/>
        <v>0.02</v>
      </c>
    </row>
    <row r="5906" spans="19:19" x14ac:dyDescent="0.25">
      <c r="S5906" s="24">
        <f t="shared" si="396"/>
        <v>0.02</v>
      </c>
    </row>
    <row r="5907" spans="19:19" x14ac:dyDescent="0.25">
      <c r="S5907" s="24">
        <f t="shared" si="396"/>
        <v>0.02</v>
      </c>
    </row>
    <row r="5908" spans="19:19" x14ac:dyDescent="0.25">
      <c r="S5908" s="24">
        <f t="shared" si="396"/>
        <v>0.02</v>
      </c>
    </row>
    <row r="5909" spans="19:19" x14ac:dyDescent="0.25">
      <c r="S5909" s="24">
        <f t="shared" si="396"/>
        <v>0.02</v>
      </c>
    </row>
    <row r="5910" spans="19:19" x14ac:dyDescent="0.25">
      <c r="S5910" s="24">
        <f t="shared" si="396"/>
        <v>0.02</v>
      </c>
    </row>
    <row r="5911" spans="19:19" x14ac:dyDescent="0.25">
      <c r="S5911" s="24">
        <f t="shared" si="396"/>
        <v>0.02</v>
      </c>
    </row>
    <row r="5912" spans="19:19" x14ac:dyDescent="0.25">
      <c r="S5912" s="24">
        <f t="shared" si="396"/>
        <v>0.02</v>
      </c>
    </row>
    <row r="5913" spans="19:19" x14ac:dyDescent="0.25">
      <c r="S5913" s="24">
        <f t="shared" si="396"/>
        <v>0.02</v>
      </c>
    </row>
    <row r="5914" spans="19:19" x14ac:dyDescent="0.25">
      <c r="S5914" s="24">
        <f t="shared" si="396"/>
        <v>0.02</v>
      </c>
    </row>
    <row r="5915" spans="19:19" x14ac:dyDescent="0.25">
      <c r="S5915" s="24">
        <f t="shared" si="396"/>
        <v>0.02</v>
      </c>
    </row>
    <row r="5916" spans="19:19" x14ac:dyDescent="0.25">
      <c r="S5916" s="24">
        <f t="shared" si="396"/>
        <v>0.02</v>
      </c>
    </row>
    <row r="5917" spans="19:19" x14ac:dyDescent="0.25">
      <c r="S5917" s="24">
        <f t="shared" si="396"/>
        <v>0.02</v>
      </c>
    </row>
    <row r="5918" spans="19:19" x14ac:dyDescent="0.25">
      <c r="S5918" s="24">
        <f t="shared" si="396"/>
        <v>0.02</v>
      </c>
    </row>
    <row r="5919" spans="19:19" x14ac:dyDescent="0.25">
      <c r="S5919" s="24">
        <f t="shared" si="396"/>
        <v>0.02</v>
      </c>
    </row>
    <row r="5920" spans="19:19" x14ac:dyDescent="0.25">
      <c r="S5920" s="24">
        <f t="shared" si="396"/>
        <v>0.02</v>
      </c>
    </row>
    <row r="5921" spans="19:19" x14ac:dyDescent="0.25">
      <c r="S5921" s="24">
        <f t="shared" si="396"/>
        <v>0.02</v>
      </c>
    </row>
    <row r="5922" spans="19:19" x14ac:dyDescent="0.25">
      <c r="S5922" s="24">
        <f t="shared" si="396"/>
        <v>0.02</v>
      </c>
    </row>
    <row r="5923" spans="19:19" x14ac:dyDescent="0.25">
      <c r="S5923" s="24">
        <f t="shared" si="396"/>
        <v>0.02</v>
      </c>
    </row>
    <row r="5924" spans="19:19" x14ac:dyDescent="0.25">
      <c r="S5924" s="24">
        <f t="shared" si="396"/>
        <v>0.02</v>
      </c>
    </row>
    <row r="5925" spans="19:19" x14ac:dyDescent="0.25">
      <c r="S5925" s="24">
        <f t="shared" si="396"/>
        <v>0.02</v>
      </c>
    </row>
    <row r="5926" spans="19:19" x14ac:dyDescent="0.25">
      <c r="S5926" s="24">
        <f t="shared" si="396"/>
        <v>0.02</v>
      </c>
    </row>
    <row r="5927" spans="19:19" x14ac:dyDescent="0.25">
      <c r="S5927" s="24">
        <f t="shared" si="396"/>
        <v>0.02</v>
      </c>
    </row>
    <row r="5928" spans="19:19" x14ac:dyDescent="0.25">
      <c r="S5928" s="24">
        <f t="shared" si="396"/>
        <v>0.02</v>
      </c>
    </row>
    <row r="5929" spans="19:19" x14ac:dyDescent="0.25">
      <c r="S5929" s="24">
        <f t="shared" si="396"/>
        <v>0.02</v>
      </c>
    </row>
    <row r="5930" spans="19:19" x14ac:dyDescent="0.25">
      <c r="S5930" s="24">
        <f t="shared" si="396"/>
        <v>0.02</v>
      </c>
    </row>
    <row r="5931" spans="19:19" x14ac:dyDescent="0.25">
      <c r="S5931" s="24">
        <f t="shared" si="396"/>
        <v>0.02</v>
      </c>
    </row>
    <row r="5932" spans="19:19" x14ac:dyDescent="0.25">
      <c r="S5932" s="24">
        <f t="shared" si="396"/>
        <v>0.02</v>
      </c>
    </row>
    <row r="5933" spans="19:19" x14ac:dyDescent="0.25">
      <c r="S5933" s="24">
        <f t="shared" si="396"/>
        <v>0.02</v>
      </c>
    </row>
    <row r="5934" spans="19:19" x14ac:dyDescent="0.25">
      <c r="S5934" s="24">
        <f t="shared" si="396"/>
        <v>0.02</v>
      </c>
    </row>
    <row r="5935" spans="19:19" x14ac:dyDescent="0.25">
      <c r="S5935" s="24">
        <f t="shared" si="396"/>
        <v>0.02</v>
      </c>
    </row>
    <row r="5936" spans="19:19" x14ac:dyDescent="0.25">
      <c r="S5936" s="24">
        <f t="shared" si="396"/>
        <v>0.02</v>
      </c>
    </row>
    <row r="5937" spans="19:19" x14ac:dyDescent="0.25">
      <c r="S5937" s="24">
        <f t="shared" si="396"/>
        <v>0.02</v>
      </c>
    </row>
    <row r="5938" spans="19:19" x14ac:dyDescent="0.25">
      <c r="S5938" s="24">
        <f t="shared" si="396"/>
        <v>0.02</v>
      </c>
    </row>
    <row r="5939" spans="19:19" x14ac:dyDescent="0.25">
      <c r="S5939" s="24">
        <f t="shared" si="396"/>
        <v>0.02</v>
      </c>
    </row>
    <row r="5940" spans="19:19" x14ac:dyDescent="0.25">
      <c r="S5940" s="24">
        <f t="shared" si="396"/>
        <v>0.02</v>
      </c>
    </row>
    <row r="5941" spans="19:19" x14ac:dyDescent="0.25">
      <c r="S5941" s="24">
        <f t="shared" si="396"/>
        <v>0.02</v>
      </c>
    </row>
    <row r="5942" spans="19:19" x14ac:dyDescent="0.25">
      <c r="S5942" s="24">
        <f t="shared" si="396"/>
        <v>0.02</v>
      </c>
    </row>
    <row r="5943" spans="19:19" x14ac:dyDescent="0.25">
      <c r="S5943" s="24">
        <f t="shared" si="396"/>
        <v>0.02</v>
      </c>
    </row>
    <row r="5944" spans="19:19" x14ac:dyDescent="0.25">
      <c r="S5944" s="24">
        <f t="shared" si="396"/>
        <v>0.02</v>
      </c>
    </row>
    <row r="5945" spans="19:19" x14ac:dyDescent="0.25">
      <c r="S5945" s="24">
        <f t="shared" si="396"/>
        <v>0.02</v>
      </c>
    </row>
    <row r="5946" spans="19:19" x14ac:dyDescent="0.25">
      <c r="S5946" s="24">
        <f t="shared" si="396"/>
        <v>0.02</v>
      </c>
    </row>
    <row r="5947" spans="19:19" x14ac:dyDescent="0.25">
      <c r="S5947" s="24">
        <f t="shared" si="396"/>
        <v>0.02</v>
      </c>
    </row>
    <row r="5948" spans="19:19" x14ac:dyDescent="0.25">
      <c r="S5948" s="24">
        <f t="shared" si="396"/>
        <v>0.02</v>
      </c>
    </row>
    <row r="5949" spans="19:19" x14ac:dyDescent="0.25">
      <c r="S5949" s="24">
        <f t="shared" si="396"/>
        <v>0.02</v>
      </c>
    </row>
    <row r="5950" spans="19:19" x14ac:dyDescent="0.25">
      <c r="S5950" s="24">
        <f t="shared" si="396"/>
        <v>0.02</v>
      </c>
    </row>
    <row r="5951" spans="19:19" x14ac:dyDescent="0.25">
      <c r="S5951" s="24">
        <f t="shared" si="396"/>
        <v>0.02</v>
      </c>
    </row>
    <row r="5952" spans="19:19" x14ac:dyDescent="0.25">
      <c r="S5952" s="24">
        <f t="shared" si="396"/>
        <v>0.02</v>
      </c>
    </row>
    <row r="5953" spans="19:19" x14ac:dyDescent="0.25">
      <c r="S5953" s="24">
        <f t="shared" si="396"/>
        <v>0.02</v>
      </c>
    </row>
    <row r="5954" spans="19:19" x14ac:dyDescent="0.25">
      <c r="S5954" s="24">
        <f t="shared" si="396"/>
        <v>0.02</v>
      </c>
    </row>
    <row r="5955" spans="19:19" x14ac:dyDescent="0.25">
      <c r="S5955" s="24">
        <f t="shared" si="396"/>
        <v>0.02</v>
      </c>
    </row>
    <row r="5956" spans="19:19" x14ac:dyDescent="0.25">
      <c r="S5956" s="24">
        <f t="shared" si="396"/>
        <v>0.02</v>
      </c>
    </row>
    <row r="5957" spans="19:19" x14ac:dyDescent="0.25">
      <c r="S5957" s="24">
        <f t="shared" si="396"/>
        <v>0.02</v>
      </c>
    </row>
    <row r="5958" spans="19:19" x14ac:dyDescent="0.25">
      <c r="S5958" s="24">
        <f t="shared" si="396"/>
        <v>0.02</v>
      </c>
    </row>
    <row r="5959" spans="19:19" x14ac:dyDescent="0.25">
      <c r="S5959" s="24">
        <f t="shared" si="396"/>
        <v>0.02</v>
      </c>
    </row>
    <row r="5960" spans="19:19" x14ac:dyDescent="0.25">
      <c r="S5960" s="24">
        <f t="shared" si="396"/>
        <v>0.02</v>
      </c>
    </row>
    <row r="5961" spans="19:19" x14ac:dyDescent="0.25">
      <c r="S5961" s="24">
        <f t="shared" si="396"/>
        <v>0.02</v>
      </c>
    </row>
    <row r="5962" spans="19:19" x14ac:dyDescent="0.25">
      <c r="S5962" s="24">
        <f t="shared" si="396"/>
        <v>0.02</v>
      </c>
    </row>
    <row r="5963" spans="19:19" x14ac:dyDescent="0.25">
      <c r="S5963" s="24">
        <f t="shared" ref="S5963:S6026" si="397">VLOOKUP(N5963,$T$1:$U$7,2,TRUE)</f>
        <v>0.02</v>
      </c>
    </row>
    <row r="5964" spans="19:19" x14ac:dyDescent="0.25">
      <c r="S5964" s="24">
        <f t="shared" si="397"/>
        <v>0.02</v>
      </c>
    </row>
    <row r="5965" spans="19:19" x14ac:dyDescent="0.25">
      <c r="S5965" s="24">
        <f t="shared" si="397"/>
        <v>0.02</v>
      </c>
    </row>
    <row r="5966" spans="19:19" x14ac:dyDescent="0.25">
      <c r="S5966" s="24">
        <f t="shared" si="397"/>
        <v>0.02</v>
      </c>
    </row>
    <row r="5967" spans="19:19" x14ac:dyDescent="0.25">
      <c r="S5967" s="24">
        <f t="shared" si="397"/>
        <v>0.02</v>
      </c>
    </row>
    <row r="5968" spans="19:19" x14ac:dyDescent="0.25">
      <c r="S5968" s="24">
        <f t="shared" si="397"/>
        <v>0.02</v>
      </c>
    </row>
    <row r="5969" spans="19:19" x14ac:dyDescent="0.25">
      <c r="S5969" s="24">
        <f t="shared" si="397"/>
        <v>0.02</v>
      </c>
    </row>
    <row r="5970" spans="19:19" x14ac:dyDescent="0.25">
      <c r="S5970" s="24">
        <f t="shared" si="397"/>
        <v>0.02</v>
      </c>
    </row>
    <row r="5971" spans="19:19" x14ac:dyDescent="0.25">
      <c r="S5971" s="24">
        <f t="shared" si="397"/>
        <v>0.02</v>
      </c>
    </row>
    <row r="5972" spans="19:19" x14ac:dyDescent="0.25">
      <c r="S5972" s="24">
        <f t="shared" si="397"/>
        <v>0.02</v>
      </c>
    </row>
    <row r="5973" spans="19:19" x14ac:dyDescent="0.25">
      <c r="S5973" s="24">
        <f t="shared" si="397"/>
        <v>0.02</v>
      </c>
    </row>
    <row r="5974" spans="19:19" x14ac:dyDescent="0.25">
      <c r="S5974" s="24">
        <f t="shared" si="397"/>
        <v>0.02</v>
      </c>
    </row>
    <row r="5975" spans="19:19" x14ac:dyDescent="0.25">
      <c r="S5975" s="24">
        <f t="shared" si="397"/>
        <v>0.02</v>
      </c>
    </row>
    <row r="5976" spans="19:19" x14ac:dyDescent="0.25">
      <c r="S5976" s="24">
        <f t="shared" si="397"/>
        <v>0.02</v>
      </c>
    </row>
    <row r="5977" spans="19:19" x14ac:dyDescent="0.25">
      <c r="S5977" s="24">
        <f t="shared" si="397"/>
        <v>0.02</v>
      </c>
    </row>
    <row r="5978" spans="19:19" x14ac:dyDescent="0.25">
      <c r="S5978" s="24">
        <f t="shared" si="397"/>
        <v>0.02</v>
      </c>
    </row>
    <row r="5979" spans="19:19" x14ac:dyDescent="0.25">
      <c r="S5979" s="24">
        <f t="shared" si="397"/>
        <v>0.02</v>
      </c>
    </row>
    <row r="5980" spans="19:19" x14ac:dyDescent="0.25">
      <c r="S5980" s="24">
        <f t="shared" si="397"/>
        <v>0.02</v>
      </c>
    </row>
    <row r="5981" spans="19:19" x14ac:dyDescent="0.25">
      <c r="S5981" s="24">
        <f t="shared" si="397"/>
        <v>0.02</v>
      </c>
    </row>
    <row r="5982" spans="19:19" x14ac:dyDescent="0.25">
      <c r="S5982" s="24">
        <f t="shared" si="397"/>
        <v>0.02</v>
      </c>
    </row>
    <row r="5983" spans="19:19" x14ac:dyDescent="0.25">
      <c r="S5983" s="24">
        <f t="shared" si="397"/>
        <v>0.02</v>
      </c>
    </row>
    <row r="5984" spans="19:19" x14ac:dyDescent="0.25">
      <c r="S5984" s="24">
        <f t="shared" si="397"/>
        <v>0.02</v>
      </c>
    </row>
    <row r="5985" spans="19:19" x14ac:dyDescent="0.25">
      <c r="S5985" s="24">
        <f t="shared" si="397"/>
        <v>0.02</v>
      </c>
    </row>
    <row r="5986" spans="19:19" x14ac:dyDescent="0.25">
      <c r="S5986" s="24">
        <f t="shared" si="397"/>
        <v>0.02</v>
      </c>
    </row>
    <row r="5987" spans="19:19" x14ac:dyDescent="0.25">
      <c r="S5987" s="24">
        <f t="shared" si="397"/>
        <v>0.02</v>
      </c>
    </row>
    <row r="5988" spans="19:19" x14ac:dyDescent="0.25">
      <c r="S5988" s="24">
        <f t="shared" si="397"/>
        <v>0.02</v>
      </c>
    </row>
    <row r="5989" spans="19:19" x14ac:dyDescent="0.25">
      <c r="S5989" s="24">
        <f t="shared" si="397"/>
        <v>0.02</v>
      </c>
    </row>
    <row r="5990" spans="19:19" x14ac:dyDescent="0.25">
      <c r="S5990" s="24">
        <f t="shared" si="397"/>
        <v>0.02</v>
      </c>
    </row>
    <row r="5991" spans="19:19" x14ac:dyDescent="0.25">
      <c r="S5991" s="24">
        <f t="shared" si="397"/>
        <v>0.02</v>
      </c>
    </row>
    <row r="5992" spans="19:19" x14ac:dyDescent="0.25">
      <c r="S5992" s="24">
        <f t="shared" si="397"/>
        <v>0.02</v>
      </c>
    </row>
    <row r="5993" spans="19:19" x14ac:dyDescent="0.25">
      <c r="S5993" s="24">
        <f t="shared" si="397"/>
        <v>0.02</v>
      </c>
    </row>
    <row r="5994" spans="19:19" x14ac:dyDescent="0.25">
      <c r="S5994" s="24">
        <f t="shared" si="397"/>
        <v>0.02</v>
      </c>
    </row>
    <row r="5995" spans="19:19" x14ac:dyDescent="0.25">
      <c r="S5995" s="24">
        <f t="shared" si="397"/>
        <v>0.02</v>
      </c>
    </row>
    <row r="5996" spans="19:19" x14ac:dyDescent="0.25">
      <c r="S5996" s="24">
        <f t="shared" si="397"/>
        <v>0.02</v>
      </c>
    </row>
    <row r="5997" spans="19:19" x14ac:dyDescent="0.25">
      <c r="S5997" s="24">
        <f t="shared" si="397"/>
        <v>0.02</v>
      </c>
    </row>
    <row r="5998" spans="19:19" x14ac:dyDescent="0.25">
      <c r="S5998" s="24">
        <f t="shared" si="397"/>
        <v>0.02</v>
      </c>
    </row>
    <row r="5999" spans="19:19" x14ac:dyDescent="0.25">
      <c r="S5999" s="24">
        <f t="shared" si="397"/>
        <v>0.02</v>
      </c>
    </row>
    <row r="6000" spans="19:19" x14ac:dyDescent="0.25">
      <c r="S6000" s="24">
        <f t="shared" si="397"/>
        <v>0.02</v>
      </c>
    </row>
    <row r="6001" spans="19:19" x14ac:dyDescent="0.25">
      <c r="S6001" s="24">
        <f t="shared" si="397"/>
        <v>0.02</v>
      </c>
    </row>
    <row r="6002" spans="19:19" x14ac:dyDescent="0.25">
      <c r="S6002" s="24">
        <f t="shared" si="397"/>
        <v>0.02</v>
      </c>
    </row>
    <row r="6003" spans="19:19" x14ac:dyDescent="0.25">
      <c r="S6003" s="24">
        <f t="shared" si="397"/>
        <v>0.02</v>
      </c>
    </row>
    <row r="6004" spans="19:19" x14ac:dyDescent="0.25">
      <c r="S6004" s="24">
        <f t="shared" si="397"/>
        <v>0.02</v>
      </c>
    </row>
    <row r="6005" spans="19:19" x14ac:dyDescent="0.25">
      <c r="S6005" s="24">
        <f t="shared" si="397"/>
        <v>0.02</v>
      </c>
    </row>
    <row r="6006" spans="19:19" x14ac:dyDescent="0.25">
      <c r="S6006" s="24">
        <f t="shared" si="397"/>
        <v>0.02</v>
      </c>
    </row>
    <row r="6007" spans="19:19" x14ac:dyDescent="0.25">
      <c r="S6007" s="24">
        <f t="shared" si="397"/>
        <v>0.02</v>
      </c>
    </row>
    <row r="6008" spans="19:19" x14ac:dyDescent="0.25">
      <c r="S6008" s="24">
        <f t="shared" si="397"/>
        <v>0.02</v>
      </c>
    </row>
    <row r="6009" spans="19:19" x14ac:dyDescent="0.25">
      <c r="S6009" s="24">
        <f t="shared" si="397"/>
        <v>0.02</v>
      </c>
    </row>
    <row r="6010" spans="19:19" x14ac:dyDescent="0.25">
      <c r="S6010" s="24">
        <f t="shared" si="397"/>
        <v>0.02</v>
      </c>
    </row>
    <row r="6011" spans="19:19" x14ac:dyDescent="0.25">
      <c r="S6011" s="24">
        <f t="shared" si="397"/>
        <v>0.02</v>
      </c>
    </row>
    <row r="6012" spans="19:19" x14ac:dyDescent="0.25">
      <c r="S6012" s="24">
        <f t="shared" si="397"/>
        <v>0.02</v>
      </c>
    </row>
    <row r="6013" spans="19:19" x14ac:dyDescent="0.25">
      <c r="S6013" s="24">
        <f t="shared" si="397"/>
        <v>0.02</v>
      </c>
    </row>
    <row r="6014" spans="19:19" x14ac:dyDescent="0.25">
      <c r="S6014" s="24">
        <f t="shared" si="397"/>
        <v>0.02</v>
      </c>
    </row>
    <row r="6015" spans="19:19" x14ac:dyDescent="0.25">
      <c r="S6015" s="24">
        <f t="shared" si="397"/>
        <v>0.02</v>
      </c>
    </row>
    <row r="6016" spans="19:19" x14ac:dyDescent="0.25">
      <c r="S6016" s="24">
        <f t="shared" si="397"/>
        <v>0.02</v>
      </c>
    </row>
    <row r="6017" spans="19:19" x14ac:dyDescent="0.25">
      <c r="S6017" s="24">
        <f t="shared" si="397"/>
        <v>0.02</v>
      </c>
    </row>
    <row r="6018" spans="19:19" x14ac:dyDescent="0.25">
      <c r="S6018" s="24">
        <f t="shared" si="397"/>
        <v>0.02</v>
      </c>
    </row>
    <row r="6019" spans="19:19" x14ac:dyDescent="0.25">
      <c r="S6019" s="24">
        <f t="shared" si="397"/>
        <v>0.02</v>
      </c>
    </row>
    <row r="6020" spans="19:19" x14ac:dyDescent="0.25">
      <c r="S6020" s="24">
        <f t="shared" si="397"/>
        <v>0.02</v>
      </c>
    </row>
    <row r="6021" spans="19:19" x14ac:dyDescent="0.25">
      <c r="S6021" s="24">
        <f t="shared" si="397"/>
        <v>0.02</v>
      </c>
    </row>
    <row r="6022" spans="19:19" x14ac:dyDescent="0.25">
      <c r="S6022" s="24">
        <f t="shared" si="397"/>
        <v>0.02</v>
      </c>
    </row>
    <row r="6023" spans="19:19" x14ac:dyDescent="0.25">
      <c r="S6023" s="24">
        <f t="shared" si="397"/>
        <v>0.02</v>
      </c>
    </row>
    <row r="6024" spans="19:19" x14ac:dyDescent="0.25">
      <c r="S6024" s="24">
        <f t="shared" si="397"/>
        <v>0.02</v>
      </c>
    </row>
    <row r="6025" spans="19:19" x14ac:dyDescent="0.25">
      <c r="S6025" s="24">
        <f t="shared" si="397"/>
        <v>0.02</v>
      </c>
    </row>
    <row r="6026" spans="19:19" x14ac:dyDescent="0.25">
      <c r="S6026" s="24">
        <f t="shared" si="397"/>
        <v>0.02</v>
      </c>
    </row>
    <row r="6027" spans="19:19" x14ac:dyDescent="0.25">
      <c r="S6027" s="24">
        <f t="shared" ref="S6027:S6090" si="398">VLOOKUP(N6027,$T$1:$U$7,2,TRUE)</f>
        <v>0.02</v>
      </c>
    </row>
    <row r="6028" spans="19:19" x14ac:dyDescent="0.25">
      <c r="S6028" s="24">
        <f t="shared" si="398"/>
        <v>0.02</v>
      </c>
    </row>
    <row r="6029" spans="19:19" x14ac:dyDescent="0.25">
      <c r="S6029" s="24">
        <f t="shared" si="398"/>
        <v>0.02</v>
      </c>
    </row>
    <row r="6030" spans="19:19" x14ac:dyDescent="0.25">
      <c r="S6030" s="24">
        <f t="shared" si="398"/>
        <v>0.02</v>
      </c>
    </row>
    <row r="6031" spans="19:19" x14ac:dyDescent="0.25">
      <c r="S6031" s="24">
        <f t="shared" si="398"/>
        <v>0.02</v>
      </c>
    </row>
    <row r="6032" spans="19:19" x14ac:dyDescent="0.25">
      <c r="S6032" s="24">
        <f t="shared" si="398"/>
        <v>0.02</v>
      </c>
    </row>
    <row r="6033" spans="19:19" x14ac:dyDescent="0.25">
      <c r="S6033" s="24">
        <f t="shared" si="398"/>
        <v>0.02</v>
      </c>
    </row>
    <row r="6034" spans="19:19" x14ac:dyDescent="0.25">
      <c r="S6034" s="24">
        <f t="shared" si="398"/>
        <v>0.02</v>
      </c>
    </row>
    <row r="6035" spans="19:19" x14ac:dyDescent="0.25">
      <c r="S6035" s="24">
        <f t="shared" si="398"/>
        <v>0.02</v>
      </c>
    </row>
    <row r="6036" spans="19:19" x14ac:dyDescent="0.25">
      <c r="S6036" s="24">
        <f t="shared" si="398"/>
        <v>0.02</v>
      </c>
    </row>
    <row r="6037" spans="19:19" x14ac:dyDescent="0.25">
      <c r="S6037" s="24">
        <f t="shared" si="398"/>
        <v>0.02</v>
      </c>
    </row>
    <row r="6038" spans="19:19" x14ac:dyDescent="0.25">
      <c r="S6038" s="24">
        <f t="shared" si="398"/>
        <v>0.02</v>
      </c>
    </row>
    <row r="6039" spans="19:19" x14ac:dyDescent="0.25">
      <c r="S6039" s="24">
        <f t="shared" si="398"/>
        <v>0.02</v>
      </c>
    </row>
    <row r="6040" spans="19:19" x14ac:dyDescent="0.25">
      <c r="S6040" s="24">
        <f t="shared" si="398"/>
        <v>0.02</v>
      </c>
    </row>
    <row r="6041" spans="19:19" x14ac:dyDescent="0.25">
      <c r="S6041" s="24">
        <f t="shared" si="398"/>
        <v>0.02</v>
      </c>
    </row>
    <row r="6042" spans="19:19" x14ac:dyDescent="0.25">
      <c r="S6042" s="24">
        <f t="shared" si="398"/>
        <v>0.02</v>
      </c>
    </row>
    <row r="6043" spans="19:19" x14ac:dyDescent="0.25">
      <c r="S6043" s="24">
        <f t="shared" si="398"/>
        <v>0.02</v>
      </c>
    </row>
    <row r="6044" spans="19:19" x14ac:dyDescent="0.25">
      <c r="S6044" s="24">
        <f t="shared" si="398"/>
        <v>0.02</v>
      </c>
    </row>
    <row r="6045" spans="19:19" x14ac:dyDescent="0.25">
      <c r="S6045" s="24">
        <f t="shared" si="398"/>
        <v>0.02</v>
      </c>
    </row>
    <row r="6046" spans="19:19" x14ac:dyDescent="0.25">
      <c r="S6046" s="24">
        <f t="shared" si="398"/>
        <v>0.02</v>
      </c>
    </row>
    <row r="6047" spans="19:19" x14ac:dyDescent="0.25">
      <c r="S6047" s="24">
        <f t="shared" si="398"/>
        <v>0.02</v>
      </c>
    </row>
    <row r="6048" spans="19:19" x14ac:dyDescent="0.25">
      <c r="S6048" s="24">
        <f t="shared" si="398"/>
        <v>0.02</v>
      </c>
    </row>
    <row r="6049" spans="19:19" x14ac:dyDescent="0.25">
      <c r="S6049" s="24">
        <f t="shared" si="398"/>
        <v>0.02</v>
      </c>
    </row>
    <row r="6050" spans="19:19" x14ac:dyDescent="0.25">
      <c r="S6050" s="24">
        <f t="shared" si="398"/>
        <v>0.02</v>
      </c>
    </row>
    <row r="6051" spans="19:19" x14ac:dyDescent="0.25">
      <c r="S6051" s="24">
        <f t="shared" si="398"/>
        <v>0.02</v>
      </c>
    </row>
    <row r="6052" spans="19:19" x14ac:dyDescent="0.25">
      <c r="S6052" s="24">
        <f t="shared" si="398"/>
        <v>0.02</v>
      </c>
    </row>
    <row r="6053" spans="19:19" x14ac:dyDescent="0.25">
      <c r="S6053" s="24">
        <f t="shared" si="398"/>
        <v>0.02</v>
      </c>
    </row>
    <row r="6054" spans="19:19" x14ac:dyDescent="0.25">
      <c r="S6054" s="24">
        <f t="shared" si="398"/>
        <v>0.02</v>
      </c>
    </row>
    <row r="6055" spans="19:19" x14ac:dyDescent="0.25">
      <c r="S6055" s="24">
        <f t="shared" si="398"/>
        <v>0.02</v>
      </c>
    </row>
    <row r="6056" spans="19:19" x14ac:dyDescent="0.25">
      <c r="S6056" s="24">
        <f t="shared" si="398"/>
        <v>0.02</v>
      </c>
    </row>
    <row r="6057" spans="19:19" x14ac:dyDescent="0.25">
      <c r="S6057" s="24">
        <f t="shared" si="398"/>
        <v>0.02</v>
      </c>
    </row>
    <row r="6058" spans="19:19" x14ac:dyDescent="0.25">
      <c r="S6058" s="24">
        <f t="shared" si="398"/>
        <v>0.02</v>
      </c>
    </row>
    <row r="6059" spans="19:19" x14ac:dyDescent="0.25">
      <c r="S6059" s="24">
        <f t="shared" si="398"/>
        <v>0.02</v>
      </c>
    </row>
    <row r="6060" spans="19:19" x14ac:dyDescent="0.25">
      <c r="S6060" s="24">
        <f t="shared" si="398"/>
        <v>0.02</v>
      </c>
    </row>
    <row r="6061" spans="19:19" x14ac:dyDescent="0.25">
      <c r="S6061" s="24">
        <f t="shared" si="398"/>
        <v>0.02</v>
      </c>
    </row>
    <row r="6062" spans="19:19" x14ac:dyDescent="0.25">
      <c r="S6062" s="24">
        <f t="shared" si="398"/>
        <v>0.02</v>
      </c>
    </row>
    <row r="6063" spans="19:19" x14ac:dyDescent="0.25">
      <c r="S6063" s="24">
        <f t="shared" si="398"/>
        <v>0.02</v>
      </c>
    </row>
    <row r="6064" spans="19:19" x14ac:dyDescent="0.25">
      <c r="S6064" s="24">
        <f t="shared" si="398"/>
        <v>0.02</v>
      </c>
    </row>
    <row r="6065" spans="19:19" x14ac:dyDescent="0.25">
      <c r="S6065" s="24">
        <f t="shared" si="398"/>
        <v>0.02</v>
      </c>
    </row>
    <row r="6066" spans="19:19" x14ac:dyDescent="0.25">
      <c r="S6066" s="24">
        <f t="shared" si="398"/>
        <v>0.02</v>
      </c>
    </row>
    <row r="6067" spans="19:19" x14ac:dyDescent="0.25">
      <c r="S6067" s="24">
        <f t="shared" si="398"/>
        <v>0.02</v>
      </c>
    </row>
    <row r="6068" spans="19:19" x14ac:dyDescent="0.25">
      <c r="S6068" s="24">
        <f t="shared" si="398"/>
        <v>0.02</v>
      </c>
    </row>
    <row r="6069" spans="19:19" x14ac:dyDescent="0.25">
      <c r="S6069" s="24">
        <f t="shared" si="398"/>
        <v>0.02</v>
      </c>
    </row>
    <row r="6070" spans="19:19" x14ac:dyDescent="0.25">
      <c r="S6070" s="24">
        <f t="shared" si="398"/>
        <v>0.02</v>
      </c>
    </row>
    <row r="6071" spans="19:19" x14ac:dyDescent="0.25">
      <c r="S6071" s="24">
        <f t="shared" si="398"/>
        <v>0.02</v>
      </c>
    </row>
    <row r="6072" spans="19:19" x14ac:dyDescent="0.25">
      <c r="S6072" s="24">
        <f t="shared" si="398"/>
        <v>0.02</v>
      </c>
    </row>
    <row r="6073" spans="19:19" x14ac:dyDescent="0.25">
      <c r="S6073" s="24">
        <f t="shared" si="398"/>
        <v>0.02</v>
      </c>
    </row>
    <row r="6074" spans="19:19" x14ac:dyDescent="0.25">
      <c r="S6074" s="24">
        <f t="shared" si="398"/>
        <v>0.02</v>
      </c>
    </row>
    <row r="6075" spans="19:19" x14ac:dyDescent="0.25">
      <c r="S6075" s="24">
        <f t="shared" si="398"/>
        <v>0.02</v>
      </c>
    </row>
    <row r="6076" spans="19:19" x14ac:dyDescent="0.25">
      <c r="S6076" s="24">
        <f t="shared" si="398"/>
        <v>0.02</v>
      </c>
    </row>
    <row r="6077" spans="19:19" x14ac:dyDescent="0.25">
      <c r="S6077" s="24">
        <f t="shared" si="398"/>
        <v>0.02</v>
      </c>
    </row>
    <row r="6078" spans="19:19" x14ac:dyDescent="0.25">
      <c r="S6078" s="24">
        <f t="shared" si="398"/>
        <v>0.02</v>
      </c>
    </row>
    <row r="6079" spans="19:19" x14ac:dyDescent="0.25">
      <c r="S6079" s="24">
        <f t="shared" si="398"/>
        <v>0.02</v>
      </c>
    </row>
    <row r="6080" spans="19:19" x14ac:dyDescent="0.25">
      <c r="S6080" s="24">
        <f t="shared" si="398"/>
        <v>0.02</v>
      </c>
    </row>
    <row r="6081" spans="19:19" x14ac:dyDescent="0.25">
      <c r="S6081" s="24">
        <f t="shared" si="398"/>
        <v>0.02</v>
      </c>
    </row>
    <row r="6082" spans="19:19" x14ac:dyDescent="0.25">
      <c r="S6082" s="24">
        <f t="shared" si="398"/>
        <v>0.02</v>
      </c>
    </row>
    <row r="6083" spans="19:19" x14ac:dyDescent="0.25">
      <c r="S6083" s="24">
        <f t="shared" si="398"/>
        <v>0.02</v>
      </c>
    </row>
    <row r="6084" spans="19:19" x14ac:dyDescent="0.25">
      <c r="S6084" s="24">
        <f t="shared" si="398"/>
        <v>0.02</v>
      </c>
    </row>
    <row r="6085" spans="19:19" x14ac:dyDescent="0.25">
      <c r="S6085" s="24">
        <f t="shared" si="398"/>
        <v>0.02</v>
      </c>
    </row>
    <row r="6086" spans="19:19" x14ac:dyDescent="0.25">
      <c r="S6086" s="24">
        <f t="shared" si="398"/>
        <v>0.02</v>
      </c>
    </row>
    <row r="6087" spans="19:19" x14ac:dyDescent="0.25">
      <c r="S6087" s="24">
        <f t="shared" si="398"/>
        <v>0.02</v>
      </c>
    </row>
    <row r="6088" spans="19:19" x14ac:dyDescent="0.25">
      <c r="S6088" s="24">
        <f t="shared" si="398"/>
        <v>0.02</v>
      </c>
    </row>
    <row r="6089" spans="19:19" x14ac:dyDescent="0.25">
      <c r="S6089" s="24">
        <f t="shared" si="398"/>
        <v>0.02</v>
      </c>
    </row>
    <row r="6090" spans="19:19" x14ac:dyDescent="0.25">
      <c r="S6090" s="24">
        <f t="shared" si="398"/>
        <v>0.02</v>
      </c>
    </row>
    <row r="6091" spans="19:19" x14ac:dyDescent="0.25">
      <c r="S6091" s="24">
        <f t="shared" ref="S6091:S6154" si="399">VLOOKUP(N6091,$T$1:$U$7,2,TRUE)</f>
        <v>0.02</v>
      </c>
    </row>
    <row r="6092" spans="19:19" x14ac:dyDescent="0.25">
      <c r="S6092" s="24">
        <f t="shared" si="399"/>
        <v>0.02</v>
      </c>
    </row>
    <row r="6093" spans="19:19" x14ac:dyDescent="0.25">
      <c r="S6093" s="24">
        <f t="shared" si="399"/>
        <v>0.02</v>
      </c>
    </row>
    <row r="6094" spans="19:19" x14ac:dyDescent="0.25">
      <c r="S6094" s="24">
        <f t="shared" si="399"/>
        <v>0.02</v>
      </c>
    </row>
    <row r="6095" spans="19:19" x14ac:dyDescent="0.25">
      <c r="S6095" s="24">
        <f t="shared" si="399"/>
        <v>0.02</v>
      </c>
    </row>
    <row r="6096" spans="19:19" x14ac:dyDescent="0.25">
      <c r="S6096" s="24">
        <f t="shared" si="399"/>
        <v>0.02</v>
      </c>
    </row>
    <row r="6097" spans="19:19" x14ac:dyDescent="0.25">
      <c r="S6097" s="24">
        <f t="shared" si="399"/>
        <v>0.02</v>
      </c>
    </row>
    <row r="6098" spans="19:19" x14ac:dyDescent="0.25">
      <c r="S6098" s="24">
        <f t="shared" si="399"/>
        <v>0.02</v>
      </c>
    </row>
    <row r="6099" spans="19:19" x14ac:dyDescent="0.25">
      <c r="S6099" s="24">
        <f t="shared" si="399"/>
        <v>0.02</v>
      </c>
    </row>
    <row r="6100" spans="19:19" x14ac:dyDescent="0.25">
      <c r="S6100" s="24">
        <f t="shared" si="399"/>
        <v>0.02</v>
      </c>
    </row>
    <row r="6101" spans="19:19" x14ac:dyDescent="0.25">
      <c r="S6101" s="24">
        <f t="shared" si="399"/>
        <v>0.02</v>
      </c>
    </row>
    <row r="6102" spans="19:19" x14ac:dyDescent="0.25">
      <c r="S6102" s="24">
        <f t="shared" si="399"/>
        <v>0.02</v>
      </c>
    </row>
    <row r="6103" spans="19:19" x14ac:dyDescent="0.25">
      <c r="S6103" s="24">
        <f t="shared" si="399"/>
        <v>0.02</v>
      </c>
    </row>
    <row r="6104" spans="19:19" x14ac:dyDescent="0.25">
      <c r="S6104" s="24">
        <f t="shared" si="399"/>
        <v>0.02</v>
      </c>
    </row>
    <row r="6105" spans="19:19" x14ac:dyDescent="0.25">
      <c r="S6105" s="24">
        <f t="shared" si="399"/>
        <v>0.02</v>
      </c>
    </row>
    <row r="6106" spans="19:19" x14ac:dyDescent="0.25">
      <c r="S6106" s="24">
        <f t="shared" si="399"/>
        <v>0.02</v>
      </c>
    </row>
    <row r="6107" spans="19:19" x14ac:dyDescent="0.25">
      <c r="S6107" s="24">
        <f t="shared" si="399"/>
        <v>0.02</v>
      </c>
    </row>
    <row r="6108" spans="19:19" x14ac:dyDescent="0.25">
      <c r="S6108" s="24">
        <f t="shared" si="399"/>
        <v>0.02</v>
      </c>
    </row>
    <row r="6109" spans="19:19" x14ac:dyDescent="0.25">
      <c r="S6109" s="24">
        <f t="shared" si="399"/>
        <v>0.02</v>
      </c>
    </row>
    <row r="6110" spans="19:19" x14ac:dyDescent="0.25">
      <c r="S6110" s="24">
        <f t="shared" si="399"/>
        <v>0.02</v>
      </c>
    </row>
    <row r="6111" spans="19:19" x14ac:dyDescent="0.25">
      <c r="S6111" s="24">
        <f t="shared" si="399"/>
        <v>0.02</v>
      </c>
    </row>
    <row r="6112" spans="19:19" x14ac:dyDescent="0.25">
      <c r="S6112" s="24">
        <f t="shared" si="399"/>
        <v>0.02</v>
      </c>
    </row>
    <row r="6113" spans="19:19" x14ac:dyDescent="0.25">
      <c r="S6113" s="24">
        <f t="shared" si="399"/>
        <v>0.02</v>
      </c>
    </row>
    <row r="6114" spans="19:19" x14ac:dyDescent="0.25">
      <c r="S6114" s="24">
        <f t="shared" si="399"/>
        <v>0.02</v>
      </c>
    </row>
    <row r="6115" spans="19:19" x14ac:dyDescent="0.25">
      <c r="S6115" s="24">
        <f t="shared" si="399"/>
        <v>0.02</v>
      </c>
    </row>
    <row r="6116" spans="19:19" x14ac:dyDescent="0.25">
      <c r="S6116" s="24">
        <f t="shared" si="399"/>
        <v>0.02</v>
      </c>
    </row>
    <row r="6117" spans="19:19" x14ac:dyDescent="0.25">
      <c r="S6117" s="24">
        <f t="shared" si="399"/>
        <v>0.02</v>
      </c>
    </row>
    <row r="6118" spans="19:19" x14ac:dyDescent="0.25">
      <c r="S6118" s="24">
        <f t="shared" si="399"/>
        <v>0.02</v>
      </c>
    </row>
    <row r="6119" spans="19:19" x14ac:dyDescent="0.25">
      <c r="S6119" s="24">
        <f t="shared" si="399"/>
        <v>0.02</v>
      </c>
    </row>
    <row r="6120" spans="19:19" x14ac:dyDescent="0.25">
      <c r="S6120" s="24">
        <f t="shared" si="399"/>
        <v>0.02</v>
      </c>
    </row>
    <row r="6121" spans="19:19" x14ac:dyDescent="0.25">
      <c r="S6121" s="24">
        <f t="shared" si="399"/>
        <v>0.02</v>
      </c>
    </row>
    <row r="6122" spans="19:19" x14ac:dyDescent="0.25">
      <c r="S6122" s="24">
        <f t="shared" si="399"/>
        <v>0.02</v>
      </c>
    </row>
    <row r="6123" spans="19:19" x14ac:dyDescent="0.25">
      <c r="S6123" s="24">
        <f t="shared" si="399"/>
        <v>0.02</v>
      </c>
    </row>
    <row r="6124" spans="19:19" x14ac:dyDescent="0.25">
      <c r="S6124" s="24">
        <f t="shared" si="399"/>
        <v>0.02</v>
      </c>
    </row>
    <row r="6125" spans="19:19" x14ac:dyDescent="0.25">
      <c r="S6125" s="24">
        <f t="shared" si="399"/>
        <v>0.02</v>
      </c>
    </row>
    <row r="6126" spans="19:19" x14ac:dyDescent="0.25">
      <c r="S6126" s="24">
        <f t="shared" si="399"/>
        <v>0.02</v>
      </c>
    </row>
    <row r="6127" spans="19:19" x14ac:dyDescent="0.25">
      <c r="S6127" s="24">
        <f t="shared" si="399"/>
        <v>0.02</v>
      </c>
    </row>
    <row r="6128" spans="19:19" x14ac:dyDescent="0.25">
      <c r="S6128" s="24">
        <f t="shared" si="399"/>
        <v>0.02</v>
      </c>
    </row>
    <row r="6129" spans="19:19" x14ac:dyDescent="0.25">
      <c r="S6129" s="24">
        <f t="shared" si="399"/>
        <v>0.02</v>
      </c>
    </row>
    <row r="6130" spans="19:19" x14ac:dyDescent="0.25">
      <c r="S6130" s="24">
        <f t="shared" si="399"/>
        <v>0.02</v>
      </c>
    </row>
    <row r="6131" spans="19:19" x14ac:dyDescent="0.25">
      <c r="S6131" s="24">
        <f t="shared" si="399"/>
        <v>0.02</v>
      </c>
    </row>
    <row r="6132" spans="19:19" x14ac:dyDescent="0.25">
      <c r="S6132" s="24">
        <f t="shared" si="399"/>
        <v>0.02</v>
      </c>
    </row>
    <row r="6133" spans="19:19" x14ac:dyDescent="0.25">
      <c r="S6133" s="24">
        <f t="shared" si="399"/>
        <v>0.02</v>
      </c>
    </row>
    <row r="6134" spans="19:19" x14ac:dyDescent="0.25">
      <c r="S6134" s="24">
        <f t="shared" si="399"/>
        <v>0.02</v>
      </c>
    </row>
    <row r="6135" spans="19:19" x14ac:dyDescent="0.25">
      <c r="S6135" s="24">
        <f t="shared" si="399"/>
        <v>0.02</v>
      </c>
    </row>
    <row r="6136" spans="19:19" x14ac:dyDescent="0.25">
      <c r="S6136" s="24">
        <f t="shared" si="399"/>
        <v>0.02</v>
      </c>
    </row>
    <row r="6137" spans="19:19" x14ac:dyDescent="0.25">
      <c r="S6137" s="24">
        <f t="shared" si="399"/>
        <v>0.02</v>
      </c>
    </row>
    <row r="6138" spans="19:19" x14ac:dyDescent="0.25">
      <c r="S6138" s="24">
        <f t="shared" si="399"/>
        <v>0.02</v>
      </c>
    </row>
    <row r="6139" spans="19:19" x14ac:dyDescent="0.25">
      <c r="S6139" s="24">
        <f t="shared" si="399"/>
        <v>0.02</v>
      </c>
    </row>
    <row r="6140" spans="19:19" x14ac:dyDescent="0.25">
      <c r="S6140" s="24">
        <f t="shared" si="399"/>
        <v>0.02</v>
      </c>
    </row>
    <row r="6141" spans="19:19" x14ac:dyDescent="0.25">
      <c r="S6141" s="24">
        <f t="shared" si="399"/>
        <v>0.02</v>
      </c>
    </row>
    <row r="6142" spans="19:19" x14ac:dyDescent="0.25">
      <c r="S6142" s="24">
        <f t="shared" si="399"/>
        <v>0.02</v>
      </c>
    </row>
    <row r="6143" spans="19:19" x14ac:dyDescent="0.25">
      <c r="S6143" s="24">
        <f t="shared" si="399"/>
        <v>0.02</v>
      </c>
    </row>
    <row r="6144" spans="19:19" x14ac:dyDescent="0.25">
      <c r="S6144" s="24">
        <f t="shared" si="399"/>
        <v>0.02</v>
      </c>
    </row>
    <row r="6145" spans="19:19" x14ac:dyDescent="0.25">
      <c r="S6145" s="24">
        <f t="shared" si="399"/>
        <v>0.02</v>
      </c>
    </row>
    <row r="6146" spans="19:19" x14ac:dyDescent="0.25">
      <c r="S6146" s="24">
        <f t="shared" si="399"/>
        <v>0.02</v>
      </c>
    </row>
    <row r="6147" spans="19:19" x14ac:dyDescent="0.25">
      <c r="S6147" s="24">
        <f t="shared" si="399"/>
        <v>0.02</v>
      </c>
    </row>
    <row r="6148" spans="19:19" x14ac:dyDescent="0.25">
      <c r="S6148" s="24">
        <f t="shared" si="399"/>
        <v>0.02</v>
      </c>
    </row>
    <row r="6149" spans="19:19" x14ac:dyDescent="0.25">
      <c r="S6149" s="24">
        <f t="shared" si="399"/>
        <v>0.02</v>
      </c>
    </row>
    <row r="6150" spans="19:19" x14ac:dyDescent="0.25">
      <c r="S6150" s="24">
        <f t="shared" si="399"/>
        <v>0.02</v>
      </c>
    </row>
    <row r="6151" spans="19:19" x14ac:dyDescent="0.25">
      <c r="S6151" s="24">
        <f t="shared" si="399"/>
        <v>0.02</v>
      </c>
    </row>
    <row r="6152" spans="19:19" x14ac:dyDescent="0.25">
      <c r="S6152" s="24">
        <f t="shared" si="399"/>
        <v>0.02</v>
      </c>
    </row>
    <row r="6153" spans="19:19" x14ac:dyDescent="0.25">
      <c r="S6153" s="24">
        <f t="shared" si="399"/>
        <v>0.02</v>
      </c>
    </row>
    <row r="6154" spans="19:19" x14ac:dyDescent="0.25">
      <c r="S6154" s="24">
        <f t="shared" si="399"/>
        <v>0.02</v>
      </c>
    </row>
    <row r="6155" spans="19:19" x14ac:dyDescent="0.25">
      <c r="S6155" s="24">
        <f t="shared" ref="S6155:S6218" si="400">VLOOKUP(N6155,$T$1:$U$7,2,TRUE)</f>
        <v>0.02</v>
      </c>
    </row>
    <row r="6156" spans="19:19" x14ac:dyDescent="0.25">
      <c r="S6156" s="24">
        <f t="shared" si="400"/>
        <v>0.02</v>
      </c>
    </row>
    <row r="6157" spans="19:19" x14ac:dyDescent="0.25">
      <c r="S6157" s="24">
        <f t="shared" si="400"/>
        <v>0.02</v>
      </c>
    </row>
    <row r="6158" spans="19:19" x14ac:dyDescent="0.25">
      <c r="S6158" s="24">
        <f t="shared" si="400"/>
        <v>0.02</v>
      </c>
    </row>
    <row r="6159" spans="19:19" x14ac:dyDescent="0.25">
      <c r="S6159" s="24">
        <f t="shared" si="400"/>
        <v>0.02</v>
      </c>
    </row>
    <row r="6160" spans="19:19" x14ac:dyDescent="0.25">
      <c r="S6160" s="24">
        <f t="shared" si="400"/>
        <v>0.02</v>
      </c>
    </row>
    <row r="6161" spans="19:19" x14ac:dyDescent="0.25">
      <c r="S6161" s="24">
        <f t="shared" si="400"/>
        <v>0.02</v>
      </c>
    </row>
    <row r="6162" spans="19:19" x14ac:dyDescent="0.25">
      <c r="S6162" s="24">
        <f t="shared" si="400"/>
        <v>0.02</v>
      </c>
    </row>
    <row r="6163" spans="19:19" x14ac:dyDescent="0.25">
      <c r="S6163" s="24">
        <f t="shared" si="400"/>
        <v>0.02</v>
      </c>
    </row>
    <row r="6164" spans="19:19" x14ac:dyDescent="0.25">
      <c r="S6164" s="24">
        <f t="shared" si="400"/>
        <v>0.02</v>
      </c>
    </row>
    <row r="6165" spans="19:19" x14ac:dyDescent="0.25">
      <c r="S6165" s="24">
        <f t="shared" si="400"/>
        <v>0.02</v>
      </c>
    </row>
    <row r="6166" spans="19:19" x14ac:dyDescent="0.25">
      <c r="S6166" s="24">
        <f t="shared" si="400"/>
        <v>0.02</v>
      </c>
    </row>
    <row r="6167" spans="19:19" x14ac:dyDescent="0.25">
      <c r="S6167" s="24">
        <f t="shared" si="400"/>
        <v>0.02</v>
      </c>
    </row>
    <row r="6168" spans="19:19" x14ac:dyDescent="0.25">
      <c r="S6168" s="24">
        <f t="shared" si="400"/>
        <v>0.02</v>
      </c>
    </row>
    <row r="6169" spans="19:19" x14ac:dyDescent="0.25">
      <c r="S6169" s="24">
        <f t="shared" si="400"/>
        <v>0.02</v>
      </c>
    </row>
    <row r="6170" spans="19:19" x14ac:dyDescent="0.25">
      <c r="S6170" s="24">
        <f t="shared" si="400"/>
        <v>0.02</v>
      </c>
    </row>
    <row r="6171" spans="19:19" x14ac:dyDescent="0.25">
      <c r="S6171" s="24">
        <f t="shared" si="400"/>
        <v>0.02</v>
      </c>
    </row>
    <row r="6172" spans="19:19" x14ac:dyDescent="0.25">
      <c r="S6172" s="24">
        <f t="shared" si="400"/>
        <v>0.02</v>
      </c>
    </row>
    <row r="6173" spans="19:19" x14ac:dyDescent="0.25">
      <c r="S6173" s="24">
        <f t="shared" si="400"/>
        <v>0.02</v>
      </c>
    </row>
    <row r="6174" spans="19:19" x14ac:dyDescent="0.25">
      <c r="S6174" s="24">
        <f t="shared" si="400"/>
        <v>0.02</v>
      </c>
    </row>
    <row r="6175" spans="19:19" x14ac:dyDescent="0.25">
      <c r="S6175" s="24">
        <f t="shared" si="400"/>
        <v>0.02</v>
      </c>
    </row>
    <row r="6176" spans="19:19" x14ac:dyDescent="0.25">
      <c r="S6176" s="24">
        <f t="shared" si="400"/>
        <v>0.02</v>
      </c>
    </row>
    <row r="6177" spans="19:19" x14ac:dyDescent="0.25">
      <c r="S6177" s="24">
        <f t="shared" si="400"/>
        <v>0.02</v>
      </c>
    </row>
    <row r="6178" spans="19:19" x14ac:dyDescent="0.25">
      <c r="S6178" s="24">
        <f t="shared" si="400"/>
        <v>0.02</v>
      </c>
    </row>
    <row r="6179" spans="19:19" x14ac:dyDescent="0.25">
      <c r="S6179" s="24">
        <f t="shared" si="400"/>
        <v>0.02</v>
      </c>
    </row>
    <row r="6180" spans="19:19" x14ac:dyDescent="0.25">
      <c r="S6180" s="24">
        <f t="shared" si="400"/>
        <v>0.02</v>
      </c>
    </row>
    <row r="6181" spans="19:19" x14ac:dyDescent="0.25">
      <c r="S6181" s="24">
        <f t="shared" si="400"/>
        <v>0.02</v>
      </c>
    </row>
    <row r="6182" spans="19:19" x14ac:dyDescent="0.25">
      <c r="S6182" s="24">
        <f t="shared" si="400"/>
        <v>0.02</v>
      </c>
    </row>
    <row r="6183" spans="19:19" x14ac:dyDescent="0.25">
      <c r="S6183" s="24">
        <f t="shared" si="400"/>
        <v>0.02</v>
      </c>
    </row>
    <row r="6184" spans="19:19" x14ac:dyDescent="0.25">
      <c r="S6184" s="24">
        <f t="shared" si="400"/>
        <v>0.02</v>
      </c>
    </row>
    <row r="6185" spans="19:19" x14ac:dyDescent="0.25">
      <c r="S6185" s="24">
        <f t="shared" si="400"/>
        <v>0.02</v>
      </c>
    </row>
    <row r="6186" spans="19:19" x14ac:dyDescent="0.25">
      <c r="S6186" s="24">
        <f t="shared" si="400"/>
        <v>0.02</v>
      </c>
    </row>
    <row r="6187" spans="19:19" x14ac:dyDescent="0.25">
      <c r="S6187" s="24">
        <f t="shared" si="400"/>
        <v>0.02</v>
      </c>
    </row>
    <row r="6188" spans="19:19" x14ac:dyDescent="0.25">
      <c r="S6188" s="24">
        <f t="shared" si="400"/>
        <v>0.02</v>
      </c>
    </row>
    <row r="6189" spans="19:19" x14ac:dyDescent="0.25">
      <c r="S6189" s="24">
        <f t="shared" si="400"/>
        <v>0.02</v>
      </c>
    </row>
    <row r="6190" spans="19:19" x14ac:dyDescent="0.25">
      <c r="S6190" s="24">
        <f t="shared" si="400"/>
        <v>0.02</v>
      </c>
    </row>
    <row r="6191" spans="19:19" x14ac:dyDescent="0.25">
      <c r="S6191" s="24">
        <f t="shared" si="400"/>
        <v>0.02</v>
      </c>
    </row>
    <row r="6192" spans="19:19" x14ac:dyDescent="0.25">
      <c r="S6192" s="24">
        <f t="shared" si="400"/>
        <v>0.02</v>
      </c>
    </row>
    <row r="6193" spans="19:19" x14ac:dyDescent="0.25">
      <c r="S6193" s="24">
        <f t="shared" si="400"/>
        <v>0.02</v>
      </c>
    </row>
    <row r="6194" spans="19:19" x14ac:dyDescent="0.25">
      <c r="S6194" s="24">
        <f t="shared" si="400"/>
        <v>0.02</v>
      </c>
    </row>
    <row r="6195" spans="19:19" x14ac:dyDescent="0.25">
      <c r="S6195" s="24">
        <f t="shared" si="400"/>
        <v>0.02</v>
      </c>
    </row>
    <row r="6196" spans="19:19" x14ac:dyDescent="0.25">
      <c r="S6196" s="24">
        <f t="shared" si="400"/>
        <v>0.02</v>
      </c>
    </row>
    <row r="6197" spans="19:19" x14ac:dyDescent="0.25">
      <c r="S6197" s="24">
        <f t="shared" si="400"/>
        <v>0.02</v>
      </c>
    </row>
    <row r="6198" spans="19:19" x14ac:dyDescent="0.25">
      <c r="S6198" s="24">
        <f t="shared" si="400"/>
        <v>0.02</v>
      </c>
    </row>
    <row r="6199" spans="19:19" x14ac:dyDescent="0.25">
      <c r="S6199" s="24">
        <f t="shared" si="400"/>
        <v>0.02</v>
      </c>
    </row>
    <row r="6200" spans="19:19" x14ac:dyDescent="0.25">
      <c r="S6200" s="24">
        <f t="shared" si="400"/>
        <v>0.02</v>
      </c>
    </row>
    <row r="6201" spans="19:19" x14ac:dyDescent="0.25">
      <c r="S6201" s="24">
        <f t="shared" si="400"/>
        <v>0.02</v>
      </c>
    </row>
    <row r="6202" spans="19:19" x14ac:dyDescent="0.25">
      <c r="S6202" s="24">
        <f t="shared" si="400"/>
        <v>0.02</v>
      </c>
    </row>
    <row r="6203" spans="19:19" x14ac:dyDescent="0.25">
      <c r="S6203" s="24">
        <f t="shared" si="400"/>
        <v>0.02</v>
      </c>
    </row>
    <row r="6204" spans="19:19" x14ac:dyDescent="0.25">
      <c r="S6204" s="24">
        <f t="shared" si="400"/>
        <v>0.02</v>
      </c>
    </row>
    <row r="6205" spans="19:19" x14ac:dyDescent="0.25">
      <c r="S6205" s="24">
        <f t="shared" si="400"/>
        <v>0.02</v>
      </c>
    </row>
    <row r="6206" spans="19:19" x14ac:dyDescent="0.25">
      <c r="S6206" s="24">
        <f t="shared" si="400"/>
        <v>0.02</v>
      </c>
    </row>
    <row r="6207" spans="19:19" x14ac:dyDescent="0.25">
      <c r="S6207" s="24">
        <f t="shared" si="400"/>
        <v>0.02</v>
      </c>
    </row>
    <row r="6208" spans="19:19" x14ac:dyDescent="0.25">
      <c r="S6208" s="24">
        <f t="shared" si="400"/>
        <v>0.02</v>
      </c>
    </row>
    <row r="6209" spans="19:19" x14ac:dyDescent="0.25">
      <c r="S6209" s="24">
        <f t="shared" si="400"/>
        <v>0.02</v>
      </c>
    </row>
    <row r="6210" spans="19:19" x14ac:dyDescent="0.25">
      <c r="S6210" s="24">
        <f t="shared" si="400"/>
        <v>0.02</v>
      </c>
    </row>
    <row r="6211" spans="19:19" x14ac:dyDescent="0.25">
      <c r="S6211" s="24">
        <f t="shared" si="400"/>
        <v>0.02</v>
      </c>
    </row>
    <row r="6212" spans="19:19" x14ac:dyDescent="0.25">
      <c r="S6212" s="24">
        <f t="shared" si="400"/>
        <v>0.02</v>
      </c>
    </row>
    <row r="6213" spans="19:19" x14ac:dyDescent="0.25">
      <c r="S6213" s="24">
        <f t="shared" si="400"/>
        <v>0.02</v>
      </c>
    </row>
    <row r="6214" spans="19:19" x14ac:dyDescent="0.25">
      <c r="S6214" s="24">
        <f t="shared" si="400"/>
        <v>0.02</v>
      </c>
    </row>
    <row r="6215" spans="19:19" x14ac:dyDescent="0.25">
      <c r="S6215" s="24">
        <f t="shared" si="400"/>
        <v>0.02</v>
      </c>
    </row>
    <row r="6216" spans="19:19" x14ac:dyDescent="0.25">
      <c r="S6216" s="24">
        <f t="shared" si="400"/>
        <v>0.02</v>
      </c>
    </row>
    <row r="6217" spans="19:19" x14ac:dyDescent="0.25">
      <c r="S6217" s="24">
        <f t="shared" si="400"/>
        <v>0.02</v>
      </c>
    </row>
    <row r="6218" spans="19:19" x14ac:dyDescent="0.25">
      <c r="S6218" s="24">
        <f t="shared" si="400"/>
        <v>0.02</v>
      </c>
    </row>
    <row r="6219" spans="19:19" x14ac:dyDescent="0.25">
      <c r="S6219" s="24">
        <f t="shared" ref="S6219:S6282" si="401">VLOOKUP(N6219,$T$1:$U$7,2,TRUE)</f>
        <v>0.02</v>
      </c>
    </row>
    <row r="6220" spans="19:19" x14ac:dyDescent="0.25">
      <c r="S6220" s="24">
        <f t="shared" si="401"/>
        <v>0.02</v>
      </c>
    </row>
    <row r="6221" spans="19:19" x14ac:dyDescent="0.25">
      <c r="S6221" s="24">
        <f t="shared" si="401"/>
        <v>0.02</v>
      </c>
    </row>
    <row r="6222" spans="19:19" x14ac:dyDescent="0.25">
      <c r="S6222" s="24">
        <f t="shared" si="401"/>
        <v>0.02</v>
      </c>
    </row>
    <row r="6223" spans="19:19" x14ac:dyDescent="0.25">
      <c r="S6223" s="24">
        <f t="shared" si="401"/>
        <v>0.02</v>
      </c>
    </row>
    <row r="6224" spans="19:19" x14ac:dyDescent="0.25">
      <c r="S6224" s="24">
        <f t="shared" si="401"/>
        <v>0.02</v>
      </c>
    </row>
    <row r="6225" spans="19:19" x14ac:dyDescent="0.25">
      <c r="S6225" s="24">
        <f t="shared" si="401"/>
        <v>0.02</v>
      </c>
    </row>
    <row r="6226" spans="19:19" x14ac:dyDescent="0.25">
      <c r="S6226" s="24">
        <f t="shared" si="401"/>
        <v>0.02</v>
      </c>
    </row>
    <row r="6227" spans="19:19" x14ac:dyDescent="0.25">
      <c r="S6227" s="24">
        <f t="shared" si="401"/>
        <v>0.02</v>
      </c>
    </row>
    <row r="6228" spans="19:19" x14ac:dyDescent="0.25">
      <c r="S6228" s="24">
        <f t="shared" si="401"/>
        <v>0.02</v>
      </c>
    </row>
    <row r="6229" spans="19:19" x14ac:dyDescent="0.25">
      <c r="S6229" s="24">
        <f t="shared" si="401"/>
        <v>0.02</v>
      </c>
    </row>
    <row r="6230" spans="19:19" x14ac:dyDescent="0.25">
      <c r="S6230" s="24">
        <f t="shared" si="401"/>
        <v>0.02</v>
      </c>
    </row>
    <row r="6231" spans="19:19" x14ac:dyDescent="0.25">
      <c r="S6231" s="24">
        <f t="shared" si="401"/>
        <v>0.02</v>
      </c>
    </row>
    <row r="6232" spans="19:19" x14ac:dyDescent="0.25">
      <c r="S6232" s="24">
        <f t="shared" si="401"/>
        <v>0.02</v>
      </c>
    </row>
    <row r="6233" spans="19:19" x14ac:dyDescent="0.25">
      <c r="S6233" s="24">
        <f t="shared" si="401"/>
        <v>0.02</v>
      </c>
    </row>
    <row r="6234" spans="19:19" x14ac:dyDescent="0.25">
      <c r="S6234" s="24">
        <f t="shared" si="401"/>
        <v>0.02</v>
      </c>
    </row>
    <row r="6235" spans="19:19" x14ac:dyDescent="0.25">
      <c r="S6235" s="24">
        <f t="shared" si="401"/>
        <v>0.02</v>
      </c>
    </row>
    <row r="6236" spans="19:19" x14ac:dyDescent="0.25">
      <c r="S6236" s="24">
        <f t="shared" si="401"/>
        <v>0.02</v>
      </c>
    </row>
    <row r="6237" spans="19:19" x14ac:dyDescent="0.25">
      <c r="S6237" s="24">
        <f t="shared" si="401"/>
        <v>0.02</v>
      </c>
    </row>
    <row r="6238" spans="19:19" x14ac:dyDescent="0.25">
      <c r="S6238" s="24">
        <f t="shared" si="401"/>
        <v>0.02</v>
      </c>
    </row>
    <row r="6239" spans="19:19" x14ac:dyDescent="0.25">
      <c r="S6239" s="24">
        <f t="shared" si="401"/>
        <v>0.02</v>
      </c>
    </row>
    <row r="6240" spans="19:19" x14ac:dyDescent="0.25">
      <c r="S6240" s="24">
        <f t="shared" si="401"/>
        <v>0.02</v>
      </c>
    </row>
    <row r="6241" spans="19:19" x14ac:dyDescent="0.25">
      <c r="S6241" s="24">
        <f t="shared" si="401"/>
        <v>0.02</v>
      </c>
    </row>
    <row r="6242" spans="19:19" x14ac:dyDescent="0.25">
      <c r="S6242" s="24">
        <f t="shared" si="401"/>
        <v>0.02</v>
      </c>
    </row>
    <row r="6243" spans="19:19" x14ac:dyDescent="0.25">
      <c r="S6243" s="24">
        <f t="shared" si="401"/>
        <v>0.02</v>
      </c>
    </row>
    <row r="6244" spans="19:19" x14ac:dyDescent="0.25">
      <c r="S6244" s="24">
        <f t="shared" si="401"/>
        <v>0.02</v>
      </c>
    </row>
    <row r="6245" spans="19:19" x14ac:dyDescent="0.25">
      <c r="S6245" s="24">
        <f t="shared" si="401"/>
        <v>0.02</v>
      </c>
    </row>
    <row r="6246" spans="19:19" x14ac:dyDescent="0.25">
      <c r="S6246" s="24">
        <f t="shared" si="401"/>
        <v>0.02</v>
      </c>
    </row>
    <row r="6247" spans="19:19" x14ac:dyDescent="0.25">
      <c r="S6247" s="24">
        <f t="shared" si="401"/>
        <v>0.02</v>
      </c>
    </row>
    <row r="6248" spans="19:19" x14ac:dyDescent="0.25">
      <c r="S6248" s="24">
        <f t="shared" si="401"/>
        <v>0.02</v>
      </c>
    </row>
    <row r="6249" spans="19:19" x14ac:dyDescent="0.25">
      <c r="S6249" s="24">
        <f t="shared" si="401"/>
        <v>0.02</v>
      </c>
    </row>
    <row r="6250" spans="19:19" x14ac:dyDescent="0.25">
      <c r="S6250" s="24">
        <f t="shared" si="401"/>
        <v>0.02</v>
      </c>
    </row>
    <row r="6251" spans="19:19" x14ac:dyDescent="0.25">
      <c r="S6251" s="24">
        <f t="shared" si="401"/>
        <v>0.02</v>
      </c>
    </row>
    <row r="6252" spans="19:19" x14ac:dyDescent="0.25">
      <c r="S6252" s="24">
        <f t="shared" si="401"/>
        <v>0.02</v>
      </c>
    </row>
    <row r="6253" spans="19:19" x14ac:dyDescent="0.25">
      <c r="S6253" s="24">
        <f t="shared" si="401"/>
        <v>0.02</v>
      </c>
    </row>
    <row r="6254" spans="19:19" x14ac:dyDescent="0.25">
      <c r="S6254" s="24">
        <f t="shared" si="401"/>
        <v>0.02</v>
      </c>
    </row>
    <row r="6255" spans="19:19" x14ac:dyDescent="0.25">
      <c r="S6255" s="24">
        <f t="shared" si="401"/>
        <v>0.02</v>
      </c>
    </row>
    <row r="6256" spans="19:19" x14ac:dyDescent="0.25">
      <c r="S6256" s="24">
        <f t="shared" si="401"/>
        <v>0.02</v>
      </c>
    </row>
    <row r="6257" spans="19:19" x14ac:dyDescent="0.25">
      <c r="S6257" s="24">
        <f t="shared" si="401"/>
        <v>0.02</v>
      </c>
    </row>
    <row r="6258" spans="19:19" x14ac:dyDescent="0.25">
      <c r="S6258" s="24">
        <f t="shared" si="401"/>
        <v>0.02</v>
      </c>
    </row>
    <row r="6259" spans="19:19" x14ac:dyDescent="0.25">
      <c r="S6259" s="24">
        <f t="shared" si="401"/>
        <v>0.02</v>
      </c>
    </row>
    <row r="6260" spans="19:19" x14ac:dyDescent="0.25">
      <c r="S6260" s="24">
        <f t="shared" si="401"/>
        <v>0.02</v>
      </c>
    </row>
    <row r="6261" spans="19:19" x14ac:dyDescent="0.25">
      <c r="S6261" s="24">
        <f t="shared" si="401"/>
        <v>0.02</v>
      </c>
    </row>
    <row r="6262" spans="19:19" x14ac:dyDescent="0.25">
      <c r="S6262" s="24">
        <f t="shared" si="401"/>
        <v>0.02</v>
      </c>
    </row>
    <row r="6263" spans="19:19" x14ac:dyDescent="0.25">
      <c r="S6263" s="24">
        <f t="shared" si="401"/>
        <v>0.02</v>
      </c>
    </row>
    <row r="6264" spans="19:19" x14ac:dyDescent="0.25">
      <c r="S6264" s="24">
        <f t="shared" si="401"/>
        <v>0.02</v>
      </c>
    </row>
    <row r="6265" spans="19:19" x14ac:dyDescent="0.25">
      <c r="S6265" s="24">
        <f t="shared" si="401"/>
        <v>0.02</v>
      </c>
    </row>
    <row r="6266" spans="19:19" x14ac:dyDescent="0.25">
      <c r="S6266" s="24">
        <f t="shared" si="401"/>
        <v>0.02</v>
      </c>
    </row>
    <row r="6267" spans="19:19" x14ac:dyDescent="0.25">
      <c r="S6267" s="24">
        <f t="shared" si="401"/>
        <v>0.02</v>
      </c>
    </row>
    <row r="6268" spans="19:19" x14ac:dyDescent="0.25">
      <c r="S6268" s="24">
        <f t="shared" si="401"/>
        <v>0.02</v>
      </c>
    </row>
    <row r="6269" spans="19:19" x14ac:dyDescent="0.25">
      <c r="S6269" s="24">
        <f t="shared" si="401"/>
        <v>0.02</v>
      </c>
    </row>
    <row r="6270" spans="19:19" x14ac:dyDescent="0.25">
      <c r="S6270" s="24">
        <f t="shared" si="401"/>
        <v>0.02</v>
      </c>
    </row>
    <row r="6271" spans="19:19" x14ac:dyDescent="0.25">
      <c r="S6271" s="24">
        <f t="shared" si="401"/>
        <v>0.02</v>
      </c>
    </row>
    <row r="6272" spans="19:19" x14ac:dyDescent="0.25">
      <c r="S6272" s="24">
        <f t="shared" si="401"/>
        <v>0.02</v>
      </c>
    </row>
    <row r="6273" spans="19:19" x14ac:dyDescent="0.25">
      <c r="S6273" s="24">
        <f t="shared" si="401"/>
        <v>0.02</v>
      </c>
    </row>
    <row r="6274" spans="19:19" x14ac:dyDescent="0.25">
      <c r="S6274" s="24">
        <f t="shared" si="401"/>
        <v>0.02</v>
      </c>
    </row>
    <row r="6275" spans="19:19" x14ac:dyDescent="0.25">
      <c r="S6275" s="24">
        <f t="shared" si="401"/>
        <v>0.02</v>
      </c>
    </row>
    <row r="6276" spans="19:19" x14ac:dyDescent="0.25">
      <c r="S6276" s="24">
        <f t="shared" si="401"/>
        <v>0.02</v>
      </c>
    </row>
    <row r="6277" spans="19:19" x14ac:dyDescent="0.25">
      <c r="S6277" s="24">
        <f t="shared" si="401"/>
        <v>0.02</v>
      </c>
    </row>
    <row r="6278" spans="19:19" x14ac:dyDescent="0.25">
      <c r="S6278" s="24">
        <f t="shared" si="401"/>
        <v>0.02</v>
      </c>
    </row>
    <row r="6279" spans="19:19" x14ac:dyDescent="0.25">
      <c r="S6279" s="24">
        <f t="shared" si="401"/>
        <v>0.02</v>
      </c>
    </row>
    <row r="6280" spans="19:19" x14ac:dyDescent="0.25">
      <c r="S6280" s="24">
        <f t="shared" si="401"/>
        <v>0.02</v>
      </c>
    </row>
    <row r="6281" spans="19:19" x14ac:dyDescent="0.25">
      <c r="S6281" s="24">
        <f t="shared" si="401"/>
        <v>0.02</v>
      </c>
    </row>
    <row r="6282" spans="19:19" x14ac:dyDescent="0.25">
      <c r="S6282" s="24">
        <f t="shared" si="401"/>
        <v>0.02</v>
      </c>
    </row>
    <row r="6283" spans="19:19" x14ac:dyDescent="0.25">
      <c r="S6283" s="24">
        <f t="shared" ref="S6283:S6346" si="402">VLOOKUP(N6283,$T$1:$U$7,2,TRUE)</f>
        <v>0.02</v>
      </c>
    </row>
    <row r="6284" spans="19:19" x14ac:dyDescent="0.25">
      <c r="S6284" s="24">
        <f t="shared" si="402"/>
        <v>0.02</v>
      </c>
    </row>
    <row r="6285" spans="19:19" x14ac:dyDescent="0.25">
      <c r="S6285" s="24">
        <f t="shared" si="402"/>
        <v>0.02</v>
      </c>
    </row>
    <row r="6286" spans="19:19" x14ac:dyDescent="0.25">
      <c r="S6286" s="24">
        <f t="shared" si="402"/>
        <v>0.02</v>
      </c>
    </row>
    <row r="6287" spans="19:19" x14ac:dyDescent="0.25">
      <c r="S6287" s="24">
        <f t="shared" si="402"/>
        <v>0.02</v>
      </c>
    </row>
    <row r="6288" spans="19:19" x14ac:dyDescent="0.25">
      <c r="S6288" s="24">
        <f t="shared" si="402"/>
        <v>0.02</v>
      </c>
    </row>
    <row r="6289" spans="19:19" x14ac:dyDescent="0.25">
      <c r="S6289" s="24">
        <f t="shared" si="402"/>
        <v>0.02</v>
      </c>
    </row>
    <row r="6290" spans="19:19" x14ac:dyDescent="0.25">
      <c r="S6290" s="24">
        <f t="shared" si="402"/>
        <v>0.02</v>
      </c>
    </row>
    <row r="6291" spans="19:19" x14ac:dyDescent="0.25">
      <c r="S6291" s="24">
        <f t="shared" si="402"/>
        <v>0.02</v>
      </c>
    </row>
    <row r="6292" spans="19:19" x14ac:dyDescent="0.25">
      <c r="S6292" s="24">
        <f t="shared" si="402"/>
        <v>0.02</v>
      </c>
    </row>
    <row r="6293" spans="19:19" x14ac:dyDescent="0.25">
      <c r="S6293" s="24">
        <f t="shared" si="402"/>
        <v>0.02</v>
      </c>
    </row>
    <row r="6294" spans="19:19" x14ac:dyDescent="0.25">
      <c r="S6294" s="24">
        <f t="shared" si="402"/>
        <v>0.02</v>
      </c>
    </row>
    <row r="6295" spans="19:19" x14ac:dyDescent="0.25">
      <c r="S6295" s="24">
        <f t="shared" si="402"/>
        <v>0.02</v>
      </c>
    </row>
    <row r="6296" spans="19:19" x14ac:dyDescent="0.25">
      <c r="S6296" s="24">
        <f t="shared" si="402"/>
        <v>0.02</v>
      </c>
    </row>
    <row r="6297" spans="19:19" x14ac:dyDescent="0.25">
      <c r="S6297" s="24">
        <f t="shared" si="402"/>
        <v>0.02</v>
      </c>
    </row>
    <row r="6298" spans="19:19" x14ac:dyDescent="0.25">
      <c r="S6298" s="24">
        <f t="shared" si="402"/>
        <v>0.02</v>
      </c>
    </row>
    <row r="6299" spans="19:19" x14ac:dyDescent="0.25">
      <c r="S6299" s="24">
        <f t="shared" si="402"/>
        <v>0.02</v>
      </c>
    </row>
    <row r="6300" spans="19:19" x14ac:dyDescent="0.25">
      <c r="S6300" s="24">
        <f t="shared" si="402"/>
        <v>0.02</v>
      </c>
    </row>
    <row r="6301" spans="19:19" x14ac:dyDescent="0.25">
      <c r="S6301" s="24">
        <f t="shared" si="402"/>
        <v>0.02</v>
      </c>
    </row>
    <row r="6302" spans="19:19" x14ac:dyDescent="0.25">
      <c r="S6302" s="24">
        <f t="shared" si="402"/>
        <v>0.02</v>
      </c>
    </row>
    <row r="6303" spans="19:19" x14ac:dyDescent="0.25">
      <c r="S6303" s="24">
        <f t="shared" si="402"/>
        <v>0.02</v>
      </c>
    </row>
    <row r="6304" spans="19:19" x14ac:dyDescent="0.25">
      <c r="S6304" s="24">
        <f t="shared" si="402"/>
        <v>0.02</v>
      </c>
    </row>
    <row r="6305" spans="19:19" x14ac:dyDescent="0.25">
      <c r="S6305" s="24">
        <f t="shared" si="402"/>
        <v>0.02</v>
      </c>
    </row>
    <row r="6306" spans="19:19" x14ac:dyDescent="0.25">
      <c r="S6306" s="24">
        <f t="shared" si="402"/>
        <v>0.02</v>
      </c>
    </row>
    <row r="6307" spans="19:19" x14ac:dyDescent="0.25">
      <c r="S6307" s="24">
        <f t="shared" si="402"/>
        <v>0.02</v>
      </c>
    </row>
    <row r="6308" spans="19:19" x14ac:dyDescent="0.25">
      <c r="S6308" s="24">
        <f t="shared" si="402"/>
        <v>0.02</v>
      </c>
    </row>
    <row r="6309" spans="19:19" x14ac:dyDescent="0.25">
      <c r="S6309" s="24">
        <f t="shared" si="402"/>
        <v>0.02</v>
      </c>
    </row>
    <row r="6310" spans="19:19" x14ac:dyDescent="0.25">
      <c r="S6310" s="24">
        <f t="shared" si="402"/>
        <v>0.02</v>
      </c>
    </row>
    <row r="6311" spans="19:19" x14ac:dyDescent="0.25">
      <c r="S6311" s="24">
        <f t="shared" si="402"/>
        <v>0.02</v>
      </c>
    </row>
    <row r="6312" spans="19:19" x14ac:dyDescent="0.25">
      <c r="S6312" s="24">
        <f t="shared" si="402"/>
        <v>0.02</v>
      </c>
    </row>
    <row r="6313" spans="19:19" x14ac:dyDescent="0.25">
      <c r="S6313" s="24">
        <f t="shared" si="402"/>
        <v>0.02</v>
      </c>
    </row>
    <row r="6314" spans="19:19" x14ac:dyDescent="0.25">
      <c r="S6314" s="24">
        <f t="shared" si="402"/>
        <v>0.02</v>
      </c>
    </row>
    <row r="6315" spans="19:19" x14ac:dyDescent="0.25">
      <c r="S6315" s="24">
        <f t="shared" si="402"/>
        <v>0.02</v>
      </c>
    </row>
    <row r="6316" spans="19:19" x14ac:dyDescent="0.25">
      <c r="S6316" s="24">
        <f t="shared" si="402"/>
        <v>0.02</v>
      </c>
    </row>
    <row r="6317" spans="19:19" x14ac:dyDescent="0.25">
      <c r="S6317" s="24">
        <f t="shared" si="402"/>
        <v>0.02</v>
      </c>
    </row>
    <row r="6318" spans="19:19" x14ac:dyDescent="0.25">
      <c r="S6318" s="24">
        <f t="shared" si="402"/>
        <v>0.02</v>
      </c>
    </row>
    <row r="6319" spans="19:19" x14ac:dyDescent="0.25">
      <c r="S6319" s="24">
        <f t="shared" si="402"/>
        <v>0.02</v>
      </c>
    </row>
    <row r="6320" spans="19:19" x14ac:dyDescent="0.25">
      <c r="S6320" s="24">
        <f t="shared" si="402"/>
        <v>0.02</v>
      </c>
    </row>
    <row r="6321" spans="19:19" x14ac:dyDescent="0.25">
      <c r="S6321" s="24">
        <f t="shared" si="402"/>
        <v>0.02</v>
      </c>
    </row>
    <row r="6322" spans="19:19" x14ac:dyDescent="0.25">
      <c r="S6322" s="24">
        <f t="shared" si="402"/>
        <v>0.02</v>
      </c>
    </row>
    <row r="6323" spans="19:19" x14ac:dyDescent="0.25">
      <c r="S6323" s="24">
        <f t="shared" si="402"/>
        <v>0.02</v>
      </c>
    </row>
    <row r="6324" spans="19:19" x14ac:dyDescent="0.25">
      <c r="S6324" s="24">
        <f t="shared" si="402"/>
        <v>0.02</v>
      </c>
    </row>
    <row r="6325" spans="19:19" x14ac:dyDescent="0.25">
      <c r="S6325" s="24">
        <f t="shared" si="402"/>
        <v>0.02</v>
      </c>
    </row>
    <row r="6326" spans="19:19" x14ac:dyDescent="0.25">
      <c r="S6326" s="24">
        <f t="shared" si="402"/>
        <v>0.02</v>
      </c>
    </row>
    <row r="6327" spans="19:19" x14ac:dyDescent="0.25">
      <c r="S6327" s="24">
        <f t="shared" si="402"/>
        <v>0.02</v>
      </c>
    </row>
    <row r="6328" spans="19:19" x14ac:dyDescent="0.25">
      <c r="S6328" s="24">
        <f t="shared" si="402"/>
        <v>0.02</v>
      </c>
    </row>
    <row r="6329" spans="19:19" x14ac:dyDescent="0.25">
      <c r="S6329" s="24">
        <f t="shared" si="402"/>
        <v>0.02</v>
      </c>
    </row>
    <row r="6330" spans="19:19" x14ac:dyDescent="0.25">
      <c r="S6330" s="24">
        <f t="shared" si="402"/>
        <v>0.02</v>
      </c>
    </row>
    <row r="6331" spans="19:19" x14ac:dyDescent="0.25">
      <c r="S6331" s="24">
        <f t="shared" si="402"/>
        <v>0.02</v>
      </c>
    </row>
    <row r="6332" spans="19:19" x14ac:dyDescent="0.25">
      <c r="S6332" s="24">
        <f t="shared" si="402"/>
        <v>0.02</v>
      </c>
    </row>
    <row r="6333" spans="19:19" x14ac:dyDescent="0.25">
      <c r="S6333" s="24">
        <f t="shared" si="402"/>
        <v>0.02</v>
      </c>
    </row>
    <row r="6334" spans="19:19" x14ac:dyDescent="0.25">
      <c r="S6334" s="24">
        <f t="shared" si="402"/>
        <v>0.02</v>
      </c>
    </row>
    <row r="6335" spans="19:19" x14ac:dyDescent="0.25">
      <c r="S6335" s="24">
        <f t="shared" si="402"/>
        <v>0.02</v>
      </c>
    </row>
    <row r="6336" spans="19:19" x14ac:dyDescent="0.25">
      <c r="S6336" s="24">
        <f t="shared" si="402"/>
        <v>0.02</v>
      </c>
    </row>
    <row r="6337" spans="19:19" x14ac:dyDescent="0.25">
      <c r="S6337" s="24">
        <f t="shared" si="402"/>
        <v>0.02</v>
      </c>
    </row>
    <row r="6338" spans="19:19" x14ac:dyDescent="0.25">
      <c r="S6338" s="24">
        <f t="shared" si="402"/>
        <v>0.02</v>
      </c>
    </row>
    <row r="6339" spans="19:19" x14ac:dyDescent="0.25">
      <c r="S6339" s="24">
        <f t="shared" si="402"/>
        <v>0.02</v>
      </c>
    </row>
    <row r="6340" spans="19:19" x14ac:dyDescent="0.25">
      <c r="S6340" s="24">
        <f t="shared" si="402"/>
        <v>0.02</v>
      </c>
    </row>
    <row r="6341" spans="19:19" x14ac:dyDescent="0.25">
      <c r="S6341" s="24">
        <f t="shared" si="402"/>
        <v>0.02</v>
      </c>
    </row>
    <row r="6342" spans="19:19" x14ac:dyDescent="0.25">
      <c r="S6342" s="24">
        <f t="shared" si="402"/>
        <v>0.02</v>
      </c>
    </row>
    <row r="6343" spans="19:19" x14ac:dyDescent="0.25">
      <c r="S6343" s="24">
        <f t="shared" si="402"/>
        <v>0.02</v>
      </c>
    </row>
    <row r="6344" spans="19:19" x14ac:dyDescent="0.25">
      <c r="S6344" s="24">
        <f t="shared" si="402"/>
        <v>0.02</v>
      </c>
    </row>
    <row r="6345" spans="19:19" x14ac:dyDescent="0.25">
      <c r="S6345" s="24">
        <f t="shared" si="402"/>
        <v>0.02</v>
      </c>
    </row>
    <row r="6346" spans="19:19" x14ac:dyDescent="0.25">
      <c r="S6346" s="24">
        <f t="shared" si="402"/>
        <v>0.02</v>
      </c>
    </row>
    <row r="6347" spans="19:19" x14ac:dyDescent="0.25">
      <c r="S6347" s="24">
        <f t="shared" ref="S6347:S6410" si="403">VLOOKUP(N6347,$T$1:$U$7,2,TRUE)</f>
        <v>0.02</v>
      </c>
    </row>
    <row r="6348" spans="19:19" x14ac:dyDescent="0.25">
      <c r="S6348" s="24">
        <f t="shared" si="403"/>
        <v>0.02</v>
      </c>
    </row>
    <row r="6349" spans="19:19" x14ac:dyDescent="0.25">
      <c r="S6349" s="24">
        <f t="shared" si="403"/>
        <v>0.02</v>
      </c>
    </row>
    <row r="6350" spans="19:19" x14ac:dyDescent="0.25">
      <c r="S6350" s="24">
        <f t="shared" si="403"/>
        <v>0.02</v>
      </c>
    </row>
    <row r="6351" spans="19:19" x14ac:dyDescent="0.25">
      <c r="S6351" s="24">
        <f t="shared" si="403"/>
        <v>0.02</v>
      </c>
    </row>
    <row r="6352" spans="19:19" x14ac:dyDescent="0.25">
      <c r="S6352" s="24">
        <f t="shared" si="403"/>
        <v>0.02</v>
      </c>
    </row>
    <row r="6353" spans="19:19" x14ac:dyDescent="0.25">
      <c r="S6353" s="24">
        <f t="shared" si="403"/>
        <v>0.02</v>
      </c>
    </row>
    <row r="6354" spans="19:19" x14ac:dyDescent="0.25">
      <c r="S6354" s="24">
        <f t="shared" si="403"/>
        <v>0.02</v>
      </c>
    </row>
    <row r="6355" spans="19:19" x14ac:dyDescent="0.25">
      <c r="S6355" s="24">
        <f t="shared" si="403"/>
        <v>0.02</v>
      </c>
    </row>
    <row r="6356" spans="19:19" x14ac:dyDescent="0.25">
      <c r="S6356" s="24">
        <f t="shared" si="403"/>
        <v>0.02</v>
      </c>
    </row>
    <row r="6357" spans="19:19" x14ac:dyDescent="0.25">
      <c r="S6357" s="24">
        <f t="shared" si="403"/>
        <v>0.02</v>
      </c>
    </row>
    <row r="6358" spans="19:19" x14ac:dyDescent="0.25">
      <c r="S6358" s="24">
        <f t="shared" si="403"/>
        <v>0.02</v>
      </c>
    </row>
    <row r="6359" spans="19:19" x14ac:dyDescent="0.25">
      <c r="S6359" s="24">
        <f t="shared" si="403"/>
        <v>0.02</v>
      </c>
    </row>
    <row r="6360" spans="19:19" x14ac:dyDescent="0.25">
      <c r="S6360" s="24">
        <f t="shared" si="403"/>
        <v>0.02</v>
      </c>
    </row>
    <row r="6361" spans="19:19" x14ac:dyDescent="0.25">
      <c r="S6361" s="24">
        <f t="shared" si="403"/>
        <v>0.02</v>
      </c>
    </row>
    <row r="6362" spans="19:19" x14ac:dyDescent="0.25">
      <c r="S6362" s="24">
        <f t="shared" si="403"/>
        <v>0.02</v>
      </c>
    </row>
    <row r="6363" spans="19:19" x14ac:dyDescent="0.25">
      <c r="S6363" s="24">
        <f t="shared" si="403"/>
        <v>0.02</v>
      </c>
    </row>
    <row r="6364" spans="19:19" x14ac:dyDescent="0.25">
      <c r="S6364" s="24">
        <f t="shared" si="403"/>
        <v>0.02</v>
      </c>
    </row>
    <row r="6365" spans="19:19" x14ac:dyDescent="0.25">
      <c r="S6365" s="24">
        <f t="shared" si="403"/>
        <v>0.02</v>
      </c>
    </row>
    <row r="6366" spans="19:19" x14ac:dyDescent="0.25">
      <c r="S6366" s="24">
        <f t="shared" si="403"/>
        <v>0.02</v>
      </c>
    </row>
    <row r="6367" spans="19:19" x14ac:dyDescent="0.25">
      <c r="S6367" s="24">
        <f t="shared" si="403"/>
        <v>0.02</v>
      </c>
    </row>
    <row r="6368" spans="19:19" x14ac:dyDescent="0.25">
      <c r="S6368" s="24">
        <f t="shared" si="403"/>
        <v>0.02</v>
      </c>
    </row>
    <row r="6369" spans="19:19" x14ac:dyDescent="0.25">
      <c r="S6369" s="24">
        <f t="shared" si="403"/>
        <v>0.02</v>
      </c>
    </row>
    <row r="6370" spans="19:19" x14ac:dyDescent="0.25">
      <c r="S6370" s="24">
        <f t="shared" si="403"/>
        <v>0.02</v>
      </c>
    </row>
    <row r="6371" spans="19:19" x14ac:dyDescent="0.25">
      <c r="S6371" s="24">
        <f t="shared" si="403"/>
        <v>0.02</v>
      </c>
    </row>
    <row r="6372" spans="19:19" x14ac:dyDescent="0.25">
      <c r="S6372" s="24">
        <f t="shared" si="403"/>
        <v>0.02</v>
      </c>
    </row>
    <row r="6373" spans="19:19" x14ac:dyDescent="0.25">
      <c r="S6373" s="24">
        <f t="shared" si="403"/>
        <v>0.02</v>
      </c>
    </row>
    <row r="6374" spans="19:19" x14ac:dyDescent="0.25">
      <c r="S6374" s="24">
        <f t="shared" si="403"/>
        <v>0.02</v>
      </c>
    </row>
    <row r="6375" spans="19:19" x14ac:dyDescent="0.25">
      <c r="S6375" s="24">
        <f t="shared" si="403"/>
        <v>0.02</v>
      </c>
    </row>
    <row r="6376" spans="19:19" x14ac:dyDescent="0.25">
      <c r="S6376" s="24">
        <f t="shared" si="403"/>
        <v>0.02</v>
      </c>
    </row>
    <row r="6377" spans="19:19" x14ac:dyDescent="0.25">
      <c r="S6377" s="24">
        <f t="shared" si="403"/>
        <v>0.02</v>
      </c>
    </row>
    <row r="6378" spans="19:19" x14ac:dyDescent="0.25">
      <c r="S6378" s="24">
        <f t="shared" si="403"/>
        <v>0.02</v>
      </c>
    </row>
    <row r="6379" spans="19:19" x14ac:dyDescent="0.25">
      <c r="S6379" s="24">
        <f t="shared" si="403"/>
        <v>0.02</v>
      </c>
    </row>
    <row r="6380" spans="19:19" x14ac:dyDescent="0.25">
      <c r="S6380" s="24">
        <f t="shared" si="403"/>
        <v>0.02</v>
      </c>
    </row>
    <row r="6381" spans="19:19" x14ac:dyDescent="0.25">
      <c r="S6381" s="24">
        <f t="shared" si="403"/>
        <v>0.02</v>
      </c>
    </row>
    <row r="6382" spans="19:19" x14ac:dyDescent="0.25">
      <c r="S6382" s="24">
        <f t="shared" si="403"/>
        <v>0.02</v>
      </c>
    </row>
    <row r="6383" spans="19:19" x14ac:dyDescent="0.25">
      <c r="S6383" s="24">
        <f t="shared" si="403"/>
        <v>0.02</v>
      </c>
    </row>
    <row r="6384" spans="19:19" x14ac:dyDescent="0.25">
      <c r="S6384" s="24">
        <f t="shared" si="403"/>
        <v>0.02</v>
      </c>
    </row>
    <row r="6385" spans="19:19" x14ac:dyDescent="0.25">
      <c r="S6385" s="24">
        <f t="shared" si="403"/>
        <v>0.02</v>
      </c>
    </row>
    <row r="6386" spans="19:19" x14ac:dyDescent="0.25">
      <c r="S6386" s="24">
        <f t="shared" si="403"/>
        <v>0.02</v>
      </c>
    </row>
    <row r="6387" spans="19:19" x14ac:dyDescent="0.25">
      <c r="S6387" s="24">
        <f t="shared" si="403"/>
        <v>0.02</v>
      </c>
    </row>
    <row r="6388" spans="19:19" x14ac:dyDescent="0.25">
      <c r="S6388" s="24">
        <f t="shared" si="403"/>
        <v>0.02</v>
      </c>
    </row>
    <row r="6389" spans="19:19" x14ac:dyDescent="0.25">
      <c r="S6389" s="24">
        <f t="shared" si="403"/>
        <v>0.02</v>
      </c>
    </row>
    <row r="6390" spans="19:19" x14ac:dyDescent="0.25">
      <c r="S6390" s="24">
        <f t="shared" si="403"/>
        <v>0.02</v>
      </c>
    </row>
    <row r="6391" spans="19:19" x14ac:dyDescent="0.25">
      <c r="S6391" s="24">
        <f t="shared" si="403"/>
        <v>0.02</v>
      </c>
    </row>
    <row r="6392" spans="19:19" x14ac:dyDescent="0.25">
      <c r="S6392" s="24">
        <f t="shared" si="403"/>
        <v>0.02</v>
      </c>
    </row>
    <row r="6393" spans="19:19" x14ac:dyDescent="0.25">
      <c r="S6393" s="24">
        <f t="shared" si="403"/>
        <v>0.02</v>
      </c>
    </row>
    <row r="6394" spans="19:19" x14ac:dyDescent="0.25">
      <c r="S6394" s="24">
        <f t="shared" si="403"/>
        <v>0.02</v>
      </c>
    </row>
    <row r="6395" spans="19:19" x14ac:dyDescent="0.25">
      <c r="S6395" s="24">
        <f t="shared" si="403"/>
        <v>0.02</v>
      </c>
    </row>
    <row r="6396" spans="19:19" x14ac:dyDescent="0.25">
      <c r="S6396" s="24">
        <f t="shared" si="403"/>
        <v>0.02</v>
      </c>
    </row>
    <row r="6397" spans="19:19" x14ac:dyDescent="0.25">
      <c r="S6397" s="24">
        <f t="shared" si="403"/>
        <v>0.02</v>
      </c>
    </row>
    <row r="6398" spans="19:19" x14ac:dyDescent="0.25">
      <c r="S6398" s="24">
        <f t="shared" si="403"/>
        <v>0.02</v>
      </c>
    </row>
    <row r="6399" spans="19:19" x14ac:dyDescent="0.25">
      <c r="S6399" s="24">
        <f t="shared" si="403"/>
        <v>0.02</v>
      </c>
    </row>
    <row r="6400" spans="19:19" x14ac:dyDescent="0.25">
      <c r="S6400" s="24">
        <f t="shared" si="403"/>
        <v>0.02</v>
      </c>
    </row>
    <row r="6401" spans="19:19" x14ac:dyDescent="0.25">
      <c r="S6401" s="24">
        <f t="shared" si="403"/>
        <v>0.02</v>
      </c>
    </row>
    <row r="6402" spans="19:19" x14ac:dyDescent="0.25">
      <c r="S6402" s="24">
        <f t="shared" si="403"/>
        <v>0.02</v>
      </c>
    </row>
    <row r="6403" spans="19:19" x14ac:dyDescent="0.25">
      <c r="S6403" s="24">
        <f t="shared" si="403"/>
        <v>0.02</v>
      </c>
    </row>
    <row r="6404" spans="19:19" x14ac:dyDescent="0.25">
      <c r="S6404" s="24">
        <f t="shared" si="403"/>
        <v>0.02</v>
      </c>
    </row>
    <row r="6405" spans="19:19" x14ac:dyDescent="0.25">
      <c r="S6405" s="24">
        <f t="shared" si="403"/>
        <v>0.02</v>
      </c>
    </row>
    <row r="6406" spans="19:19" x14ac:dyDescent="0.25">
      <c r="S6406" s="24">
        <f t="shared" si="403"/>
        <v>0.02</v>
      </c>
    </row>
    <row r="6407" spans="19:19" x14ac:dyDescent="0.25">
      <c r="S6407" s="24">
        <f t="shared" si="403"/>
        <v>0.02</v>
      </c>
    </row>
    <row r="6408" spans="19:19" x14ac:dyDescent="0.25">
      <c r="S6408" s="24">
        <f t="shared" si="403"/>
        <v>0.02</v>
      </c>
    </row>
    <row r="6409" spans="19:19" x14ac:dyDescent="0.25">
      <c r="S6409" s="24">
        <f t="shared" si="403"/>
        <v>0.02</v>
      </c>
    </row>
    <row r="6410" spans="19:19" x14ac:dyDescent="0.25">
      <c r="S6410" s="24">
        <f t="shared" si="403"/>
        <v>0.02</v>
      </c>
    </row>
    <row r="6411" spans="19:19" x14ac:dyDescent="0.25">
      <c r="S6411" s="24">
        <f t="shared" ref="S6411:S6474" si="404">VLOOKUP(N6411,$T$1:$U$7,2,TRUE)</f>
        <v>0.02</v>
      </c>
    </row>
    <row r="6412" spans="19:19" x14ac:dyDescent="0.25">
      <c r="S6412" s="24">
        <f t="shared" si="404"/>
        <v>0.02</v>
      </c>
    </row>
    <row r="6413" spans="19:19" x14ac:dyDescent="0.25">
      <c r="S6413" s="24">
        <f t="shared" si="404"/>
        <v>0.02</v>
      </c>
    </row>
    <row r="6414" spans="19:19" x14ac:dyDescent="0.25">
      <c r="S6414" s="24">
        <f t="shared" si="404"/>
        <v>0.02</v>
      </c>
    </row>
    <row r="6415" spans="19:19" x14ac:dyDescent="0.25">
      <c r="S6415" s="24">
        <f t="shared" si="404"/>
        <v>0.02</v>
      </c>
    </row>
    <row r="6416" spans="19:19" x14ac:dyDescent="0.25">
      <c r="S6416" s="24">
        <f t="shared" si="404"/>
        <v>0.02</v>
      </c>
    </row>
    <row r="6417" spans="19:19" x14ac:dyDescent="0.25">
      <c r="S6417" s="24">
        <f t="shared" si="404"/>
        <v>0.02</v>
      </c>
    </row>
    <row r="6418" spans="19:19" x14ac:dyDescent="0.25">
      <c r="S6418" s="24">
        <f t="shared" si="404"/>
        <v>0.02</v>
      </c>
    </row>
    <row r="6419" spans="19:19" x14ac:dyDescent="0.25">
      <c r="S6419" s="24">
        <f t="shared" si="404"/>
        <v>0.02</v>
      </c>
    </row>
    <row r="6420" spans="19:19" x14ac:dyDescent="0.25">
      <c r="S6420" s="24">
        <f t="shared" si="404"/>
        <v>0.02</v>
      </c>
    </row>
    <row r="6421" spans="19:19" x14ac:dyDescent="0.25">
      <c r="S6421" s="24">
        <f t="shared" si="404"/>
        <v>0.02</v>
      </c>
    </row>
    <row r="6422" spans="19:19" x14ac:dyDescent="0.25">
      <c r="S6422" s="24">
        <f t="shared" si="404"/>
        <v>0.02</v>
      </c>
    </row>
    <row r="6423" spans="19:19" x14ac:dyDescent="0.25">
      <c r="S6423" s="24">
        <f t="shared" si="404"/>
        <v>0.02</v>
      </c>
    </row>
    <row r="6424" spans="19:19" x14ac:dyDescent="0.25">
      <c r="S6424" s="24">
        <f t="shared" si="404"/>
        <v>0.02</v>
      </c>
    </row>
    <row r="6425" spans="19:19" x14ac:dyDescent="0.25">
      <c r="S6425" s="24">
        <f t="shared" si="404"/>
        <v>0.02</v>
      </c>
    </row>
    <row r="6426" spans="19:19" x14ac:dyDescent="0.25">
      <c r="S6426" s="24">
        <f t="shared" si="404"/>
        <v>0.02</v>
      </c>
    </row>
    <row r="6427" spans="19:19" x14ac:dyDescent="0.25">
      <c r="S6427" s="24">
        <f t="shared" si="404"/>
        <v>0.02</v>
      </c>
    </row>
    <row r="6428" spans="19:19" x14ac:dyDescent="0.25">
      <c r="S6428" s="24">
        <f t="shared" si="404"/>
        <v>0.02</v>
      </c>
    </row>
    <row r="6429" spans="19:19" x14ac:dyDescent="0.25">
      <c r="S6429" s="24">
        <f t="shared" si="404"/>
        <v>0.02</v>
      </c>
    </row>
    <row r="6430" spans="19:19" x14ac:dyDescent="0.25">
      <c r="S6430" s="24">
        <f t="shared" si="404"/>
        <v>0.02</v>
      </c>
    </row>
    <row r="6431" spans="19:19" x14ac:dyDescent="0.25">
      <c r="S6431" s="24">
        <f t="shared" si="404"/>
        <v>0.02</v>
      </c>
    </row>
    <row r="6432" spans="19:19" x14ac:dyDescent="0.25">
      <c r="S6432" s="24">
        <f t="shared" si="404"/>
        <v>0.02</v>
      </c>
    </row>
    <row r="6433" spans="19:19" x14ac:dyDescent="0.25">
      <c r="S6433" s="24">
        <f t="shared" si="404"/>
        <v>0.02</v>
      </c>
    </row>
    <row r="6434" spans="19:19" x14ac:dyDescent="0.25">
      <c r="S6434" s="24">
        <f t="shared" si="404"/>
        <v>0.02</v>
      </c>
    </row>
    <row r="6435" spans="19:19" x14ac:dyDescent="0.25">
      <c r="S6435" s="24">
        <f t="shared" si="404"/>
        <v>0.02</v>
      </c>
    </row>
    <row r="6436" spans="19:19" x14ac:dyDescent="0.25">
      <c r="S6436" s="24">
        <f t="shared" si="404"/>
        <v>0.02</v>
      </c>
    </row>
    <row r="6437" spans="19:19" x14ac:dyDescent="0.25">
      <c r="S6437" s="24">
        <f t="shared" si="404"/>
        <v>0.02</v>
      </c>
    </row>
    <row r="6438" spans="19:19" x14ac:dyDescent="0.25">
      <c r="S6438" s="24">
        <f t="shared" si="404"/>
        <v>0.02</v>
      </c>
    </row>
    <row r="6439" spans="19:19" x14ac:dyDescent="0.25">
      <c r="S6439" s="24">
        <f t="shared" si="404"/>
        <v>0.02</v>
      </c>
    </row>
    <row r="6440" spans="19:19" x14ac:dyDescent="0.25">
      <c r="S6440" s="24">
        <f t="shared" si="404"/>
        <v>0.02</v>
      </c>
    </row>
    <row r="6441" spans="19:19" x14ac:dyDescent="0.25">
      <c r="S6441" s="24">
        <f t="shared" si="404"/>
        <v>0.02</v>
      </c>
    </row>
    <row r="6442" spans="19:19" x14ac:dyDescent="0.25">
      <c r="S6442" s="24">
        <f t="shared" si="404"/>
        <v>0.02</v>
      </c>
    </row>
    <row r="6443" spans="19:19" x14ac:dyDescent="0.25">
      <c r="S6443" s="24">
        <f t="shared" si="404"/>
        <v>0.02</v>
      </c>
    </row>
    <row r="6444" spans="19:19" x14ac:dyDescent="0.25">
      <c r="S6444" s="24">
        <f t="shared" si="404"/>
        <v>0.02</v>
      </c>
    </row>
    <row r="6445" spans="19:19" x14ac:dyDescent="0.25">
      <c r="S6445" s="24">
        <f t="shared" si="404"/>
        <v>0.02</v>
      </c>
    </row>
    <row r="6446" spans="19:19" x14ac:dyDescent="0.25">
      <c r="S6446" s="24">
        <f t="shared" si="404"/>
        <v>0.02</v>
      </c>
    </row>
    <row r="6447" spans="19:19" x14ac:dyDescent="0.25">
      <c r="S6447" s="24">
        <f t="shared" si="404"/>
        <v>0.02</v>
      </c>
    </row>
    <row r="6448" spans="19:19" x14ac:dyDescent="0.25">
      <c r="S6448" s="24">
        <f t="shared" si="404"/>
        <v>0.02</v>
      </c>
    </row>
    <row r="6449" spans="19:19" x14ac:dyDescent="0.25">
      <c r="S6449" s="24">
        <f t="shared" si="404"/>
        <v>0.02</v>
      </c>
    </row>
    <row r="6450" spans="19:19" x14ac:dyDescent="0.25">
      <c r="S6450" s="24">
        <f t="shared" si="404"/>
        <v>0.02</v>
      </c>
    </row>
    <row r="6451" spans="19:19" x14ac:dyDescent="0.25">
      <c r="S6451" s="24">
        <f t="shared" si="404"/>
        <v>0.02</v>
      </c>
    </row>
    <row r="6452" spans="19:19" x14ac:dyDescent="0.25">
      <c r="S6452" s="24">
        <f t="shared" si="404"/>
        <v>0.02</v>
      </c>
    </row>
    <row r="6453" spans="19:19" x14ac:dyDescent="0.25">
      <c r="S6453" s="24">
        <f t="shared" si="404"/>
        <v>0.02</v>
      </c>
    </row>
    <row r="6454" spans="19:19" x14ac:dyDescent="0.25">
      <c r="S6454" s="24">
        <f t="shared" si="404"/>
        <v>0.02</v>
      </c>
    </row>
    <row r="6455" spans="19:19" x14ac:dyDescent="0.25">
      <c r="S6455" s="24">
        <f t="shared" si="404"/>
        <v>0.02</v>
      </c>
    </row>
    <row r="6456" spans="19:19" x14ac:dyDescent="0.25">
      <c r="S6456" s="24">
        <f t="shared" si="404"/>
        <v>0.02</v>
      </c>
    </row>
    <row r="6457" spans="19:19" x14ac:dyDescent="0.25">
      <c r="S6457" s="24">
        <f t="shared" si="404"/>
        <v>0.02</v>
      </c>
    </row>
    <row r="6458" spans="19:19" x14ac:dyDescent="0.25">
      <c r="S6458" s="24">
        <f t="shared" si="404"/>
        <v>0.02</v>
      </c>
    </row>
    <row r="6459" spans="19:19" x14ac:dyDescent="0.25">
      <c r="S6459" s="24">
        <f t="shared" si="404"/>
        <v>0.02</v>
      </c>
    </row>
    <row r="6460" spans="19:19" x14ac:dyDescent="0.25">
      <c r="S6460" s="24">
        <f t="shared" si="404"/>
        <v>0.02</v>
      </c>
    </row>
    <row r="6461" spans="19:19" x14ac:dyDescent="0.25">
      <c r="S6461" s="24">
        <f t="shared" si="404"/>
        <v>0.02</v>
      </c>
    </row>
    <row r="6462" spans="19:19" x14ac:dyDescent="0.25">
      <c r="S6462" s="24">
        <f t="shared" si="404"/>
        <v>0.02</v>
      </c>
    </row>
    <row r="6463" spans="19:19" x14ac:dyDescent="0.25">
      <c r="S6463" s="24">
        <f t="shared" si="404"/>
        <v>0.02</v>
      </c>
    </row>
    <row r="6464" spans="19:19" x14ac:dyDescent="0.25">
      <c r="S6464" s="24">
        <f t="shared" si="404"/>
        <v>0.02</v>
      </c>
    </row>
    <row r="6465" spans="19:19" x14ac:dyDescent="0.25">
      <c r="S6465" s="24">
        <f t="shared" si="404"/>
        <v>0.02</v>
      </c>
    </row>
    <row r="6466" spans="19:19" x14ac:dyDescent="0.25">
      <c r="S6466" s="24">
        <f t="shared" si="404"/>
        <v>0.02</v>
      </c>
    </row>
    <row r="6467" spans="19:19" x14ac:dyDescent="0.25">
      <c r="S6467" s="24">
        <f t="shared" si="404"/>
        <v>0.02</v>
      </c>
    </row>
    <row r="6468" spans="19:19" x14ac:dyDescent="0.25">
      <c r="S6468" s="24">
        <f t="shared" si="404"/>
        <v>0.02</v>
      </c>
    </row>
    <row r="6469" spans="19:19" x14ac:dyDescent="0.25">
      <c r="S6469" s="24">
        <f t="shared" si="404"/>
        <v>0.02</v>
      </c>
    </row>
    <row r="6470" spans="19:19" x14ac:dyDescent="0.25">
      <c r="S6470" s="24">
        <f t="shared" si="404"/>
        <v>0.02</v>
      </c>
    </row>
    <row r="6471" spans="19:19" x14ac:dyDescent="0.25">
      <c r="S6471" s="24">
        <f t="shared" si="404"/>
        <v>0.02</v>
      </c>
    </row>
    <row r="6472" spans="19:19" x14ac:dyDescent="0.25">
      <c r="S6472" s="24">
        <f t="shared" si="404"/>
        <v>0.02</v>
      </c>
    </row>
    <row r="6473" spans="19:19" x14ac:dyDescent="0.25">
      <c r="S6473" s="24">
        <f t="shared" si="404"/>
        <v>0.02</v>
      </c>
    </row>
    <row r="6474" spans="19:19" x14ac:dyDescent="0.25">
      <c r="S6474" s="24">
        <f t="shared" si="404"/>
        <v>0.02</v>
      </c>
    </row>
    <row r="6475" spans="19:19" x14ac:dyDescent="0.25">
      <c r="S6475" s="24">
        <f t="shared" ref="S6475:S6538" si="405">VLOOKUP(N6475,$T$1:$U$7,2,TRUE)</f>
        <v>0.02</v>
      </c>
    </row>
    <row r="6476" spans="19:19" x14ac:dyDescent="0.25">
      <c r="S6476" s="24">
        <f t="shared" si="405"/>
        <v>0.02</v>
      </c>
    </row>
    <row r="6477" spans="19:19" x14ac:dyDescent="0.25">
      <c r="S6477" s="24">
        <f t="shared" si="405"/>
        <v>0.02</v>
      </c>
    </row>
    <row r="6478" spans="19:19" x14ac:dyDescent="0.25">
      <c r="S6478" s="24">
        <f t="shared" si="405"/>
        <v>0.02</v>
      </c>
    </row>
    <row r="6479" spans="19:19" x14ac:dyDescent="0.25">
      <c r="S6479" s="24">
        <f t="shared" si="405"/>
        <v>0.02</v>
      </c>
    </row>
    <row r="6480" spans="19:19" x14ac:dyDescent="0.25">
      <c r="S6480" s="24">
        <f t="shared" si="405"/>
        <v>0.02</v>
      </c>
    </row>
    <row r="6481" spans="19:19" x14ac:dyDescent="0.25">
      <c r="S6481" s="24">
        <f t="shared" si="405"/>
        <v>0.02</v>
      </c>
    </row>
    <row r="6482" spans="19:19" x14ac:dyDescent="0.25">
      <c r="S6482" s="24">
        <f t="shared" si="405"/>
        <v>0.02</v>
      </c>
    </row>
    <row r="6483" spans="19:19" x14ac:dyDescent="0.25">
      <c r="S6483" s="24">
        <f t="shared" si="405"/>
        <v>0.02</v>
      </c>
    </row>
    <row r="6484" spans="19:19" x14ac:dyDescent="0.25">
      <c r="S6484" s="24">
        <f t="shared" si="405"/>
        <v>0.02</v>
      </c>
    </row>
    <row r="6485" spans="19:19" x14ac:dyDescent="0.25">
      <c r="S6485" s="24">
        <f t="shared" si="405"/>
        <v>0.02</v>
      </c>
    </row>
    <row r="6486" spans="19:19" x14ac:dyDescent="0.25">
      <c r="S6486" s="24">
        <f t="shared" si="405"/>
        <v>0.02</v>
      </c>
    </row>
    <row r="6487" spans="19:19" x14ac:dyDescent="0.25">
      <c r="S6487" s="24">
        <f t="shared" si="405"/>
        <v>0.02</v>
      </c>
    </row>
    <row r="6488" spans="19:19" x14ac:dyDescent="0.25">
      <c r="S6488" s="24">
        <f t="shared" si="405"/>
        <v>0.02</v>
      </c>
    </row>
    <row r="6489" spans="19:19" x14ac:dyDescent="0.25">
      <c r="S6489" s="24">
        <f t="shared" si="405"/>
        <v>0.02</v>
      </c>
    </row>
    <row r="6490" spans="19:19" x14ac:dyDescent="0.25">
      <c r="S6490" s="24">
        <f t="shared" si="405"/>
        <v>0.02</v>
      </c>
    </row>
    <row r="6491" spans="19:19" x14ac:dyDescent="0.25">
      <c r="S6491" s="24">
        <f t="shared" si="405"/>
        <v>0.02</v>
      </c>
    </row>
    <row r="6492" spans="19:19" x14ac:dyDescent="0.25">
      <c r="S6492" s="24">
        <f t="shared" si="405"/>
        <v>0.02</v>
      </c>
    </row>
    <row r="6493" spans="19:19" x14ac:dyDescent="0.25">
      <c r="S6493" s="24">
        <f t="shared" si="405"/>
        <v>0.02</v>
      </c>
    </row>
    <row r="6494" spans="19:19" x14ac:dyDescent="0.25">
      <c r="S6494" s="24">
        <f t="shared" si="405"/>
        <v>0.02</v>
      </c>
    </row>
    <row r="6495" spans="19:19" x14ac:dyDescent="0.25">
      <c r="S6495" s="24">
        <f t="shared" si="405"/>
        <v>0.02</v>
      </c>
    </row>
    <row r="6496" spans="19:19" x14ac:dyDescent="0.25">
      <c r="S6496" s="24">
        <f t="shared" si="405"/>
        <v>0.02</v>
      </c>
    </row>
    <row r="6497" spans="19:19" x14ac:dyDescent="0.25">
      <c r="S6497" s="24">
        <f t="shared" si="405"/>
        <v>0.02</v>
      </c>
    </row>
    <row r="6498" spans="19:19" x14ac:dyDescent="0.25">
      <c r="S6498" s="24">
        <f t="shared" si="405"/>
        <v>0.02</v>
      </c>
    </row>
    <row r="6499" spans="19:19" x14ac:dyDescent="0.25">
      <c r="S6499" s="24">
        <f t="shared" si="405"/>
        <v>0.02</v>
      </c>
    </row>
    <row r="6500" spans="19:19" x14ac:dyDescent="0.25">
      <c r="S6500" s="24">
        <f t="shared" si="405"/>
        <v>0.02</v>
      </c>
    </row>
    <row r="6501" spans="19:19" x14ac:dyDescent="0.25">
      <c r="S6501" s="24">
        <f t="shared" si="405"/>
        <v>0.02</v>
      </c>
    </row>
    <row r="6502" spans="19:19" x14ac:dyDescent="0.25">
      <c r="S6502" s="24">
        <f t="shared" si="405"/>
        <v>0.02</v>
      </c>
    </row>
    <row r="6503" spans="19:19" x14ac:dyDescent="0.25">
      <c r="S6503" s="24">
        <f t="shared" si="405"/>
        <v>0.02</v>
      </c>
    </row>
    <row r="6504" spans="19:19" x14ac:dyDescent="0.25">
      <c r="S6504" s="24">
        <f t="shared" si="405"/>
        <v>0.02</v>
      </c>
    </row>
    <row r="6505" spans="19:19" x14ac:dyDescent="0.25">
      <c r="S6505" s="24">
        <f t="shared" si="405"/>
        <v>0.02</v>
      </c>
    </row>
    <row r="6506" spans="19:19" x14ac:dyDescent="0.25">
      <c r="S6506" s="24">
        <f t="shared" si="405"/>
        <v>0.02</v>
      </c>
    </row>
    <row r="6507" spans="19:19" x14ac:dyDescent="0.25">
      <c r="S6507" s="24">
        <f t="shared" si="405"/>
        <v>0.02</v>
      </c>
    </row>
    <row r="6508" spans="19:19" x14ac:dyDescent="0.25">
      <c r="S6508" s="24">
        <f t="shared" si="405"/>
        <v>0.02</v>
      </c>
    </row>
    <row r="6509" spans="19:19" x14ac:dyDescent="0.25">
      <c r="S6509" s="24">
        <f t="shared" si="405"/>
        <v>0.02</v>
      </c>
    </row>
    <row r="6510" spans="19:19" x14ac:dyDescent="0.25">
      <c r="S6510" s="24">
        <f t="shared" si="405"/>
        <v>0.02</v>
      </c>
    </row>
    <row r="6511" spans="19:19" x14ac:dyDescent="0.25">
      <c r="S6511" s="24">
        <f t="shared" si="405"/>
        <v>0.02</v>
      </c>
    </row>
    <row r="6512" spans="19:19" x14ac:dyDescent="0.25">
      <c r="S6512" s="24">
        <f t="shared" si="405"/>
        <v>0.02</v>
      </c>
    </row>
    <row r="6513" spans="19:19" x14ac:dyDescent="0.25">
      <c r="S6513" s="24">
        <f t="shared" si="405"/>
        <v>0.02</v>
      </c>
    </row>
    <row r="6514" spans="19:19" x14ac:dyDescent="0.25">
      <c r="S6514" s="24">
        <f t="shared" si="405"/>
        <v>0.02</v>
      </c>
    </row>
    <row r="6515" spans="19:19" x14ac:dyDescent="0.25">
      <c r="S6515" s="24">
        <f t="shared" si="405"/>
        <v>0.02</v>
      </c>
    </row>
    <row r="6516" spans="19:19" x14ac:dyDescent="0.25">
      <c r="S6516" s="24">
        <f t="shared" si="405"/>
        <v>0.02</v>
      </c>
    </row>
    <row r="6517" spans="19:19" x14ac:dyDescent="0.25">
      <c r="S6517" s="24">
        <f t="shared" si="405"/>
        <v>0.02</v>
      </c>
    </row>
    <row r="6518" spans="19:19" x14ac:dyDescent="0.25">
      <c r="S6518" s="24">
        <f t="shared" si="405"/>
        <v>0.02</v>
      </c>
    </row>
    <row r="6519" spans="19:19" x14ac:dyDescent="0.25">
      <c r="S6519" s="24">
        <f t="shared" si="405"/>
        <v>0.02</v>
      </c>
    </row>
    <row r="6520" spans="19:19" x14ac:dyDescent="0.25">
      <c r="S6520" s="24">
        <f t="shared" si="405"/>
        <v>0.02</v>
      </c>
    </row>
    <row r="6521" spans="19:19" x14ac:dyDescent="0.25">
      <c r="S6521" s="24">
        <f t="shared" si="405"/>
        <v>0.02</v>
      </c>
    </row>
    <row r="6522" spans="19:19" x14ac:dyDescent="0.25">
      <c r="S6522" s="24">
        <f t="shared" si="405"/>
        <v>0.02</v>
      </c>
    </row>
    <row r="6523" spans="19:19" x14ac:dyDescent="0.25">
      <c r="S6523" s="24">
        <f t="shared" si="405"/>
        <v>0.02</v>
      </c>
    </row>
    <row r="6524" spans="19:19" x14ac:dyDescent="0.25">
      <c r="S6524" s="24">
        <f t="shared" si="405"/>
        <v>0.02</v>
      </c>
    </row>
    <row r="6525" spans="19:19" x14ac:dyDescent="0.25">
      <c r="S6525" s="24">
        <f t="shared" si="405"/>
        <v>0.02</v>
      </c>
    </row>
    <row r="6526" spans="19:19" x14ac:dyDescent="0.25">
      <c r="S6526" s="24">
        <f t="shared" si="405"/>
        <v>0.02</v>
      </c>
    </row>
    <row r="6527" spans="19:19" x14ac:dyDescent="0.25">
      <c r="S6527" s="24">
        <f t="shared" si="405"/>
        <v>0.02</v>
      </c>
    </row>
    <row r="6528" spans="19:19" x14ac:dyDescent="0.25">
      <c r="S6528" s="24">
        <f t="shared" si="405"/>
        <v>0.02</v>
      </c>
    </row>
    <row r="6529" spans="19:19" x14ac:dyDescent="0.25">
      <c r="S6529" s="24">
        <f t="shared" si="405"/>
        <v>0.02</v>
      </c>
    </row>
    <row r="6530" spans="19:19" x14ac:dyDescent="0.25">
      <c r="S6530" s="24">
        <f t="shared" si="405"/>
        <v>0.02</v>
      </c>
    </row>
    <row r="6531" spans="19:19" x14ac:dyDescent="0.25">
      <c r="S6531" s="24">
        <f t="shared" si="405"/>
        <v>0.02</v>
      </c>
    </row>
    <row r="6532" spans="19:19" x14ac:dyDescent="0.25">
      <c r="S6532" s="24">
        <f t="shared" si="405"/>
        <v>0.02</v>
      </c>
    </row>
    <row r="6533" spans="19:19" x14ac:dyDescent="0.25">
      <c r="S6533" s="24">
        <f t="shared" si="405"/>
        <v>0.02</v>
      </c>
    </row>
    <row r="6534" spans="19:19" x14ac:dyDescent="0.25">
      <c r="S6534" s="24">
        <f t="shared" si="405"/>
        <v>0.02</v>
      </c>
    </row>
    <row r="6535" spans="19:19" x14ac:dyDescent="0.25">
      <c r="S6535" s="24">
        <f t="shared" si="405"/>
        <v>0.02</v>
      </c>
    </row>
    <row r="6536" spans="19:19" x14ac:dyDescent="0.25">
      <c r="S6536" s="24">
        <f t="shared" si="405"/>
        <v>0.02</v>
      </c>
    </row>
    <row r="6537" spans="19:19" x14ac:dyDescent="0.25">
      <c r="S6537" s="24">
        <f t="shared" si="405"/>
        <v>0.02</v>
      </c>
    </row>
    <row r="6538" spans="19:19" x14ac:dyDescent="0.25">
      <c r="S6538" s="24">
        <f t="shared" si="405"/>
        <v>0.02</v>
      </c>
    </row>
    <row r="6539" spans="19:19" x14ac:dyDescent="0.25">
      <c r="S6539" s="24">
        <f t="shared" ref="S6539:S6602" si="406">VLOOKUP(N6539,$T$1:$U$7,2,TRUE)</f>
        <v>0.02</v>
      </c>
    </row>
    <row r="6540" spans="19:19" x14ac:dyDescent="0.25">
      <c r="S6540" s="24">
        <f t="shared" si="406"/>
        <v>0.02</v>
      </c>
    </row>
    <row r="6541" spans="19:19" x14ac:dyDescent="0.25">
      <c r="S6541" s="24">
        <f t="shared" si="406"/>
        <v>0.02</v>
      </c>
    </row>
    <row r="6542" spans="19:19" x14ac:dyDescent="0.25">
      <c r="S6542" s="24">
        <f t="shared" si="406"/>
        <v>0.02</v>
      </c>
    </row>
    <row r="6543" spans="19:19" x14ac:dyDescent="0.25">
      <c r="S6543" s="24">
        <f t="shared" si="406"/>
        <v>0.02</v>
      </c>
    </row>
    <row r="6544" spans="19:19" x14ac:dyDescent="0.25">
      <c r="S6544" s="24">
        <f t="shared" si="406"/>
        <v>0.02</v>
      </c>
    </row>
    <row r="6545" spans="19:19" x14ac:dyDescent="0.25">
      <c r="S6545" s="24">
        <f t="shared" si="406"/>
        <v>0.02</v>
      </c>
    </row>
    <row r="6546" spans="19:19" x14ac:dyDescent="0.25">
      <c r="S6546" s="24">
        <f t="shared" si="406"/>
        <v>0.02</v>
      </c>
    </row>
    <row r="6547" spans="19:19" x14ac:dyDescent="0.25">
      <c r="S6547" s="24">
        <f t="shared" si="406"/>
        <v>0.02</v>
      </c>
    </row>
    <row r="6548" spans="19:19" x14ac:dyDescent="0.25">
      <c r="S6548" s="24">
        <f t="shared" si="406"/>
        <v>0.02</v>
      </c>
    </row>
    <row r="6549" spans="19:19" x14ac:dyDescent="0.25">
      <c r="S6549" s="24">
        <f t="shared" si="406"/>
        <v>0.02</v>
      </c>
    </row>
    <row r="6550" spans="19:19" x14ac:dyDescent="0.25">
      <c r="S6550" s="24">
        <f t="shared" si="406"/>
        <v>0.02</v>
      </c>
    </row>
    <row r="6551" spans="19:19" x14ac:dyDescent="0.25">
      <c r="S6551" s="24">
        <f t="shared" si="406"/>
        <v>0.02</v>
      </c>
    </row>
    <row r="6552" spans="19:19" x14ac:dyDescent="0.25">
      <c r="S6552" s="24">
        <f t="shared" si="406"/>
        <v>0.02</v>
      </c>
    </row>
    <row r="6553" spans="19:19" x14ac:dyDescent="0.25">
      <c r="S6553" s="24">
        <f t="shared" si="406"/>
        <v>0.02</v>
      </c>
    </row>
    <row r="6554" spans="19:19" x14ac:dyDescent="0.25">
      <c r="S6554" s="24">
        <f t="shared" si="406"/>
        <v>0.02</v>
      </c>
    </row>
    <row r="6555" spans="19:19" x14ac:dyDescent="0.25">
      <c r="S6555" s="24">
        <f t="shared" si="406"/>
        <v>0.02</v>
      </c>
    </row>
    <row r="6556" spans="19:19" x14ac:dyDescent="0.25">
      <c r="S6556" s="24">
        <f t="shared" si="406"/>
        <v>0.02</v>
      </c>
    </row>
    <row r="6557" spans="19:19" x14ac:dyDescent="0.25">
      <c r="S6557" s="24">
        <f t="shared" si="406"/>
        <v>0.02</v>
      </c>
    </row>
    <row r="6558" spans="19:19" x14ac:dyDescent="0.25">
      <c r="S6558" s="24">
        <f t="shared" si="406"/>
        <v>0.02</v>
      </c>
    </row>
    <row r="6559" spans="19:19" x14ac:dyDescent="0.25">
      <c r="S6559" s="24">
        <f t="shared" si="406"/>
        <v>0.02</v>
      </c>
    </row>
    <row r="6560" spans="19:19" x14ac:dyDescent="0.25">
      <c r="S6560" s="24">
        <f t="shared" si="406"/>
        <v>0.02</v>
      </c>
    </row>
    <row r="6561" spans="19:19" x14ac:dyDescent="0.25">
      <c r="S6561" s="24">
        <f t="shared" si="406"/>
        <v>0.02</v>
      </c>
    </row>
    <row r="6562" spans="19:19" x14ac:dyDescent="0.25">
      <c r="S6562" s="24">
        <f t="shared" si="406"/>
        <v>0.02</v>
      </c>
    </row>
    <row r="6563" spans="19:19" x14ac:dyDescent="0.25">
      <c r="S6563" s="24">
        <f t="shared" si="406"/>
        <v>0.02</v>
      </c>
    </row>
    <row r="6564" spans="19:19" x14ac:dyDescent="0.25">
      <c r="S6564" s="24">
        <f t="shared" si="406"/>
        <v>0.02</v>
      </c>
    </row>
    <row r="6565" spans="19:19" x14ac:dyDescent="0.25">
      <c r="S6565" s="24">
        <f t="shared" si="406"/>
        <v>0.02</v>
      </c>
    </row>
    <row r="6566" spans="19:19" x14ac:dyDescent="0.25">
      <c r="S6566" s="24">
        <f t="shared" si="406"/>
        <v>0.02</v>
      </c>
    </row>
    <row r="6567" spans="19:19" x14ac:dyDescent="0.25">
      <c r="S6567" s="24">
        <f t="shared" si="406"/>
        <v>0.02</v>
      </c>
    </row>
    <row r="6568" spans="19:19" x14ac:dyDescent="0.25">
      <c r="S6568" s="24">
        <f t="shared" si="406"/>
        <v>0.02</v>
      </c>
    </row>
    <row r="6569" spans="19:19" x14ac:dyDescent="0.25">
      <c r="S6569" s="24">
        <f t="shared" si="406"/>
        <v>0.02</v>
      </c>
    </row>
    <row r="6570" spans="19:19" x14ac:dyDescent="0.25">
      <c r="S6570" s="24">
        <f t="shared" si="406"/>
        <v>0.02</v>
      </c>
    </row>
    <row r="6571" spans="19:19" x14ac:dyDescent="0.25">
      <c r="S6571" s="24">
        <f t="shared" si="406"/>
        <v>0.02</v>
      </c>
    </row>
    <row r="6572" spans="19:19" x14ac:dyDescent="0.25">
      <c r="S6572" s="24">
        <f t="shared" si="406"/>
        <v>0.02</v>
      </c>
    </row>
    <row r="6573" spans="19:19" x14ac:dyDescent="0.25">
      <c r="S6573" s="24">
        <f t="shared" si="406"/>
        <v>0.02</v>
      </c>
    </row>
    <row r="6574" spans="19:19" x14ac:dyDescent="0.25">
      <c r="S6574" s="24">
        <f t="shared" si="406"/>
        <v>0.02</v>
      </c>
    </row>
    <row r="6575" spans="19:19" x14ac:dyDescent="0.25">
      <c r="S6575" s="24">
        <f t="shared" si="406"/>
        <v>0.02</v>
      </c>
    </row>
    <row r="6576" spans="19:19" x14ac:dyDescent="0.25">
      <c r="S6576" s="24">
        <f t="shared" si="406"/>
        <v>0.02</v>
      </c>
    </row>
    <row r="6577" spans="19:19" x14ac:dyDescent="0.25">
      <c r="S6577" s="24">
        <f t="shared" si="406"/>
        <v>0.02</v>
      </c>
    </row>
    <row r="6578" spans="19:19" x14ac:dyDescent="0.25">
      <c r="S6578" s="24">
        <f t="shared" si="406"/>
        <v>0.02</v>
      </c>
    </row>
    <row r="6579" spans="19:19" x14ac:dyDescent="0.25">
      <c r="S6579" s="24">
        <f t="shared" si="406"/>
        <v>0.02</v>
      </c>
    </row>
    <row r="6580" spans="19:19" x14ac:dyDescent="0.25">
      <c r="S6580" s="24">
        <f t="shared" si="406"/>
        <v>0.02</v>
      </c>
    </row>
    <row r="6581" spans="19:19" x14ac:dyDescent="0.25">
      <c r="S6581" s="24">
        <f t="shared" si="406"/>
        <v>0.02</v>
      </c>
    </row>
    <row r="6582" spans="19:19" x14ac:dyDescent="0.25">
      <c r="S6582" s="24">
        <f t="shared" si="406"/>
        <v>0.02</v>
      </c>
    </row>
    <row r="6583" spans="19:19" x14ac:dyDescent="0.25">
      <c r="S6583" s="24">
        <f t="shared" si="406"/>
        <v>0.02</v>
      </c>
    </row>
    <row r="6584" spans="19:19" x14ac:dyDescent="0.25">
      <c r="S6584" s="24">
        <f t="shared" si="406"/>
        <v>0.02</v>
      </c>
    </row>
    <row r="6585" spans="19:19" x14ac:dyDescent="0.25">
      <c r="S6585" s="24">
        <f t="shared" si="406"/>
        <v>0.02</v>
      </c>
    </row>
    <row r="6586" spans="19:19" x14ac:dyDescent="0.25">
      <c r="S6586" s="24">
        <f t="shared" si="406"/>
        <v>0.02</v>
      </c>
    </row>
    <row r="6587" spans="19:19" x14ac:dyDescent="0.25">
      <c r="S6587" s="24">
        <f t="shared" si="406"/>
        <v>0.02</v>
      </c>
    </row>
    <row r="6588" spans="19:19" x14ac:dyDescent="0.25">
      <c r="S6588" s="24">
        <f t="shared" si="406"/>
        <v>0.02</v>
      </c>
    </row>
    <row r="6589" spans="19:19" x14ac:dyDescent="0.25">
      <c r="S6589" s="24">
        <f t="shared" si="406"/>
        <v>0.02</v>
      </c>
    </row>
    <row r="6590" spans="19:19" x14ac:dyDescent="0.25">
      <c r="S6590" s="24">
        <f t="shared" si="406"/>
        <v>0.02</v>
      </c>
    </row>
    <row r="6591" spans="19:19" x14ac:dyDescent="0.25">
      <c r="S6591" s="24">
        <f t="shared" si="406"/>
        <v>0.02</v>
      </c>
    </row>
    <row r="6592" spans="19:19" x14ac:dyDescent="0.25">
      <c r="S6592" s="24">
        <f t="shared" si="406"/>
        <v>0.02</v>
      </c>
    </row>
    <row r="6593" spans="19:19" x14ac:dyDescent="0.25">
      <c r="S6593" s="24">
        <f t="shared" si="406"/>
        <v>0.02</v>
      </c>
    </row>
    <row r="6594" spans="19:19" x14ac:dyDescent="0.25">
      <c r="S6594" s="24">
        <f t="shared" si="406"/>
        <v>0.02</v>
      </c>
    </row>
    <row r="6595" spans="19:19" x14ac:dyDescent="0.25">
      <c r="S6595" s="24">
        <f t="shared" si="406"/>
        <v>0.02</v>
      </c>
    </row>
    <row r="6596" spans="19:19" x14ac:dyDescent="0.25">
      <c r="S6596" s="24">
        <f t="shared" si="406"/>
        <v>0.02</v>
      </c>
    </row>
    <row r="6597" spans="19:19" x14ac:dyDescent="0.25">
      <c r="S6597" s="24">
        <f t="shared" si="406"/>
        <v>0.02</v>
      </c>
    </row>
    <row r="6598" spans="19:19" x14ac:dyDescent="0.25">
      <c r="S6598" s="24">
        <f t="shared" si="406"/>
        <v>0.02</v>
      </c>
    </row>
    <row r="6599" spans="19:19" x14ac:dyDescent="0.25">
      <c r="S6599" s="24">
        <f t="shared" si="406"/>
        <v>0.02</v>
      </c>
    </row>
    <row r="6600" spans="19:19" x14ac:dyDescent="0.25">
      <c r="S6600" s="24">
        <f t="shared" si="406"/>
        <v>0.02</v>
      </c>
    </row>
    <row r="6601" spans="19:19" x14ac:dyDescent="0.25">
      <c r="S6601" s="24">
        <f t="shared" si="406"/>
        <v>0.02</v>
      </c>
    </row>
    <row r="6602" spans="19:19" x14ac:dyDescent="0.25">
      <c r="S6602" s="24">
        <f t="shared" si="406"/>
        <v>0.02</v>
      </c>
    </row>
    <row r="6603" spans="19:19" x14ac:dyDescent="0.25">
      <c r="S6603" s="24">
        <f t="shared" ref="S6603:S6666" si="407">VLOOKUP(N6603,$T$1:$U$7,2,TRUE)</f>
        <v>0.02</v>
      </c>
    </row>
    <row r="6604" spans="19:19" x14ac:dyDescent="0.25">
      <c r="S6604" s="24">
        <f t="shared" si="407"/>
        <v>0.02</v>
      </c>
    </row>
    <row r="6605" spans="19:19" x14ac:dyDescent="0.25">
      <c r="S6605" s="24">
        <f t="shared" si="407"/>
        <v>0.02</v>
      </c>
    </row>
    <row r="6606" spans="19:19" x14ac:dyDescent="0.25">
      <c r="S6606" s="24">
        <f t="shared" si="407"/>
        <v>0.02</v>
      </c>
    </row>
    <row r="6607" spans="19:19" x14ac:dyDescent="0.25">
      <c r="S6607" s="24">
        <f t="shared" si="407"/>
        <v>0.02</v>
      </c>
    </row>
    <row r="6608" spans="19:19" x14ac:dyDescent="0.25">
      <c r="S6608" s="24">
        <f t="shared" si="407"/>
        <v>0.02</v>
      </c>
    </row>
    <row r="6609" spans="19:19" x14ac:dyDescent="0.25">
      <c r="S6609" s="24">
        <f t="shared" si="407"/>
        <v>0.02</v>
      </c>
    </row>
    <row r="6610" spans="19:19" x14ac:dyDescent="0.25">
      <c r="S6610" s="24">
        <f t="shared" si="407"/>
        <v>0.02</v>
      </c>
    </row>
    <row r="6611" spans="19:19" x14ac:dyDescent="0.25">
      <c r="S6611" s="24">
        <f t="shared" si="407"/>
        <v>0.02</v>
      </c>
    </row>
    <row r="6612" spans="19:19" x14ac:dyDescent="0.25">
      <c r="S6612" s="24">
        <f t="shared" si="407"/>
        <v>0.02</v>
      </c>
    </row>
    <row r="6613" spans="19:19" x14ac:dyDescent="0.25">
      <c r="S6613" s="24">
        <f t="shared" si="407"/>
        <v>0.02</v>
      </c>
    </row>
    <row r="6614" spans="19:19" x14ac:dyDescent="0.25">
      <c r="S6614" s="24">
        <f t="shared" si="407"/>
        <v>0.02</v>
      </c>
    </row>
    <row r="6615" spans="19:19" x14ac:dyDescent="0.25">
      <c r="S6615" s="24">
        <f t="shared" si="407"/>
        <v>0.02</v>
      </c>
    </row>
    <row r="6616" spans="19:19" x14ac:dyDescent="0.25">
      <c r="S6616" s="24">
        <f t="shared" si="407"/>
        <v>0.02</v>
      </c>
    </row>
    <row r="6617" spans="19:19" x14ac:dyDescent="0.25">
      <c r="S6617" s="24">
        <f t="shared" si="407"/>
        <v>0.02</v>
      </c>
    </row>
    <row r="6618" spans="19:19" x14ac:dyDescent="0.25">
      <c r="S6618" s="24">
        <f t="shared" si="407"/>
        <v>0.02</v>
      </c>
    </row>
    <row r="6619" spans="19:19" x14ac:dyDescent="0.25">
      <c r="S6619" s="24">
        <f t="shared" si="407"/>
        <v>0.02</v>
      </c>
    </row>
    <row r="6620" spans="19:19" x14ac:dyDescent="0.25">
      <c r="S6620" s="24">
        <f t="shared" si="407"/>
        <v>0.02</v>
      </c>
    </row>
    <row r="6621" spans="19:19" x14ac:dyDescent="0.25">
      <c r="S6621" s="24">
        <f t="shared" si="407"/>
        <v>0.02</v>
      </c>
    </row>
    <row r="6622" spans="19:19" x14ac:dyDescent="0.25">
      <c r="S6622" s="24">
        <f t="shared" si="407"/>
        <v>0.02</v>
      </c>
    </row>
    <row r="6623" spans="19:19" x14ac:dyDescent="0.25">
      <c r="S6623" s="24">
        <f t="shared" si="407"/>
        <v>0.02</v>
      </c>
    </row>
    <row r="6624" spans="19:19" x14ac:dyDescent="0.25">
      <c r="S6624" s="24">
        <f t="shared" si="407"/>
        <v>0.02</v>
      </c>
    </row>
    <row r="6625" spans="19:19" x14ac:dyDescent="0.25">
      <c r="S6625" s="24">
        <f t="shared" si="407"/>
        <v>0.02</v>
      </c>
    </row>
    <row r="6626" spans="19:19" x14ac:dyDescent="0.25">
      <c r="S6626" s="24">
        <f t="shared" si="407"/>
        <v>0.02</v>
      </c>
    </row>
    <row r="6627" spans="19:19" x14ac:dyDescent="0.25">
      <c r="S6627" s="24">
        <f t="shared" si="407"/>
        <v>0.02</v>
      </c>
    </row>
    <row r="6628" spans="19:19" x14ac:dyDescent="0.25">
      <c r="S6628" s="24">
        <f t="shared" si="407"/>
        <v>0.02</v>
      </c>
    </row>
    <row r="6629" spans="19:19" x14ac:dyDescent="0.25">
      <c r="S6629" s="24">
        <f t="shared" si="407"/>
        <v>0.02</v>
      </c>
    </row>
    <row r="6630" spans="19:19" x14ac:dyDescent="0.25">
      <c r="S6630" s="24">
        <f t="shared" si="407"/>
        <v>0.02</v>
      </c>
    </row>
    <row r="6631" spans="19:19" x14ac:dyDescent="0.25">
      <c r="S6631" s="24">
        <f t="shared" si="407"/>
        <v>0.02</v>
      </c>
    </row>
    <row r="6632" spans="19:19" x14ac:dyDescent="0.25">
      <c r="S6632" s="24">
        <f t="shared" si="407"/>
        <v>0.02</v>
      </c>
    </row>
    <row r="6633" spans="19:19" x14ac:dyDescent="0.25">
      <c r="S6633" s="24">
        <f t="shared" si="407"/>
        <v>0.02</v>
      </c>
    </row>
    <row r="6634" spans="19:19" x14ac:dyDescent="0.25">
      <c r="S6634" s="24">
        <f t="shared" si="407"/>
        <v>0.02</v>
      </c>
    </row>
    <row r="6635" spans="19:19" x14ac:dyDescent="0.25">
      <c r="S6635" s="24">
        <f t="shared" si="407"/>
        <v>0.02</v>
      </c>
    </row>
    <row r="6636" spans="19:19" x14ac:dyDescent="0.25">
      <c r="S6636" s="24">
        <f t="shared" si="407"/>
        <v>0.02</v>
      </c>
    </row>
    <row r="6637" spans="19:19" x14ac:dyDescent="0.25">
      <c r="S6637" s="24">
        <f t="shared" si="407"/>
        <v>0.02</v>
      </c>
    </row>
    <row r="6638" spans="19:19" x14ac:dyDescent="0.25">
      <c r="S6638" s="24">
        <f t="shared" si="407"/>
        <v>0.02</v>
      </c>
    </row>
    <row r="6639" spans="19:19" x14ac:dyDescent="0.25">
      <c r="S6639" s="24">
        <f t="shared" si="407"/>
        <v>0.02</v>
      </c>
    </row>
    <row r="6640" spans="19:19" x14ac:dyDescent="0.25">
      <c r="S6640" s="24">
        <f t="shared" si="407"/>
        <v>0.02</v>
      </c>
    </row>
    <row r="6641" spans="19:19" x14ac:dyDescent="0.25">
      <c r="S6641" s="24">
        <f t="shared" si="407"/>
        <v>0.02</v>
      </c>
    </row>
    <row r="6642" spans="19:19" x14ac:dyDescent="0.25">
      <c r="S6642" s="24">
        <f t="shared" si="407"/>
        <v>0.02</v>
      </c>
    </row>
    <row r="6643" spans="19:19" x14ac:dyDescent="0.25">
      <c r="S6643" s="24">
        <f t="shared" si="407"/>
        <v>0.02</v>
      </c>
    </row>
    <row r="6644" spans="19:19" x14ac:dyDescent="0.25">
      <c r="S6644" s="24">
        <f t="shared" si="407"/>
        <v>0.02</v>
      </c>
    </row>
    <row r="6645" spans="19:19" x14ac:dyDescent="0.25">
      <c r="S6645" s="24">
        <f t="shared" si="407"/>
        <v>0.02</v>
      </c>
    </row>
    <row r="6646" spans="19:19" x14ac:dyDescent="0.25">
      <c r="S6646" s="24">
        <f t="shared" si="407"/>
        <v>0.02</v>
      </c>
    </row>
    <row r="6647" spans="19:19" x14ac:dyDescent="0.25">
      <c r="S6647" s="24">
        <f t="shared" si="407"/>
        <v>0.02</v>
      </c>
    </row>
    <row r="6648" spans="19:19" x14ac:dyDescent="0.25">
      <c r="S6648" s="24">
        <f t="shared" si="407"/>
        <v>0.02</v>
      </c>
    </row>
    <row r="6649" spans="19:19" x14ac:dyDescent="0.25">
      <c r="S6649" s="24">
        <f t="shared" si="407"/>
        <v>0.02</v>
      </c>
    </row>
    <row r="6650" spans="19:19" x14ac:dyDescent="0.25">
      <c r="S6650" s="24">
        <f t="shared" si="407"/>
        <v>0.02</v>
      </c>
    </row>
    <row r="6651" spans="19:19" x14ac:dyDescent="0.25">
      <c r="S6651" s="24">
        <f t="shared" si="407"/>
        <v>0.02</v>
      </c>
    </row>
    <row r="6652" spans="19:19" x14ac:dyDescent="0.25">
      <c r="S6652" s="24">
        <f t="shared" si="407"/>
        <v>0.02</v>
      </c>
    </row>
    <row r="6653" spans="19:19" x14ac:dyDescent="0.25">
      <c r="S6653" s="24">
        <f t="shared" si="407"/>
        <v>0.02</v>
      </c>
    </row>
    <row r="6654" spans="19:19" x14ac:dyDescent="0.25">
      <c r="S6654" s="24">
        <f t="shared" si="407"/>
        <v>0.02</v>
      </c>
    </row>
    <row r="6655" spans="19:19" x14ac:dyDescent="0.25">
      <c r="S6655" s="24">
        <f t="shared" si="407"/>
        <v>0.02</v>
      </c>
    </row>
    <row r="6656" spans="19:19" x14ac:dyDescent="0.25">
      <c r="S6656" s="24">
        <f t="shared" si="407"/>
        <v>0.02</v>
      </c>
    </row>
    <row r="6657" spans="19:19" x14ac:dyDescent="0.25">
      <c r="S6657" s="24">
        <f t="shared" si="407"/>
        <v>0.02</v>
      </c>
    </row>
    <row r="6658" spans="19:19" x14ac:dyDescent="0.25">
      <c r="S6658" s="24">
        <f t="shared" si="407"/>
        <v>0.02</v>
      </c>
    </row>
    <row r="6659" spans="19:19" x14ac:dyDescent="0.25">
      <c r="S6659" s="24">
        <f t="shared" si="407"/>
        <v>0.02</v>
      </c>
    </row>
    <row r="6660" spans="19:19" x14ac:dyDescent="0.25">
      <c r="S6660" s="24">
        <f t="shared" si="407"/>
        <v>0.02</v>
      </c>
    </row>
    <row r="6661" spans="19:19" x14ac:dyDescent="0.25">
      <c r="S6661" s="24">
        <f t="shared" si="407"/>
        <v>0.02</v>
      </c>
    </row>
    <row r="6662" spans="19:19" x14ac:dyDescent="0.25">
      <c r="S6662" s="24">
        <f t="shared" si="407"/>
        <v>0.02</v>
      </c>
    </row>
    <row r="6663" spans="19:19" x14ac:dyDescent="0.25">
      <c r="S6663" s="24">
        <f t="shared" si="407"/>
        <v>0.02</v>
      </c>
    </row>
    <row r="6664" spans="19:19" x14ac:dyDescent="0.25">
      <c r="S6664" s="24">
        <f t="shared" si="407"/>
        <v>0.02</v>
      </c>
    </row>
    <row r="6665" spans="19:19" x14ac:dyDescent="0.25">
      <c r="S6665" s="24">
        <f t="shared" si="407"/>
        <v>0.02</v>
      </c>
    </row>
    <row r="6666" spans="19:19" x14ac:dyDescent="0.25">
      <c r="S6666" s="24">
        <f t="shared" si="407"/>
        <v>0.02</v>
      </c>
    </row>
    <row r="6667" spans="19:19" x14ac:dyDescent="0.25">
      <c r="S6667" s="24">
        <f t="shared" ref="S6667:S6730" si="408">VLOOKUP(N6667,$T$1:$U$7,2,TRUE)</f>
        <v>0.02</v>
      </c>
    </row>
    <row r="6668" spans="19:19" x14ac:dyDescent="0.25">
      <c r="S6668" s="24">
        <f t="shared" si="408"/>
        <v>0.02</v>
      </c>
    </row>
    <row r="6669" spans="19:19" x14ac:dyDescent="0.25">
      <c r="S6669" s="24">
        <f t="shared" si="408"/>
        <v>0.02</v>
      </c>
    </row>
    <row r="6670" spans="19:19" x14ac:dyDescent="0.25">
      <c r="S6670" s="24">
        <f t="shared" si="408"/>
        <v>0.02</v>
      </c>
    </row>
    <row r="6671" spans="19:19" x14ac:dyDescent="0.25">
      <c r="S6671" s="24">
        <f t="shared" si="408"/>
        <v>0.02</v>
      </c>
    </row>
    <row r="6672" spans="19:19" x14ac:dyDescent="0.25">
      <c r="S6672" s="24">
        <f t="shared" si="408"/>
        <v>0.02</v>
      </c>
    </row>
    <row r="6673" spans="19:19" x14ac:dyDescent="0.25">
      <c r="S6673" s="24">
        <f t="shared" si="408"/>
        <v>0.02</v>
      </c>
    </row>
    <row r="6674" spans="19:19" x14ac:dyDescent="0.25">
      <c r="S6674" s="24">
        <f t="shared" si="408"/>
        <v>0.02</v>
      </c>
    </row>
    <row r="6675" spans="19:19" x14ac:dyDescent="0.25">
      <c r="S6675" s="24">
        <f t="shared" si="408"/>
        <v>0.02</v>
      </c>
    </row>
    <row r="6676" spans="19:19" x14ac:dyDescent="0.25">
      <c r="S6676" s="24">
        <f t="shared" si="408"/>
        <v>0.02</v>
      </c>
    </row>
    <row r="6677" spans="19:19" x14ac:dyDescent="0.25">
      <c r="S6677" s="24">
        <f t="shared" si="408"/>
        <v>0.02</v>
      </c>
    </row>
    <row r="6678" spans="19:19" x14ac:dyDescent="0.25">
      <c r="S6678" s="24">
        <f t="shared" si="408"/>
        <v>0.02</v>
      </c>
    </row>
    <row r="6679" spans="19:19" x14ac:dyDescent="0.25">
      <c r="S6679" s="24">
        <f t="shared" si="408"/>
        <v>0.02</v>
      </c>
    </row>
    <row r="6680" spans="19:19" x14ac:dyDescent="0.25">
      <c r="S6680" s="24">
        <f t="shared" si="408"/>
        <v>0.02</v>
      </c>
    </row>
    <row r="6681" spans="19:19" x14ac:dyDescent="0.25">
      <c r="S6681" s="24">
        <f t="shared" si="408"/>
        <v>0.02</v>
      </c>
    </row>
    <row r="6682" spans="19:19" x14ac:dyDescent="0.25">
      <c r="S6682" s="24">
        <f t="shared" si="408"/>
        <v>0.02</v>
      </c>
    </row>
    <row r="6683" spans="19:19" x14ac:dyDescent="0.25">
      <c r="S6683" s="24">
        <f t="shared" si="408"/>
        <v>0.02</v>
      </c>
    </row>
    <row r="6684" spans="19:19" x14ac:dyDescent="0.25">
      <c r="S6684" s="24">
        <f t="shared" si="408"/>
        <v>0.02</v>
      </c>
    </row>
    <row r="6685" spans="19:19" x14ac:dyDescent="0.25">
      <c r="S6685" s="24">
        <f t="shared" si="408"/>
        <v>0.02</v>
      </c>
    </row>
    <row r="6686" spans="19:19" x14ac:dyDescent="0.25">
      <c r="S6686" s="24">
        <f t="shared" si="408"/>
        <v>0.02</v>
      </c>
    </row>
    <row r="6687" spans="19:19" x14ac:dyDescent="0.25">
      <c r="S6687" s="24">
        <f t="shared" si="408"/>
        <v>0.02</v>
      </c>
    </row>
    <row r="6688" spans="19:19" x14ac:dyDescent="0.25">
      <c r="S6688" s="24">
        <f t="shared" si="408"/>
        <v>0.02</v>
      </c>
    </row>
    <row r="6689" spans="19:19" x14ac:dyDescent="0.25">
      <c r="S6689" s="24">
        <f t="shared" si="408"/>
        <v>0.02</v>
      </c>
    </row>
    <row r="6690" spans="19:19" x14ac:dyDescent="0.25">
      <c r="S6690" s="24">
        <f t="shared" si="408"/>
        <v>0.02</v>
      </c>
    </row>
    <row r="6691" spans="19:19" x14ac:dyDescent="0.25">
      <c r="S6691" s="24">
        <f t="shared" si="408"/>
        <v>0.02</v>
      </c>
    </row>
    <row r="6692" spans="19:19" x14ac:dyDescent="0.25">
      <c r="S6692" s="24">
        <f t="shared" si="408"/>
        <v>0.02</v>
      </c>
    </row>
    <row r="6693" spans="19:19" x14ac:dyDescent="0.25">
      <c r="S6693" s="24">
        <f t="shared" si="408"/>
        <v>0.02</v>
      </c>
    </row>
    <row r="6694" spans="19:19" x14ac:dyDescent="0.25">
      <c r="S6694" s="24">
        <f t="shared" si="408"/>
        <v>0.02</v>
      </c>
    </row>
    <row r="6695" spans="19:19" x14ac:dyDescent="0.25">
      <c r="S6695" s="24">
        <f t="shared" si="408"/>
        <v>0.02</v>
      </c>
    </row>
    <row r="6696" spans="19:19" x14ac:dyDescent="0.25">
      <c r="S6696" s="24">
        <f t="shared" si="408"/>
        <v>0.02</v>
      </c>
    </row>
    <row r="6697" spans="19:19" x14ac:dyDescent="0.25">
      <c r="S6697" s="24">
        <f t="shared" si="408"/>
        <v>0.02</v>
      </c>
    </row>
    <row r="6698" spans="19:19" x14ac:dyDescent="0.25">
      <c r="S6698" s="24">
        <f t="shared" si="408"/>
        <v>0.02</v>
      </c>
    </row>
    <row r="6699" spans="19:19" x14ac:dyDescent="0.25">
      <c r="S6699" s="24">
        <f t="shared" si="408"/>
        <v>0.02</v>
      </c>
    </row>
    <row r="6700" spans="19:19" x14ac:dyDescent="0.25">
      <c r="S6700" s="24">
        <f t="shared" si="408"/>
        <v>0.02</v>
      </c>
    </row>
    <row r="6701" spans="19:19" x14ac:dyDescent="0.25">
      <c r="S6701" s="24">
        <f t="shared" si="408"/>
        <v>0.02</v>
      </c>
    </row>
    <row r="6702" spans="19:19" x14ac:dyDescent="0.25">
      <c r="S6702" s="24">
        <f t="shared" si="408"/>
        <v>0.02</v>
      </c>
    </row>
    <row r="6703" spans="19:19" x14ac:dyDescent="0.25">
      <c r="S6703" s="24">
        <f t="shared" si="408"/>
        <v>0.02</v>
      </c>
    </row>
    <row r="6704" spans="19:19" x14ac:dyDescent="0.25">
      <c r="S6704" s="24">
        <f t="shared" si="408"/>
        <v>0.02</v>
      </c>
    </row>
    <row r="6705" spans="19:19" x14ac:dyDescent="0.25">
      <c r="S6705" s="24">
        <f t="shared" si="408"/>
        <v>0.02</v>
      </c>
    </row>
    <row r="6706" spans="19:19" x14ac:dyDescent="0.25">
      <c r="S6706" s="24">
        <f t="shared" si="408"/>
        <v>0.02</v>
      </c>
    </row>
    <row r="6707" spans="19:19" x14ac:dyDescent="0.25">
      <c r="S6707" s="24">
        <f t="shared" si="408"/>
        <v>0.02</v>
      </c>
    </row>
    <row r="6708" spans="19:19" x14ac:dyDescent="0.25">
      <c r="S6708" s="24">
        <f t="shared" si="408"/>
        <v>0.02</v>
      </c>
    </row>
    <row r="6709" spans="19:19" x14ac:dyDescent="0.25">
      <c r="S6709" s="24">
        <f t="shared" si="408"/>
        <v>0.02</v>
      </c>
    </row>
    <row r="6710" spans="19:19" x14ac:dyDescent="0.25">
      <c r="S6710" s="24">
        <f t="shared" si="408"/>
        <v>0.02</v>
      </c>
    </row>
    <row r="6711" spans="19:19" x14ac:dyDescent="0.25">
      <c r="S6711" s="24">
        <f t="shared" si="408"/>
        <v>0.02</v>
      </c>
    </row>
    <row r="6712" spans="19:19" x14ac:dyDescent="0.25">
      <c r="S6712" s="24">
        <f t="shared" si="408"/>
        <v>0.02</v>
      </c>
    </row>
    <row r="6713" spans="19:19" x14ac:dyDescent="0.25">
      <c r="S6713" s="24">
        <f t="shared" si="408"/>
        <v>0.02</v>
      </c>
    </row>
    <row r="6714" spans="19:19" x14ac:dyDescent="0.25">
      <c r="S6714" s="24">
        <f t="shared" si="408"/>
        <v>0.02</v>
      </c>
    </row>
    <row r="6715" spans="19:19" x14ac:dyDescent="0.25">
      <c r="S6715" s="24">
        <f t="shared" si="408"/>
        <v>0.02</v>
      </c>
    </row>
    <row r="6716" spans="19:19" x14ac:dyDescent="0.25">
      <c r="S6716" s="24">
        <f t="shared" si="408"/>
        <v>0.02</v>
      </c>
    </row>
    <row r="6717" spans="19:19" x14ac:dyDescent="0.25">
      <c r="S6717" s="24">
        <f t="shared" si="408"/>
        <v>0.02</v>
      </c>
    </row>
    <row r="6718" spans="19:19" x14ac:dyDescent="0.25">
      <c r="S6718" s="24">
        <f t="shared" si="408"/>
        <v>0.02</v>
      </c>
    </row>
    <row r="6719" spans="19:19" x14ac:dyDescent="0.25">
      <c r="S6719" s="24">
        <f t="shared" si="408"/>
        <v>0.02</v>
      </c>
    </row>
    <row r="6720" spans="19:19" x14ac:dyDescent="0.25">
      <c r="S6720" s="24">
        <f t="shared" si="408"/>
        <v>0.02</v>
      </c>
    </row>
    <row r="6721" spans="19:19" x14ac:dyDescent="0.25">
      <c r="S6721" s="24">
        <f t="shared" si="408"/>
        <v>0.02</v>
      </c>
    </row>
    <row r="6722" spans="19:19" x14ac:dyDescent="0.25">
      <c r="S6722" s="24">
        <f t="shared" si="408"/>
        <v>0.02</v>
      </c>
    </row>
    <row r="6723" spans="19:19" x14ac:dyDescent="0.25">
      <c r="S6723" s="24">
        <f t="shared" si="408"/>
        <v>0.02</v>
      </c>
    </row>
    <row r="6724" spans="19:19" x14ac:dyDescent="0.25">
      <c r="S6724" s="24">
        <f t="shared" si="408"/>
        <v>0.02</v>
      </c>
    </row>
    <row r="6725" spans="19:19" x14ac:dyDescent="0.25">
      <c r="S6725" s="24">
        <f t="shared" si="408"/>
        <v>0.02</v>
      </c>
    </row>
    <row r="6726" spans="19:19" x14ac:dyDescent="0.25">
      <c r="S6726" s="24">
        <f t="shared" si="408"/>
        <v>0.02</v>
      </c>
    </row>
    <row r="6727" spans="19:19" x14ac:dyDescent="0.25">
      <c r="S6727" s="24">
        <f t="shared" si="408"/>
        <v>0.02</v>
      </c>
    </row>
    <row r="6728" spans="19:19" x14ac:dyDescent="0.25">
      <c r="S6728" s="24">
        <f t="shared" si="408"/>
        <v>0.02</v>
      </c>
    </row>
    <row r="6729" spans="19:19" x14ac:dyDescent="0.25">
      <c r="S6729" s="24">
        <f t="shared" si="408"/>
        <v>0.02</v>
      </c>
    </row>
    <row r="6730" spans="19:19" x14ac:dyDescent="0.25">
      <c r="S6730" s="24">
        <f t="shared" si="408"/>
        <v>0.02</v>
      </c>
    </row>
    <row r="6731" spans="19:19" x14ac:dyDescent="0.25">
      <c r="S6731" s="24">
        <f t="shared" ref="S6731:S6794" si="409">VLOOKUP(N6731,$T$1:$U$7,2,TRUE)</f>
        <v>0.02</v>
      </c>
    </row>
    <row r="6732" spans="19:19" x14ac:dyDescent="0.25">
      <c r="S6732" s="24">
        <f t="shared" si="409"/>
        <v>0.02</v>
      </c>
    </row>
    <row r="6733" spans="19:19" x14ac:dyDescent="0.25">
      <c r="S6733" s="24">
        <f t="shared" si="409"/>
        <v>0.02</v>
      </c>
    </row>
    <row r="6734" spans="19:19" x14ac:dyDescent="0.25">
      <c r="S6734" s="24">
        <f t="shared" si="409"/>
        <v>0.02</v>
      </c>
    </row>
    <row r="6735" spans="19:19" x14ac:dyDescent="0.25">
      <c r="S6735" s="24">
        <f t="shared" si="409"/>
        <v>0.02</v>
      </c>
    </row>
    <row r="6736" spans="19:19" x14ac:dyDescent="0.25">
      <c r="S6736" s="24">
        <f t="shared" si="409"/>
        <v>0.02</v>
      </c>
    </row>
    <row r="6737" spans="19:19" x14ac:dyDescent="0.25">
      <c r="S6737" s="24">
        <f t="shared" si="409"/>
        <v>0.02</v>
      </c>
    </row>
    <row r="6738" spans="19:19" x14ac:dyDescent="0.25">
      <c r="S6738" s="24">
        <f t="shared" si="409"/>
        <v>0.02</v>
      </c>
    </row>
    <row r="6739" spans="19:19" x14ac:dyDescent="0.25">
      <c r="S6739" s="24">
        <f t="shared" si="409"/>
        <v>0.02</v>
      </c>
    </row>
    <row r="6740" spans="19:19" x14ac:dyDescent="0.25">
      <c r="S6740" s="24">
        <f t="shared" si="409"/>
        <v>0.02</v>
      </c>
    </row>
    <row r="6741" spans="19:19" x14ac:dyDescent="0.25">
      <c r="S6741" s="24">
        <f t="shared" si="409"/>
        <v>0.02</v>
      </c>
    </row>
    <row r="6742" spans="19:19" x14ac:dyDescent="0.25">
      <c r="S6742" s="24">
        <f t="shared" si="409"/>
        <v>0.02</v>
      </c>
    </row>
    <row r="6743" spans="19:19" x14ac:dyDescent="0.25">
      <c r="S6743" s="24">
        <f t="shared" si="409"/>
        <v>0.02</v>
      </c>
    </row>
    <row r="6744" spans="19:19" x14ac:dyDescent="0.25">
      <c r="S6744" s="24">
        <f t="shared" si="409"/>
        <v>0.02</v>
      </c>
    </row>
    <row r="6745" spans="19:19" x14ac:dyDescent="0.25">
      <c r="S6745" s="24">
        <f t="shared" si="409"/>
        <v>0.02</v>
      </c>
    </row>
    <row r="6746" spans="19:19" x14ac:dyDescent="0.25">
      <c r="S6746" s="24">
        <f t="shared" si="409"/>
        <v>0.02</v>
      </c>
    </row>
    <row r="6747" spans="19:19" x14ac:dyDescent="0.25">
      <c r="S6747" s="24">
        <f t="shared" si="409"/>
        <v>0.02</v>
      </c>
    </row>
    <row r="6748" spans="19:19" x14ac:dyDescent="0.25">
      <c r="S6748" s="24">
        <f t="shared" si="409"/>
        <v>0.02</v>
      </c>
    </row>
    <row r="6749" spans="19:19" x14ac:dyDescent="0.25">
      <c r="S6749" s="24">
        <f t="shared" si="409"/>
        <v>0.02</v>
      </c>
    </row>
    <row r="6750" spans="19:19" x14ac:dyDescent="0.25">
      <c r="S6750" s="24">
        <f t="shared" si="409"/>
        <v>0.02</v>
      </c>
    </row>
    <row r="6751" spans="19:19" x14ac:dyDescent="0.25">
      <c r="S6751" s="24">
        <f t="shared" si="409"/>
        <v>0.02</v>
      </c>
    </row>
    <row r="6752" spans="19:19" x14ac:dyDescent="0.25">
      <c r="S6752" s="24">
        <f t="shared" si="409"/>
        <v>0.02</v>
      </c>
    </row>
    <row r="6753" spans="19:19" x14ac:dyDescent="0.25">
      <c r="S6753" s="24">
        <f t="shared" si="409"/>
        <v>0.02</v>
      </c>
    </row>
    <row r="6754" spans="19:19" x14ac:dyDescent="0.25">
      <c r="S6754" s="24">
        <f t="shared" si="409"/>
        <v>0.02</v>
      </c>
    </row>
    <row r="6755" spans="19:19" x14ac:dyDescent="0.25">
      <c r="S6755" s="24">
        <f t="shared" si="409"/>
        <v>0.02</v>
      </c>
    </row>
    <row r="6756" spans="19:19" x14ac:dyDescent="0.25">
      <c r="S6756" s="24">
        <f t="shared" si="409"/>
        <v>0.02</v>
      </c>
    </row>
    <row r="6757" spans="19:19" x14ac:dyDescent="0.25">
      <c r="S6757" s="24">
        <f t="shared" si="409"/>
        <v>0.02</v>
      </c>
    </row>
    <row r="6758" spans="19:19" x14ac:dyDescent="0.25">
      <c r="S6758" s="24">
        <f t="shared" si="409"/>
        <v>0.02</v>
      </c>
    </row>
    <row r="6759" spans="19:19" x14ac:dyDescent="0.25">
      <c r="S6759" s="24">
        <f t="shared" si="409"/>
        <v>0.02</v>
      </c>
    </row>
    <row r="6760" spans="19:19" x14ac:dyDescent="0.25">
      <c r="S6760" s="24">
        <f t="shared" si="409"/>
        <v>0.02</v>
      </c>
    </row>
    <row r="6761" spans="19:19" x14ac:dyDescent="0.25">
      <c r="S6761" s="24">
        <f t="shared" si="409"/>
        <v>0.02</v>
      </c>
    </row>
    <row r="6762" spans="19:19" x14ac:dyDescent="0.25">
      <c r="S6762" s="24">
        <f t="shared" si="409"/>
        <v>0.02</v>
      </c>
    </row>
    <row r="6763" spans="19:19" x14ac:dyDescent="0.25">
      <c r="S6763" s="24">
        <f t="shared" si="409"/>
        <v>0.02</v>
      </c>
    </row>
    <row r="6764" spans="19:19" x14ac:dyDescent="0.25">
      <c r="S6764" s="24">
        <f t="shared" si="409"/>
        <v>0.02</v>
      </c>
    </row>
    <row r="6765" spans="19:19" x14ac:dyDescent="0.25">
      <c r="S6765" s="24">
        <f t="shared" si="409"/>
        <v>0.02</v>
      </c>
    </row>
    <row r="6766" spans="19:19" x14ac:dyDescent="0.25">
      <c r="S6766" s="24">
        <f t="shared" si="409"/>
        <v>0.02</v>
      </c>
    </row>
    <row r="6767" spans="19:19" x14ac:dyDescent="0.25">
      <c r="S6767" s="24">
        <f t="shared" si="409"/>
        <v>0.02</v>
      </c>
    </row>
    <row r="6768" spans="19:19" x14ac:dyDescent="0.25">
      <c r="S6768" s="24">
        <f t="shared" si="409"/>
        <v>0.02</v>
      </c>
    </row>
    <row r="6769" spans="19:19" x14ac:dyDescent="0.25">
      <c r="S6769" s="24">
        <f t="shared" si="409"/>
        <v>0.02</v>
      </c>
    </row>
    <row r="6770" spans="19:19" x14ac:dyDescent="0.25">
      <c r="S6770" s="24">
        <f t="shared" si="409"/>
        <v>0.02</v>
      </c>
    </row>
    <row r="6771" spans="19:19" x14ac:dyDescent="0.25">
      <c r="S6771" s="24">
        <f t="shared" si="409"/>
        <v>0.02</v>
      </c>
    </row>
    <row r="6772" spans="19:19" x14ac:dyDescent="0.25">
      <c r="S6772" s="24">
        <f t="shared" si="409"/>
        <v>0.02</v>
      </c>
    </row>
    <row r="6773" spans="19:19" x14ac:dyDescent="0.25">
      <c r="S6773" s="24">
        <f t="shared" si="409"/>
        <v>0.02</v>
      </c>
    </row>
    <row r="6774" spans="19:19" x14ac:dyDescent="0.25">
      <c r="S6774" s="24">
        <f t="shared" si="409"/>
        <v>0.02</v>
      </c>
    </row>
    <row r="6775" spans="19:19" x14ac:dyDescent="0.25">
      <c r="S6775" s="24">
        <f t="shared" si="409"/>
        <v>0.02</v>
      </c>
    </row>
    <row r="6776" spans="19:19" x14ac:dyDescent="0.25">
      <c r="S6776" s="24">
        <f t="shared" si="409"/>
        <v>0.02</v>
      </c>
    </row>
    <row r="6777" spans="19:19" x14ac:dyDescent="0.25">
      <c r="S6777" s="24">
        <f t="shared" si="409"/>
        <v>0.02</v>
      </c>
    </row>
    <row r="6778" spans="19:19" x14ac:dyDescent="0.25">
      <c r="S6778" s="24">
        <f t="shared" si="409"/>
        <v>0.02</v>
      </c>
    </row>
    <row r="6779" spans="19:19" x14ac:dyDescent="0.25">
      <c r="S6779" s="24">
        <f t="shared" si="409"/>
        <v>0.02</v>
      </c>
    </row>
    <row r="6780" spans="19:19" x14ac:dyDescent="0.25">
      <c r="S6780" s="24">
        <f t="shared" si="409"/>
        <v>0.02</v>
      </c>
    </row>
    <row r="6781" spans="19:19" x14ac:dyDescent="0.25">
      <c r="S6781" s="24">
        <f t="shared" si="409"/>
        <v>0.02</v>
      </c>
    </row>
    <row r="6782" spans="19:19" x14ac:dyDescent="0.25">
      <c r="S6782" s="24">
        <f t="shared" si="409"/>
        <v>0.02</v>
      </c>
    </row>
    <row r="6783" spans="19:19" x14ac:dyDescent="0.25">
      <c r="S6783" s="24">
        <f t="shared" si="409"/>
        <v>0.02</v>
      </c>
    </row>
    <row r="6784" spans="19:19" x14ac:dyDescent="0.25">
      <c r="S6784" s="24">
        <f t="shared" si="409"/>
        <v>0.02</v>
      </c>
    </row>
    <row r="6785" spans="19:19" x14ac:dyDescent="0.25">
      <c r="S6785" s="24">
        <f t="shared" si="409"/>
        <v>0.02</v>
      </c>
    </row>
    <row r="6786" spans="19:19" x14ac:dyDescent="0.25">
      <c r="S6786" s="24">
        <f t="shared" si="409"/>
        <v>0.02</v>
      </c>
    </row>
    <row r="6787" spans="19:19" x14ac:dyDescent="0.25">
      <c r="S6787" s="24">
        <f t="shared" si="409"/>
        <v>0.02</v>
      </c>
    </row>
    <row r="6788" spans="19:19" x14ac:dyDescent="0.25">
      <c r="S6788" s="24">
        <f t="shared" si="409"/>
        <v>0.02</v>
      </c>
    </row>
    <row r="6789" spans="19:19" x14ac:dyDescent="0.25">
      <c r="S6789" s="24">
        <f t="shared" si="409"/>
        <v>0.02</v>
      </c>
    </row>
    <row r="6790" spans="19:19" x14ac:dyDescent="0.25">
      <c r="S6790" s="24">
        <f t="shared" si="409"/>
        <v>0.02</v>
      </c>
    </row>
    <row r="6791" spans="19:19" x14ac:dyDescent="0.25">
      <c r="S6791" s="24">
        <f t="shared" si="409"/>
        <v>0.02</v>
      </c>
    </row>
    <row r="6792" spans="19:19" x14ac:dyDescent="0.25">
      <c r="S6792" s="24">
        <f t="shared" si="409"/>
        <v>0.02</v>
      </c>
    </row>
    <row r="6793" spans="19:19" x14ac:dyDescent="0.25">
      <c r="S6793" s="24">
        <f t="shared" si="409"/>
        <v>0.02</v>
      </c>
    </row>
    <row r="6794" spans="19:19" x14ac:dyDescent="0.25">
      <c r="S6794" s="24">
        <f t="shared" si="409"/>
        <v>0.02</v>
      </c>
    </row>
    <row r="6795" spans="19:19" x14ac:dyDescent="0.25">
      <c r="S6795" s="24">
        <f t="shared" ref="S6795:S6858" si="410">VLOOKUP(N6795,$T$1:$U$7,2,TRUE)</f>
        <v>0.02</v>
      </c>
    </row>
    <row r="6796" spans="19:19" x14ac:dyDescent="0.25">
      <c r="S6796" s="24">
        <f t="shared" si="410"/>
        <v>0.02</v>
      </c>
    </row>
    <row r="6797" spans="19:19" x14ac:dyDescent="0.25">
      <c r="S6797" s="24">
        <f t="shared" si="410"/>
        <v>0.02</v>
      </c>
    </row>
    <row r="6798" spans="19:19" x14ac:dyDescent="0.25">
      <c r="S6798" s="24">
        <f t="shared" si="410"/>
        <v>0.02</v>
      </c>
    </row>
    <row r="6799" spans="19:19" x14ac:dyDescent="0.25">
      <c r="S6799" s="24">
        <f t="shared" si="410"/>
        <v>0.02</v>
      </c>
    </row>
    <row r="6800" spans="19:19" x14ac:dyDescent="0.25">
      <c r="S6800" s="24">
        <f t="shared" si="410"/>
        <v>0.02</v>
      </c>
    </row>
    <row r="6801" spans="19:19" x14ac:dyDescent="0.25">
      <c r="S6801" s="24">
        <f t="shared" si="410"/>
        <v>0.02</v>
      </c>
    </row>
    <row r="6802" spans="19:19" x14ac:dyDescent="0.25">
      <c r="S6802" s="24">
        <f t="shared" si="410"/>
        <v>0.02</v>
      </c>
    </row>
    <row r="6803" spans="19:19" x14ac:dyDescent="0.25">
      <c r="S6803" s="24">
        <f t="shared" si="410"/>
        <v>0.02</v>
      </c>
    </row>
    <row r="6804" spans="19:19" x14ac:dyDescent="0.25">
      <c r="S6804" s="24">
        <f t="shared" si="410"/>
        <v>0.02</v>
      </c>
    </row>
    <row r="6805" spans="19:19" x14ac:dyDescent="0.25">
      <c r="S6805" s="24">
        <f t="shared" si="410"/>
        <v>0.02</v>
      </c>
    </row>
    <row r="6806" spans="19:19" x14ac:dyDescent="0.25">
      <c r="S6806" s="24">
        <f t="shared" si="410"/>
        <v>0.02</v>
      </c>
    </row>
    <row r="6807" spans="19:19" x14ac:dyDescent="0.25">
      <c r="S6807" s="24">
        <f t="shared" si="410"/>
        <v>0.02</v>
      </c>
    </row>
    <row r="6808" spans="19:19" x14ac:dyDescent="0.25">
      <c r="S6808" s="24">
        <f t="shared" si="410"/>
        <v>0.02</v>
      </c>
    </row>
    <row r="6809" spans="19:19" x14ac:dyDescent="0.25">
      <c r="S6809" s="24">
        <f t="shared" si="410"/>
        <v>0.02</v>
      </c>
    </row>
    <row r="6810" spans="19:19" x14ac:dyDescent="0.25">
      <c r="S6810" s="24">
        <f t="shared" si="410"/>
        <v>0.02</v>
      </c>
    </row>
    <row r="6811" spans="19:19" x14ac:dyDescent="0.25">
      <c r="S6811" s="24">
        <f t="shared" si="410"/>
        <v>0.02</v>
      </c>
    </row>
    <row r="6812" spans="19:19" x14ac:dyDescent="0.25">
      <c r="S6812" s="24">
        <f t="shared" si="410"/>
        <v>0.02</v>
      </c>
    </row>
    <row r="6813" spans="19:19" x14ac:dyDescent="0.25">
      <c r="S6813" s="24">
        <f t="shared" si="410"/>
        <v>0.02</v>
      </c>
    </row>
    <row r="6814" spans="19:19" x14ac:dyDescent="0.25">
      <c r="S6814" s="24">
        <f t="shared" si="410"/>
        <v>0.02</v>
      </c>
    </row>
    <row r="6815" spans="19:19" x14ac:dyDescent="0.25">
      <c r="S6815" s="24">
        <f t="shared" si="410"/>
        <v>0.02</v>
      </c>
    </row>
    <row r="6816" spans="19:19" x14ac:dyDescent="0.25">
      <c r="S6816" s="24">
        <f t="shared" si="410"/>
        <v>0.02</v>
      </c>
    </row>
    <row r="6817" spans="19:19" x14ac:dyDescent="0.25">
      <c r="S6817" s="24">
        <f t="shared" si="410"/>
        <v>0.02</v>
      </c>
    </row>
    <row r="6818" spans="19:19" x14ac:dyDescent="0.25">
      <c r="S6818" s="24">
        <f t="shared" si="410"/>
        <v>0.02</v>
      </c>
    </row>
    <row r="6819" spans="19:19" x14ac:dyDescent="0.25">
      <c r="S6819" s="24">
        <f t="shared" si="410"/>
        <v>0.02</v>
      </c>
    </row>
    <row r="6820" spans="19:19" x14ac:dyDescent="0.25">
      <c r="S6820" s="24">
        <f t="shared" si="410"/>
        <v>0.02</v>
      </c>
    </row>
    <row r="6821" spans="19:19" x14ac:dyDescent="0.25">
      <c r="S6821" s="24">
        <f t="shared" si="410"/>
        <v>0.02</v>
      </c>
    </row>
    <row r="6822" spans="19:19" x14ac:dyDescent="0.25">
      <c r="S6822" s="24">
        <f t="shared" si="410"/>
        <v>0.02</v>
      </c>
    </row>
    <row r="6823" spans="19:19" x14ac:dyDescent="0.25">
      <c r="S6823" s="24">
        <f t="shared" si="410"/>
        <v>0.02</v>
      </c>
    </row>
    <row r="6824" spans="19:19" x14ac:dyDescent="0.25">
      <c r="S6824" s="24">
        <f t="shared" si="410"/>
        <v>0.02</v>
      </c>
    </row>
    <row r="6825" spans="19:19" x14ac:dyDescent="0.25">
      <c r="S6825" s="24">
        <f t="shared" si="410"/>
        <v>0.02</v>
      </c>
    </row>
    <row r="6826" spans="19:19" x14ac:dyDescent="0.25">
      <c r="S6826" s="24">
        <f t="shared" si="410"/>
        <v>0.02</v>
      </c>
    </row>
    <row r="6827" spans="19:19" x14ac:dyDescent="0.25">
      <c r="S6827" s="24">
        <f t="shared" si="410"/>
        <v>0.02</v>
      </c>
    </row>
    <row r="6828" spans="19:19" x14ac:dyDescent="0.25">
      <c r="S6828" s="24">
        <f t="shared" si="410"/>
        <v>0.02</v>
      </c>
    </row>
    <row r="6829" spans="19:19" x14ac:dyDescent="0.25">
      <c r="S6829" s="24">
        <f t="shared" si="410"/>
        <v>0.02</v>
      </c>
    </row>
    <row r="6830" spans="19:19" x14ac:dyDescent="0.25">
      <c r="S6830" s="24">
        <f t="shared" si="410"/>
        <v>0.02</v>
      </c>
    </row>
    <row r="6831" spans="19:19" x14ac:dyDescent="0.25">
      <c r="S6831" s="24">
        <f t="shared" si="410"/>
        <v>0.02</v>
      </c>
    </row>
    <row r="6832" spans="19:19" x14ac:dyDescent="0.25">
      <c r="S6832" s="24">
        <f t="shared" si="410"/>
        <v>0.02</v>
      </c>
    </row>
    <row r="6833" spans="19:19" x14ac:dyDescent="0.25">
      <c r="S6833" s="24">
        <f t="shared" si="410"/>
        <v>0.02</v>
      </c>
    </row>
    <row r="6834" spans="19:19" x14ac:dyDescent="0.25">
      <c r="S6834" s="24">
        <f t="shared" si="410"/>
        <v>0.02</v>
      </c>
    </row>
    <row r="6835" spans="19:19" x14ac:dyDescent="0.25">
      <c r="S6835" s="24">
        <f t="shared" si="410"/>
        <v>0.02</v>
      </c>
    </row>
    <row r="6836" spans="19:19" x14ac:dyDescent="0.25">
      <c r="S6836" s="24">
        <f t="shared" si="410"/>
        <v>0.02</v>
      </c>
    </row>
    <row r="6837" spans="19:19" x14ac:dyDescent="0.25">
      <c r="S6837" s="24">
        <f t="shared" si="410"/>
        <v>0.02</v>
      </c>
    </row>
    <row r="6838" spans="19:19" x14ac:dyDescent="0.25">
      <c r="S6838" s="24">
        <f t="shared" si="410"/>
        <v>0.02</v>
      </c>
    </row>
    <row r="6839" spans="19:19" x14ac:dyDescent="0.25">
      <c r="S6839" s="24">
        <f t="shared" si="410"/>
        <v>0.02</v>
      </c>
    </row>
    <row r="6840" spans="19:19" x14ac:dyDescent="0.25">
      <c r="S6840" s="24">
        <f t="shared" si="410"/>
        <v>0.02</v>
      </c>
    </row>
    <row r="6841" spans="19:19" x14ac:dyDescent="0.25">
      <c r="S6841" s="24">
        <f t="shared" si="410"/>
        <v>0.02</v>
      </c>
    </row>
    <row r="6842" spans="19:19" x14ac:dyDescent="0.25">
      <c r="S6842" s="24">
        <f t="shared" si="410"/>
        <v>0.02</v>
      </c>
    </row>
    <row r="6843" spans="19:19" x14ac:dyDescent="0.25">
      <c r="S6843" s="24">
        <f t="shared" si="410"/>
        <v>0.02</v>
      </c>
    </row>
    <row r="6844" spans="19:19" x14ac:dyDescent="0.25">
      <c r="S6844" s="24">
        <f t="shared" si="410"/>
        <v>0.02</v>
      </c>
    </row>
    <row r="6845" spans="19:19" x14ac:dyDescent="0.25">
      <c r="S6845" s="24">
        <f t="shared" si="410"/>
        <v>0.02</v>
      </c>
    </row>
    <row r="6846" spans="19:19" x14ac:dyDescent="0.25">
      <c r="S6846" s="24">
        <f t="shared" si="410"/>
        <v>0.02</v>
      </c>
    </row>
    <row r="6847" spans="19:19" x14ac:dyDescent="0.25">
      <c r="S6847" s="24">
        <f t="shared" si="410"/>
        <v>0.02</v>
      </c>
    </row>
    <row r="6848" spans="19:19" x14ac:dyDescent="0.25">
      <c r="S6848" s="24">
        <f t="shared" si="410"/>
        <v>0.02</v>
      </c>
    </row>
    <row r="6849" spans="19:19" x14ac:dyDescent="0.25">
      <c r="S6849" s="24">
        <f t="shared" si="410"/>
        <v>0.02</v>
      </c>
    </row>
    <row r="6850" spans="19:19" x14ac:dyDescent="0.25">
      <c r="S6850" s="24">
        <f t="shared" si="410"/>
        <v>0.02</v>
      </c>
    </row>
    <row r="6851" spans="19:19" x14ac:dyDescent="0.25">
      <c r="S6851" s="24">
        <f t="shared" si="410"/>
        <v>0.02</v>
      </c>
    </row>
    <row r="6852" spans="19:19" x14ac:dyDescent="0.25">
      <c r="S6852" s="24">
        <f t="shared" si="410"/>
        <v>0.02</v>
      </c>
    </row>
    <row r="6853" spans="19:19" x14ac:dyDescent="0.25">
      <c r="S6853" s="24">
        <f t="shared" si="410"/>
        <v>0.02</v>
      </c>
    </row>
    <row r="6854" spans="19:19" x14ac:dyDescent="0.25">
      <c r="S6854" s="24">
        <f t="shared" si="410"/>
        <v>0.02</v>
      </c>
    </row>
    <row r="6855" spans="19:19" x14ac:dyDescent="0.25">
      <c r="S6855" s="24">
        <f t="shared" si="410"/>
        <v>0.02</v>
      </c>
    </row>
    <row r="6856" spans="19:19" x14ac:dyDescent="0.25">
      <c r="S6856" s="24">
        <f t="shared" si="410"/>
        <v>0.02</v>
      </c>
    </row>
    <row r="6857" spans="19:19" x14ac:dyDescent="0.25">
      <c r="S6857" s="24">
        <f t="shared" si="410"/>
        <v>0.02</v>
      </c>
    </row>
    <row r="6858" spans="19:19" x14ac:dyDescent="0.25">
      <c r="S6858" s="24">
        <f t="shared" si="410"/>
        <v>0.02</v>
      </c>
    </row>
    <row r="6859" spans="19:19" x14ac:dyDescent="0.25">
      <c r="S6859" s="24">
        <f t="shared" ref="S6859:S6922" si="411">VLOOKUP(N6859,$T$1:$U$7,2,TRUE)</f>
        <v>0.02</v>
      </c>
    </row>
    <row r="6860" spans="19:19" x14ac:dyDescent="0.25">
      <c r="S6860" s="24">
        <f t="shared" si="411"/>
        <v>0.02</v>
      </c>
    </row>
    <row r="6861" spans="19:19" x14ac:dyDescent="0.25">
      <c r="S6861" s="24">
        <f t="shared" si="411"/>
        <v>0.02</v>
      </c>
    </row>
    <row r="6862" spans="19:19" x14ac:dyDescent="0.25">
      <c r="S6862" s="24">
        <f t="shared" si="411"/>
        <v>0.02</v>
      </c>
    </row>
    <row r="6863" spans="19:19" x14ac:dyDescent="0.25">
      <c r="S6863" s="24">
        <f t="shared" si="411"/>
        <v>0.02</v>
      </c>
    </row>
    <row r="6864" spans="19:19" x14ac:dyDescent="0.25">
      <c r="S6864" s="24">
        <f t="shared" si="411"/>
        <v>0.02</v>
      </c>
    </row>
    <row r="6865" spans="19:19" x14ac:dyDescent="0.25">
      <c r="S6865" s="24">
        <f t="shared" si="411"/>
        <v>0.02</v>
      </c>
    </row>
    <row r="6866" spans="19:19" x14ac:dyDescent="0.25">
      <c r="S6866" s="24">
        <f t="shared" si="411"/>
        <v>0.02</v>
      </c>
    </row>
    <row r="6867" spans="19:19" x14ac:dyDescent="0.25">
      <c r="S6867" s="24">
        <f t="shared" si="411"/>
        <v>0.02</v>
      </c>
    </row>
    <row r="6868" spans="19:19" x14ac:dyDescent="0.25">
      <c r="S6868" s="24">
        <f t="shared" si="411"/>
        <v>0.02</v>
      </c>
    </row>
    <row r="6869" spans="19:19" x14ac:dyDescent="0.25">
      <c r="S6869" s="24">
        <f t="shared" si="411"/>
        <v>0.02</v>
      </c>
    </row>
    <row r="6870" spans="19:19" x14ac:dyDescent="0.25">
      <c r="S6870" s="24">
        <f t="shared" si="411"/>
        <v>0.02</v>
      </c>
    </row>
    <row r="6871" spans="19:19" x14ac:dyDescent="0.25">
      <c r="S6871" s="24">
        <f t="shared" si="411"/>
        <v>0.02</v>
      </c>
    </row>
    <row r="6872" spans="19:19" x14ac:dyDescent="0.25">
      <c r="S6872" s="24">
        <f t="shared" si="411"/>
        <v>0.02</v>
      </c>
    </row>
    <row r="6873" spans="19:19" x14ac:dyDescent="0.25">
      <c r="S6873" s="24">
        <f t="shared" si="411"/>
        <v>0.02</v>
      </c>
    </row>
    <row r="6874" spans="19:19" x14ac:dyDescent="0.25">
      <c r="S6874" s="24">
        <f t="shared" si="411"/>
        <v>0.02</v>
      </c>
    </row>
    <row r="6875" spans="19:19" x14ac:dyDescent="0.25">
      <c r="S6875" s="24">
        <f t="shared" si="411"/>
        <v>0.02</v>
      </c>
    </row>
    <row r="6876" spans="19:19" x14ac:dyDescent="0.25">
      <c r="S6876" s="24">
        <f t="shared" si="411"/>
        <v>0.02</v>
      </c>
    </row>
    <row r="6877" spans="19:19" x14ac:dyDescent="0.25">
      <c r="S6877" s="24">
        <f t="shared" si="411"/>
        <v>0.02</v>
      </c>
    </row>
    <row r="6878" spans="19:19" x14ac:dyDescent="0.25">
      <c r="S6878" s="24">
        <f t="shared" si="411"/>
        <v>0.02</v>
      </c>
    </row>
    <row r="6879" spans="19:19" x14ac:dyDescent="0.25">
      <c r="S6879" s="24">
        <f t="shared" si="411"/>
        <v>0.02</v>
      </c>
    </row>
    <row r="6880" spans="19:19" x14ac:dyDescent="0.25">
      <c r="S6880" s="24">
        <f t="shared" si="411"/>
        <v>0.02</v>
      </c>
    </row>
    <row r="6881" spans="19:19" x14ac:dyDescent="0.25">
      <c r="S6881" s="24">
        <f t="shared" si="411"/>
        <v>0.02</v>
      </c>
    </row>
    <row r="6882" spans="19:19" x14ac:dyDescent="0.25">
      <c r="S6882" s="24">
        <f t="shared" si="411"/>
        <v>0.02</v>
      </c>
    </row>
    <row r="6883" spans="19:19" x14ac:dyDescent="0.25">
      <c r="S6883" s="24">
        <f t="shared" si="411"/>
        <v>0.02</v>
      </c>
    </row>
    <row r="6884" spans="19:19" x14ac:dyDescent="0.25">
      <c r="S6884" s="24">
        <f t="shared" si="411"/>
        <v>0.02</v>
      </c>
    </row>
    <row r="6885" spans="19:19" x14ac:dyDescent="0.25">
      <c r="S6885" s="24">
        <f t="shared" si="411"/>
        <v>0.02</v>
      </c>
    </row>
    <row r="6886" spans="19:19" x14ac:dyDescent="0.25">
      <c r="S6886" s="24">
        <f t="shared" si="411"/>
        <v>0.02</v>
      </c>
    </row>
    <row r="6887" spans="19:19" x14ac:dyDescent="0.25">
      <c r="S6887" s="24">
        <f t="shared" si="411"/>
        <v>0.02</v>
      </c>
    </row>
    <row r="6888" spans="19:19" x14ac:dyDescent="0.25">
      <c r="S6888" s="24">
        <f t="shared" si="411"/>
        <v>0.02</v>
      </c>
    </row>
    <row r="6889" spans="19:19" x14ac:dyDescent="0.25">
      <c r="S6889" s="24">
        <f t="shared" si="411"/>
        <v>0.02</v>
      </c>
    </row>
    <row r="6890" spans="19:19" x14ac:dyDescent="0.25">
      <c r="S6890" s="24">
        <f t="shared" si="411"/>
        <v>0.02</v>
      </c>
    </row>
    <row r="6891" spans="19:19" x14ac:dyDescent="0.25">
      <c r="S6891" s="24">
        <f t="shared" si="411"/>
        <v>0.02</v>
      </c>
    </row>
    <row r="6892" spans="19:19" x14ac:dyDescent="0.25">
      <c r="S6892" s="24">
        <f t="shared" si="411"/>
        <v>0.02</v>
      </c>
    </row>
    <row r="6893" spans="19:19" x14ac:dyDescent="0.25">
      <c r="S6893" s="24">
        <f t="shared" si="411"/>
        <v>0.02</v>
      </c>
    </row>
    <row r="6894" spans="19:19" x14ac:dyDescent="0.25">
      <c r="S6894" s="24">
        <f t="shared" si="411"/>
        <v>0.02</v>
      </c>
    </row>
    <row r="6895" spans="19:19" x14ac:dyDescent="0.25">
      <c r="S6895" s="24">
        <f t="shared" si="411"/>
        <v>0.02</v>
      </c>
    </row>
    <row r="6896" spans="19:19" x14ac:dyDescent="0.25">
      <c r="S6896" s="24">
        <f t="shared" si="411"/>
        <v>0.02</v>
      </c>
    </row>
    <row r="6897" spans="19:19" x14ac:dyDescent="0.25">
      <c r="S6897" s="24">
        <f t="shared" si="411"/>
        <v>0.02</v>
      </c>
    </row>
    <row r="6898" spans="19:19" x14ac:dyDescent="0.25">
      <c r="S6898" s="24">
        <f t="shared" si="411"/>
        <v>0.02</v>
      </c>
    </row>
    <row r="6899" spans="19:19" x14ac:dyDescent="0.25">
      <c r="S6899" s="24">
        <f t="shared" si="411"/>
        <v>0.02</v>
      </c>
    </row>
    <row r="6900" spans="19:19" x14ac:dyDescent="0.25">
      <c r="S6900" s="24">
        <f t="shared" si="411"/>
        <v>0.02</v>
      </c>
    </row>
    <row r="6901" spans="19:19" x14ac:dyDescent="0.25">
      <c r="S6901" s="24">
        <f t="shared" si="411"/>
        <v>0.02</v>
      </c>
    </row>
    <row r="6902" spans="19:19" x14ac:dyDescent="0.25">
      <c r="S6902" s="24">
        <f t="shared" si="411"/>
        <v>0.02</v>
      </c>
    </row>
    <row r="6903" spans="19:19" x14ac:dyDescent="0.25">
      <c r="S6903" s="24">
        <f t="shared" si="411"/>
        <v>0.02</v>
      </c>
    </row>
    <row r="6904" spans="19:19" x14ac:dyDescent="0.25">
      <c r="S6904" s="24">
        <f t="shared" si="411"/>
        <v>0.02</v>
      </c>
    </row>
    <row r="6905" spans="19:19" x14ac:dyDescent="0.25">
      <c r="S6905" s="24">
        <f t="shared" si="411"/>
        <v>0.02</v>
      </c>
    </row>
    <row r="6906" spans="19:19" x14ac:dyDescent="0.25">
      <c r="S6906" s="24">
        <f t="shared" si="411"/>
        <v>0.02</v>
      </c>
    </row>
    <row r="6907" spans="19:19" x14ac:dyDescent="0.25">
      <c r="S6907" s="24">
        <f t="shared" si="411"/>
        <v>0.02</v>
      </c>
    </row>
    <row r="6908" spans="19:19" x14ac:dyDescent="0.25">
      <c r="S6908" s="24">
        <f t="shared" si="411"/>
        <v>0.02</v>
      </c>
    </row>
    <row r="6909" spans="19:19" x14ac:dyDescent="0.25">
      <c r="S6909" s="24">
        <f t="shared" si="411"/>
        <v>0.02</v>
      </c>
    </row>
    <row r="6910" spans="19:19" x14ac:dyDescent="0.25">
      <c r="S6910" s="24">
        <f t="shared" si="411"/>
        <v>0.02</v>
      </c>
    </row>
    <row r="6911" spans="19:19" x14ac:dyDescent="0.25">
      <c r="S6911" s="24">
        <f t="shared" si="411"/>
        <v>0.02</v>
      </c>
    </row>
    <row r="6912" spans="19:19" x14ac:dyDescent="0.25">
      <c r="S6912" s="24">
        <f t="shared" si="411"/>
        <v>0.02</v>
      </c>
    </row>
    <row r="6913" spans="19:19" x14ac:dyDescent="0.25">
      <c r="S6913" s="24">
        <f t="shared" si="411"/>
        <v>0.02</v>
      </c>
    </row>
    <row r="6914" spans="19:19" x14ac:dyDescent="0.25">
      <c r="S6914" s="24">
        <f t="shared" si="411"/>
        <v>0.02</v>
      </c>
    </row>
    <row r="6915" spans="19:19" x14ac:dyDescent="0.25">
      <c r="S6915" s="24">
        <f t="shared" si="411"/>
        <v>0.02</v>
      </c>
    </row>
    <row r="6916" spans="19:19" x14ac:dyDescent="0.25">
      <c r="S6916" s="24">
        <f t="shared" si="411"/>
        <v>0.02</v>
      </c>
    </row>
    <row r="6917" spans="19:19" x14ac:dyDescent="0.25">
      <c r="S6917" s="24">
        <f t="shared" si="411"/>
        <v>0.02</v>
      </c>
    </row>
    <row r="6918" spans="19:19" x14ac:dyDescent="0.25">
      <c r="S6918" s="24">
        <f t="shared" si="411"/>
        <v>0.02</v>
      </c>
    </row>
    <row r="6919" spans="19:19" x14ac:dyDescent="0.25">
      <c r="S6919" s="24">
        <f t="shared" si="411"/>
        <v>0.02</v>
      </c>
    </row>
    <row r="6920" spans="19:19" x14ac:dyDescent="0.25">
      <c r="S6920" s="24">
        <f t="shared" si="411"/>
        <v>0.02</v>
      </c>
    </row>
    <row r="6921" spans="19:19" x14ac:dyDescent="0.25">
      <c r="S6921" s="24">
        <f t="shared" si="411"/>
        <v>0.02</v>
      </c>
    </row>
    <row r="6922" spans="19:19" x14ac:dyDescent="0.25">
      <c r="S6922" s="24">
        <f t="shared" si="411"/>
        <v>0.02</v>
      </c>
    </row>
    <row r="6923" spans="19:19" x14ac:dyDescent="0.25">
      <c r="S6923" s="24">
        <f t="shared" ref="S6923:S6986" si="412">VLOOKUP(N6923,$T$1:$U$7,2,TRUE)</f>
        <v>0.02</v>
      </c>
    </row>
    <row r="6924" spans="19:19" x14ac:dyDescent="0.25">
      <c r="S6924" s="24">
        <f t="shared" si="412"/>
        <v>0.02</v>
      </c>
    </row>
    <row r="6925" spans="19:19" x14ac:dyDescent="0.25">
      <c r="S6925" s="24">
        <f t="shared" si="412"/>
        <v>0.02</v>
      </c>
    </row>
    <row r="6926" spans="19:19" x14ac:dyDescent="0.25">
      <c r="S6926" s="24">
        <f t="shared" si="412"/>
        <v>0.02</v>
      </c>
    </row>
    <row r="6927" spans="19:19" x14ac:dyDescent="0.25">
      <c r="S6927" s="24">
        <f t="shared" si="412"/>
        <v>0.02</v>
      </c>
    </row>
    <row r="6928" spans="19:19" x14ac:dyDescent="0.25">
      <c r="S6928" s="24">
        <f t="shared" si="412"/>
        <v>0.02</v>
      </c>
    </row>
    <row r="6929" spans="19:19" x14ac:dyDescent="0.25">
      <c r="S6929" s="24">
        <f t="shared" si="412"/>
        <v>0.02</v>
      </c>
    </row>
    <row r="6930" spans="19:19" x14ac:dyDescent="0.25">
      <c r="S6930" s="24">
        <f t="shared" si="412"/>
        <v>0.02</v>
      </c>
    </row>
    <row r="6931" spans="19:19" x14ac:dyDescent="0.25">
      <c r="S6931" s="24">
        <f t="shared" si="412"/>
        <v>0.02</v>
      </c>
    </row>
    <row r="6932" spans="19:19" x14ac:dyDescent="0.25">
      <c r="S6932" s="24">
        <f t="shared" si="412"/>
        <v>0.02</v>
      </c>
    </row>
    <row r="6933" spans="19:19" x14ac:dyDescent="0.25">
      <c r="S6933" s="24">
        <f t="shared" si="412"/>
        <v>0.02</v>
      </c>
    </row>
    <row r="6934" spans="19:19" x14ac:dyDescent="0.25">
      <c r="S6934" s="24">
        <f t="shared" si="412"/>
        <v>0.02</v>
      </c>
    </row>
    <row r="6935" spans="19:19" x14ac:dyDescent="0.25">
      <c r="S6935" s="24">
        <f t="shared" si="412"/>
        <v>0.02</v>
      </c>
    </row>
    <row r="6936" spans="19:19" x14ac:dyDescent="0.25">
      <c r="S6936" s="24">
        <f t="shared" si="412"/>
        <v>0.02</v>
      </c>
    </row>
    <row r="6937" spans="19:19" x14ac:dyDescent="0.25">
      <c r="S6937" s="24">
        <f t="shared" si="412"/>
        <v>0.02</v>
      </c>
    </row>
    <row r="6938" spans="19:19" x14ac:dyDescent="0.25">
      <c r="S6938" s="24">
        <f t="shared" si="412"/>
        <v>0.02</v>
      </c>
    </row>
    <row r="6939" spans="19:19" x14ac:dyDescent="0.25">
      <c r="S6939" s="24">
        <f t="shared" si="412"/>
        <v>0.02</v>
      </c>
    </row>
    <row r="6940" spans="19:19" x14ac:dyDescent="0.25">
      <c r="S6940" s="24">
        <f t="shared" si="412"/>
        <v>0.02</v>
      </c>
    </row>
    <row r="6941" spans="19:19" x14ac:dyDescent="0.25">
      <c r="S6941" s="24">
        <f t="shared" si="412"/>
        <v>0.02</v>
      </c>
    </row>
    <row r="6942" spans="19:19" x14ac:dyDescent="0.25">
      <c r="S6942" s="24">
        <f t="shared" si="412"/>
        <v>0.02</v>
      </c>
    </row>
    <row r="6943" spans="19:19" x14ac:dyDescent="0.25">
      <c r="S6943" s="24">
        <f t="shared" si="412"/>
        <v>0.02</v>
      </c>
    </row>
    <row r="6944" spans="19:19" x14ac:dyDescent="0.25">
      <c r="S6944" s="24">
        <f t="shared" si="412"/>
        <v>0.02</v>
      </c>
    </row>
    <row r="6945" spans="19:19" x14ac:dyDescent="0.25">
      <c r="S6945" s="24">
        <f t="shared" si="412"/>
        <v>0.02</v>
      </c>
    </row>
    <row r="6946" spans="19:19" x14ac:dyDescent="0.25">
      <c r="S6946" s="24">
        <f t="shared" si="412"/>
        <v>0.02</v>
      </c>
    </row>
    <row r="6947" spans="19:19" x14ac:dyDescent="0.25">
      <c r="S6947" s="24">
        <f t="shared" si="412"/>
        <v>0.02</v>
      </c>
    </row>
    <row r="6948" spans="19:19" x14ac:dyDescent="0.25">
      <c r="S6948" s="24">
        <f t="shared" si="412"/>
        <v>0.02</v>
      </c>
    </row>
    <row r="6949" spans="19:19" x14ac:dyDescent="0.25">
      <c r="S6949" s="24">
        <f t="shared" si="412"/>
        <v>0.02</v>
      </c>
    </row>
    <row r="6950" spans="19:19" x14ac:dyDescent="0.25">
      <c r="S6950" s="24">
        <f t="shared" si="412"/>
        <v>0.02</v>
      </c>
    </row>
    <row r="6951" spans="19:19" x14ac:dyDescent="0.25">
      <c r="S6951" s="24">
        <f t="shared" si="412"/>
        <v>0.02</v>
      </c>
    </row>
    <row r="6952" spans="19:19" x14ac:dyDescent="0.25">
      <c r="S6952" s="24">
        <f t="shared" si="412"/>
        <v>0.02</v>
      </c>
    </row>
    <row r="6953" spans="19:19" x14ac:dyDescent="0.25">
      <c r="S6953" s="24">
        <f t="shared" si="412"/>
        <v>0.02</v>
      </c>
    </row>
    <row r="6954" spans="19:19" x14ac:dyDescent="0.25">
      <c r="S6954" s="24">
        <f t="shared" si="412"/>
        <v>0.02</v>
      </c>
    </row>
    <row r="6955" spans="19:19" x14ac:dyDescent="0.25">
      <c r="S6955" s="24">
        <f t="shared" si="412"/>
        <v>0.02</v>
      </c>
    </row>
    <row r="6956" spans="19:19" x14ac:dyDescent="0.25">
      <c r="S6956" s="24">
        <f t="shared" si="412"/>
        <v>0.02</v>
      </c>
    </row>
    <row r="6957" spans="19:19" x14ac:dyDescent="0.25">
      <c r="S6957" s="24">
        <f t="shared" si="412"/>
        <v>0.02</v>
      </c>
    </row>
    <row r="6958" spans="19:19" x14ac:dyDescent="0.25">
      <c r="S6958" s="24">
        <f t="shared" si="412"/>
        <v>0.02</v>
      </c>
    </row>
    <row r="6959" spans="19:19" x14ac:dyDescent="0.25">
      <c r="S6959" s="24">
        <f t="shared" si="412"/>
        <v>0.02</v>
      </c>
    </row>
    <row r="6960" spans="19:19" x14ac:dyDescent="0.25">
      <c r="S6960" s="24">
        <f t="shared" si="412"/>
        <v>0.02</v>
      </c>
    </row>
    <row r="6961" spans="19:19" x14ac:dyDescent="0.25">
      <c r="S6961" s="24">
        <f t="shared" si="412"/>
        <v>0.02</v>
      </c>
    </row>
    <row r="6962" spans="19:19" x14ac:dyDescent="0.25">
      <c r="S6962" s="24">
        <f t="shared" si="412"/>
        <v>0.02</v>
      </c>
    </row>
    <row r="6963" spans="19:19" x14ac:dyDescent="0.25">
      <c r="S6963" s="24">
        <f t="shared" si="412"/>
        <v>0.02</v>
      </c>
    </row>
    <row r="6964" spans="19:19" x14ac:dyDescent="0.25">
      <c r="S6964" s="24">
        <f t="shared" si="412"/>
        <v>0.02</v>
      </c>
    </row>
    <row r="6965" spans="19:19" x14ac:dyDescent="0.25">
      <c r="S6965" s="24">
        <f t="shared" si="412"/>
        <v>0.02</v>
      </c>
    </row>
    <row r="6966" spans="19:19" x14ac:dyDescent="0.25">
      <c r="S6966" s="24">
        <f t="shared" si="412"/>
        <v>0.02</v>
      </c>
    </row>
    <row r="6967" spans="19:19" x14ac:dyDescent="0.25">
      <c r="S6967" s="24">
        <f t="shared" si="412"/>
        <v>0.02</v>
      </c>
    </row>
    <row r="6968" spans="19:19" x14ac:dyDescent="0.25">
      <c r="S6968" s="24">
        <f t="shared" si="412"/>
        <v>0.02</v>
      </c>
    </row>
    <row r="6969" spans="19:19" x14ac:dyDescent="0.25">
      <c r="S6969" s="24">
        <f t="shared" si="412"/>
        <v>0.02</v>
      </c>
    </row>
    <row r="6970" spans="19:19" x14ac:dyDescent="0.25">
      <c r="S6970" s="24">
        <f t="shared" si="412"/>
        <v>0.02</v>
      </c>
    </row>
    <row r="6971" spans="19:19" x14ac:dyDescent="0.25">
      <c r="S6971" s="24">
        <f t="shared" si="412"/>
        <v>0.02</v>
      </c>
    </row>
    <row r="6972" spans="19:19" x14ac:dyDescent="0.25">
      <c r="S6972" s="24">
        <f t="shared" si="412"/>
        <v>0.02</v>
      </c>
    </row>
    <row r="6973" spans="19:19" x14ac:dyDescent="0.25">
      <c r="S6973" s="24">
        <f t="shared" si="412"/>
        <v>0.02</v>
      </c>
    </row>
    <row r="6974" spans="19:19" x14ac:dyDescent="0.25">
      <c r="S6974" s="24">
        <f t="shared" si="412"/>
        <v>0.02</v>
      </c>
    </row>
    <row r="6975" spans="19:19" x14ac:dyDescent="0.25">
      <c r="S6975" s="24">
        <f t="shared" si="412"/>
        <v>0.02</v>
      </c>
    </row>
    <row r="6976" spans="19:19" x14ac:dyDescent="0.25">
      <c r="S6976" s="24">
        <f t="shared" si="412"/>
        <v>0.02</v>
      </c>
    </row>
    <row r="6977" spans="19:19" x14ac:dyDescent="0.25">
      <c r="S6977" s="24">
        <f t="shared" si="412"/>
        <v>0.02</v>
      </c>
    </row>
    <row r="6978" spans="19:19" x14ac:dyDescent="0.25">
      <c r="S6978" s="24">
        <f t="shared" si="412"/>
        <v>0.02</v>
      </c>
    </row>
    <row r="6979" spans="19:19" x14ac:dyDescent="0.25">
      <c r="S6979" s="24">
        <f t="shared" si="412"/>
        <v>0.02</v>
      </c>
    </row>
    <row r="6980" spans="19:19" x14ac:dyDescent="0.25">
      <c r="S6980" s="24">
        <f t="shared" si="412"/>
        <v>0.02</v>
      </c>
    </row>
    <row r="6981" spans="19:19" x14ac:dyDescent="0.25">
      <c r="S6981" s="24">
        <f t="shared" si="412"/>
        <v>0.02</v>
      </c>
    </row>
    <row r="6982" spans="19:19" x14ac:dyDescent="0.25">
      <c r="S6982" s="24">
        <f t="shared" si="412"/>
        <v>0.02</v>
      </c>
    </row>
    <row r="6983" spans="19:19" x14ac:dyDescent="0.25">
      <c r="S6983" s="24">
        <f t="shared" si="412"/>
        <v>0.02</v>
      </c>
    </row>
    <row r="6984" spans="19:19" x14ac:dyDescent="0.25">
      <c r="S6984" s="24">
        <f t="shared" si="412"/>
        <v>0.02</v>
      </c>
    </row>
    <row r="6985" spans="19:19" x14ac:dyDescent="0.25">
      <c r="S6985" s="24">
        <f t="shared" si="412"/>
        <v>0.02</v>
      </c>
    </row>
    <row r="6986" spans="19:19" x14ac:dyDescent="0.25">
      <c r="S6986" s="24">
        <f t="shared" si="412"/>
        <v>0.02</v>
      </c>
    </row>
    <row r="6987" spans="19:19" x14ac:dyDescent="0.25">
      <c r="S6987" s="24">
        <f t="shared" ref="S6987:S7050" si="413">VLOOKUP(N6987,$T$1:$U$7,2,TRUE)</f>
        <v>0.02</v>
      </c>
    </row>
    <row r="6988" spans="19:19" x14ac:dyDescent="0.25">
      <c r="S6988" s="24">
        <f t="shared" si="413"/>
        <v>0.02</v>
      </c>
    </row>
    <row r="6989" spans="19:19" x14ac:dyDescent="0.25">
      <c r="S6989" s="24">
        <f t="shared" si="413"/>
        <v>0.02</v>
      </c>
    </row>
    <row r="6990" spans="19:19" x14ac:dyDescent="0.25">
      <c r="S6990" s="24">
        <f t="shared" si="413"/>
        <v>0.02</v>
      </c>
    </row>
    <row r="6991" spans="19:19" x14ac:dyDescent="0.25">
      <c r="S6991" s="24">
        <f t="shared" si="413"/>
        <v>0.02</v>
      </c>
    </row>
    <row r="6992" spans="19:19" x14ac:dyDescent="0.25">
      <c r="S6992" s="24">
        <f t="shared" si="413"/>
        <v>0.02</v>
      </c>
    </row>
    <row r="6993" spans="19:19" x14ac:dyDescent="0.25">
      <c r="S6993" s="24">
        <f t="shared" si="413"/>
        <v>0.02</v>
      </c>
    </row>
    <row r="6994" spans="19:19" x14ac:dyDescent="0.25">
      <c r="S6994" s="24">
        <f t="shared" si="413"/>
        <v>0.02</v>
      </c>
    </row>
    <row r="6995" spans="19:19" x14ac:dyDescent="0.25">
      <c r="S6995" s="24">
        <f t="shared" si="413"/>
        <v>0.02</v>
      </c>
    </row>
    <row r="6996" spans="19:19" x14ac:dyDescent="0.25">
      <c r="S6996" s="24">
        <f t="shared" si="413"/>
        <v>0.02</v>
      </c>
    </row>
    <row r="6997" spans="19:19" x14ac:dyDescent="0.25">
      <c r="S6997" s="24">
        <f t="shared" si="413"/>
        <v>0.02</v>
      </c>
    </row>
    <row r="6998" spans="19:19" x14ac:dyDescent="0.25">
      <c r="S6998" s="24">
        <f t="shared" si="413"/>
        <v>0.02</v>
      </c>
    </row>
    <row r="6999" spans="19:19" x14ac:dyDescent="0.25">
      <c r="S6999" s="24">
        <f t="shared" si="413"/>
        <v>0.02</v>
      </c>
    </row>
    <row r="7000" spans="19:19" x14ac:dyDescent="0.25">
      <c r="S7000" s="24">
        <f t="shared" si="413"/>
        <v>0.02</v>
      </c>
    </row>
    <row r="7001" spans="19:19" x14ac:dyDescent="0.25">
      <c r="S7001" s="24">
        <f t="shared" si="413"/>
        <v>0.02</v>
      </c>
    </row>
    <row r="7002" spans="19:19" x14ac:dyDescent="0.25">
      <c r="S7002" s="24">
        <f t="shared" si="413"/>
        <v>0.02</v>
      </c>
    </row>
    <row r="7003" spans="19:19" x14ac:dyDescent="0.25">
      <c r="S7003" s="24">
        <f t="shared" si="413"/>
        <v>0.02</v>
      </c>
    </row>
    <row r="7004" spans="19:19" x14ac:dyDescent="0.25">
      <c r="S7004" s="24">
        <f t="shared" si="413"/>
        <v>0.02</v>
      </c>
    </row>
    <row r="7005" spans="19:19" x14ac:dyDescent="0.25">
      <c r="S7005" s="24">
        <f t="shared" si="413"/>
        <v>0.02</v>
      </c>
    </row>
    <row r="7006" spans="19:19" x14ac:dyDescent="0.25">
      <c r="S7006" s="24">
        <f t="shared" si="413"/>
        <v>0.02</v>
      </c>
    </row>
    <row r="7007" spans="19:19" x14ac:dyDescent="0.25">
      <c r="S7007" s="24">
        <f t="shared" si="413"/>
        <v>0.02</v>
      </c>
    </row>
    <row r="7008" spans="19:19" x14ac:dyDescent="0.25">
      <c r="S7008" s="24">
        <f t="shared" si="413"/>
        <v>0.02</v>
      </c>
    </row>
    <row r="7009" spans="19:19" x14ac:dyDescent="0.25">
      <c r="S7009" s="24">
        <f t="shared" si="413"/>
        <v>0.02</v>
      </c>
    </row>
    <row r="7010" spans="19:19" x14ac:dyDescent="0.25">
      <c r="S7010" s="24">
        <f t="shared" si="413"/>
        <v>0.02</v>
      </c>
    </row>
    <row r="7011" spans="19:19" x14ac:dyDescent="0.25">
      <c r="S7011" s="24">
        <f t="shared" si="413"/>
        <v>0.02</v>
      </c>
    </row>
    <row r="7012" spans="19:19" x14ac:dyDescent="0.25">
      <c r="S7012" s="24">
        <f t="shared" si="413"/>
        <v>0.02</v>
      </c>
    </row>
    <row r="7013" spans="19:19" x14ac:dyDescent="0.25">
      <c r="S7013" s="24">
        <f t="shared" si="413"/>
        <v>0.02</v>
      </c>
    </row>
    <row r="7014" spans="19:19" x14ac:dyDescent="0.25">
      <c r="S7014" s="24">
        <f t="shared" si="413"/>
        <v>0.02</v>
      </c>
    </row>
    <row r="7015" spans="19:19" x14ac:dyDescent="0.25">
      <c r="S7015" s="24">
        <f t="shared" si="413"/>
        <v>0.02</v>
      </c>
    </row>
    <row r="7016" spans="19:19" x14ac:dyDescent="0.25">
      <c r="S7016" s="24">
        <f t="shared" si="413"/>
        <v>0.02</v>
      </c>
    </row>
    <row r="7017" spans="19:19" x14ac:dyDescent="0.25">
      <c r="S7017" s="24">
        <f t="shared" si="413"/>
        <v>0.02</v>
      </c>
    </row>
    <row r="7018" spans="19:19" x14ac:dyDescent="0.25">
      <c r="S7018" s="24">
        <f t="shared" si="413"/>
        <v>0.02</v>
      </c>
    </row>
    <row r="7019" spans="19:19" x14ac:dyDescent="0.25">
      <c r="S7019" s="24">
        <f t="shared" si="413"/>
        <v>0.02</v>
      </c>
    </row>
    <row r="7020" spans="19:19" x14ac:dyDescent="0.25">
      <c r="S7020" s="24">
        <f t="shared" si="413"/>
        <v>0.02</v>
      </c>
    </row>
    <row r="7021" spans="19:19" x14ac:dyDescent="0.25">
      <c r="S7021" s="24">
        <f t="shared" si="413"/>
        <v>0.02</v>
      </c>
    </row>
    <row r="7022" spans="19:19" x14ac:dyDescent="0.25">
      <c r="S7022" s="24">
        <f t="shared" si="413"/>
        <v>0.02</v>
      </c>
    </row>
    <row r="7023" spans="19:19" x14ac:dyDescent="0.25">
      <c r="S7023" s="24">
        <f t="shared" si="413"/>
        <v>0.02</v>
      </c>
    </row>
    <row r="7024" spans="19:19" x14ac:dyDescent="0.25">
      <c r="S7024" s="24">
        <f t="shared" si="413"/>
        <v>0.02</v>
      </c>
    </row>
    <row r="7025" spans="19:19" x14ac:dyDescent="0.25">
      <c r="S7025" s="24">
        <f t="shared" si="413"/>
        <v>0.02</v>
      </c>
    </row>
    <row r="7026" spans="19:19" x14ac:dyDescent="0.25">
      <c r="S7026" s="24">
        <f t="shared" si="413"/>
        <v>0.02</v>
      </c>
    </row>
    <row r="7027" spans="19:19" x14ac:dyDescent="0.25">
      <c r="S7027" s="24">
        <f t="shared" si="413"/>
        <v>0.02</v>
      </c>
    </row>
    <row r="7028" spans="19:19" x14ac:dyDescent="0.25">
      <c r="S7028" s="24">
        <f t="shared" si="413"/>
        <v>0.02</v>
      </c>
    </row>
    <row r="7029" spans="19:19" x14ac:dyDescent="0.25">
      <c r="S7029" s="24">
        <f t="shared" si="413"/>
        <v>0.02</v>
      </c>
    </row>
    <row r="7030" spans="19:19" x14ac:dyDescent="0.25">
      <c r="S7030" s="24">
        <f t="shared" si="413"/>
        <v>0.02</v>
      </c>
    </row>
    <row r="7031" spans="19:19" x14ac:dyDescent="0.25">
      <c r="S7031" s="24">
        <f t="shared" si="413"/>
        <v>0.02</v>
      </c>
    </row>
    <row r="7032" spans="19:19" x14ac:dyDescent="0.25">
      <c r="S7032" s="24">
        <f t="shared" si="413"/>
        <v>0.02</v>
      </c>
    </row>
    <row r="7033" spans="19:19" x14ac:dyDescent="0.25">
      <c r="S7033" s="24">
        <f t="shared" si="413"/>
        <v>0.02</v>
      </c>
    </row>
    <row r="7034" spans="19:19" x14ac:dyDescent="0.25">
      <c r="S7034" s="24">
        <f t="shared" si="413"/>
        <v>0.02</v>
      </c>
    </row>
    <row r="7035" spans="19:19" x14ac:dyDescent="0.25">
      <c r="S7035" s="24">
        <f t="shared" si="413"/>
        <v>0.02</v>
      </c>
    </row>
    <row r="7036" spans="19:19" x14ac:dyDescent="0.25">
      <c r="S7036" s="24">
        <f t="shared" si="413"/>
        <v>0.02</v>
      </c>
    </row>
    <row r="7037" spans="19:19" x14ac:dyDescent="0.25">
      <c r="S7037" s="24">
        <f t="shared" si="413"/>
        <v>0.02</v>
      </c>
    </row>
    <row r="7038" spans="19:19" x14ac:dyDescent="0.25">
      <c r="S7038" s="24">
        <f t="shared" si="413"/>
        <v>0.02</v>
      </c>
    </row>
    <row r="7039" spans="19:19" x14ac:dyDescent="0.25">
      <c r="S7039" s="24">
        <f t="shared" si="413"/>
        <v>0.02</v>
      </c>
    </row>
    <row r="7040" spans="19:19" x14ac:dyDescent="0.25">
      <c r="S7040" s="24">
        <f t="shared" si="413"/>
        <v>0.02</v>
      </c>
    </row>
    <row r="7041" spans="19:19" x14ac:dyDescent="0.25">
      <c r="S7041" s="24">
        <f t="shared" si="413"/>
        <v>0.02</v>
      </c>
    </row>
    <row r="7042" spans="19:19" x14ac:dyDescent="0.25">
      <c r="S7042" s="24">
        <f t="shared" si="413"/>
        <v>0.02</v>
      </c>
    </row>
    <row r="7043" spans="19:19" x14ac:dyDescent="0.25">
      <c r="S7043" s="24">
        <f t="shared" si="413"/>
        <v>0.02</v>
      </c>
    </row>
    <row r="7044" spans="19:19" x14ac:dyDescent="0.25">
      <c r="S7044" s="24">
        <f t="shared" si="413"/>
        <v>0.02</v>
      </c>
    </row>
    <row r="7045" spans="19:19" x14ac:dyDescent="0.25">
      <c r="S7045" s="24">
        <f t="shared" si="413"/>
        <v>0.02</v>
      </c>
    </row>
    <row r="7046" spans="19:19" x14ac:dyDescent="0.25">
      <c r="S7046" s="24">
        <f t="shared" si="413"/>
        <v>0.02</v>
      </c>
    </row>
    <row r="7047" spans="19:19" x14ac:dyDescent="0.25">
      <c r="S7047" s="24">
        <f t="shared" si="413"/>
        <v>0.02</v>
      </c>
    </row>
    <row r="7048" spans="19:19" x14ac:dyDescent="0.25">
      <c r="S7048" s="24">
        <f t="shared" si="413"/>
        <v>0.02</v>
      </c>
    </row>
    <row r="7049" spans="19:19" x14ac:dyDescent="0.25">
      <c r="S7049" s="24">
        <f t="shared" si="413"/>
        <v>0.02</v>
      </c>
    </row>
    <row r="7050" spans="19:19" x14ac:dyDescent="0.25">
      <c r="S7050" s="24">
        <f t="shared" si="413"/>
        <v>0.02</v>
      </c>
    </row>
    <row r="7051" spans="19:19" x14ac:dyDescent="0.25">
      <c r="S7051" s="24">
        <f t="shared" ref="S7051:S7114" si="414">VLOOKUP(N7051,$T$1:$U$7,2,TRUE)</f>
        <v>0.02</v>
      </c>
    </row>
    <row r="7052" spans="19:19" x14ac:dyDescent="0.25">
      <c r="S7052" s="24">
        <f t="shared" si="414"/>
        <v>0.02</v>
      </c>
    </row>
    <row r="7053" spans="19:19" x14ac:dyDescent="0.25">
      <c r="S7053" s="24">
        <f t="shared" si="414"/>
        <v>0.02</v>
      </c>
    </row>
    <row r="7054" spans="19:19" x14ac:dyDescent="0.25">
      <c r="S7054" s="24">
        <f t="shared" si="414"/>
        <v>0.02</v>
      </c>
    </row>
    <row r="7055" spans="19:19" x14ac:dyDescent="0.25">
      <c r="S7055" s="24">
        <f t="shared" si="414"/>
        <v>0.02</v>
      </c>
    </row>
    <row r="7056" spans="19:19" x14ac:dyDescent="0.25">
      <c r="S7056" s="24">
        <f t="shared" si="414"/>
        <v>0.02</v>
      </c>
    </row>
    <row r="7057" spans="19:19" x14ac:dyDescent="0.25">
      <c r="S7057" s="24">
        <f t="shared" si="414"/>
        <v>0.02</v>
      </c>
    </row>
    <row r="7058" spans="19:19" x14ac:dyDescent="0.25">
      <c r="S7058" s="24">
        <f t="shared" si="414"/>
        <v>0.02</v>
      </c>
    </row>
    <row r="7059" spans="19:19" x14ac:dyDescent="0.25">
      <c r="S7059" s="24">
        <f t="shared" si="414"/>
        <v>0.02</v>
      </c>
    </row>
    <row r="7060" spans="19:19" x14ac:dyDescent="0.25">
      <c r="S7060" s="24">
        <f t="shared" si="414"/>
        <v>0.02</v>
      </c>
    </row>
    <row r="7061" spans="19:19" x14ac:dyDescent="0.25">
      <c r="S7061" s="24">
        <f t="shared" si="414"/>
        <v>0.02</v>
      </c>
    </row>
    <row r="7062" spans="19:19" x14ac:dyDescent="0.25">
      <c r="S7062" s="24">
        <f t="shared" si="414"/>
        <v>0.02</v>
      </c>
    </row>
    <row r="7063" spans="19:19" x14ac:dyDescent="0.25">
      <c r="S7063" s="24">
        <f t="shared" si="414"/>
        <v>0.02</v>
      </c>
    </row>
    <row r="7064" spans="19:19" x14ac:dyDescent="0.25">
      <c r="S7064" s="24">
        <f t="shared" si="414"/>
        <v>0.02</v>
      </c>
    </row>
    <row r="7065" spans="19:19" x14ac:dyDescent="0.25">
      <c r="S7065" s="24">
        <f t="shared" si="414"/>
        <v>0.02</v>
      </c>
    </row>
    <row r="7066" spans="19:19" x14ac:dyDescent="0.25">
      <c r="S7066" s="24">
        <f t="shared" si="414"/>
        <v>0.02</v>
      </c>
    </row>
    <row r="7067" spans="19:19" x14ac:dyDescent="0.25">
      <c r="S7067" s="24">
        <f t="shared" si="414"/>
        <v>0.02</v>
      </c>
    </row>
    <row r="7068" spans="19:19" x14ac:dyDescent="0.25">
      <c r="S7068" s="24">
        <f t="shared" si="414"/>
        <v>0.02</v>
      </c>
    </row>
    <row r="7069" spans="19:19" x14ac:dyDescent="0.25">
      <c r="S7069" s="24">
        <f t="shared" si="414"/>
        <v>0.02</v>
      </c>
    </row>
    <row r="7070" spans="19:19" x14ac:dyDescent="0.25">
      <c r="S7070" s="24">
        <f t="shared" si="414"/>
        <v>0.02</v>
      </c>
    </row>
    <row r="7071" spans="19:19" x14ac:dyDescent="0.25">
      <c r="S7071" s="24">
        <f t="shared" si="414"/>
        <v>0.02</v>
      </c>
    </row>
    <row r="7072" spans="19:19" x14ac:dyDescent="0.25">
      <c r="S7072" s="24">
        <f t="shared" si="414"/>
        <v>0.02</v>
      </c>
    </row>
    <row r="7073" spans="19:19" x14ac:dyDescent="0.25">
      <c r="S7073" s="24">
        <f t="shared" si="414"/>
        <v>0.02</v>
      </c>
    </row>
    <row r="7074" spans="19:19" x14ac:dyDescent="0.25">
      <c r="S7074" s="24">
        <f t="shared" si="414"/>
        <v>0.02</v>
      </c>
    </row>
    <row r="7075" spans="19:19" x14ac:dyDescent="0.25">
      <c r="S7075" s="24">
        <f t="shared" si="414"/>
        <v>0.02</v>
      </c>
    </row>
    <row r="7076" spans="19:19" x14ac:dyDescent="0.25">
      <c r="S7076" s="24">
        <f t="shared" si="414"/>
        <v>0.02</v>
      </c>
    </row>
    <row r="7077" spans="19:19" x14ac:dyDescent="0.25">
      <c r="S7077" s="24">
        <f t="shared" si="414"/>
        <v>0.02</v>
      </c>
    </row>
    <row r="7078" spans="19:19" x14ac:dyDescent="0.25">
      <c r="S7078" s="24">
        <f t="shared" si="414"/>
        <v>0.02</v>
      </c>
    </row>
    <row r="7079" spans="19:19" x14ac:dyDescent="0.25">
      <c r="S7079" s="24">
        <f t="shared" si="414"/>
        <v>0.02</v>
      </c>
    </row>
    <row r="7080" spans="19:19" x14ac:dyDescent="0.25">
      <c r="S7080" s="24">
        <f t="shared" si="414"/>
        <v>0.02</v>
      </c>
    </row>
    <row r="7081" spans="19:19" x14ac:dyDescent="0.25">
      <c r="S7081" s="24">
        <f t="shared" si="414"/>
        <v>0.02</v>
      </c>
    </row>
    <row r="7082" spans="19:19" x14ac:dyDescent="0.25">
      <c r="S7082" s="24">
        <f t="shared" si="414"/>
        <v>0.02</v>
      </c>
    </row>
    <row r="7083" spans="19:19" x14ac:dyDescent="0.25">
      <c r="S7083" s="24">
        <f t="shared" si="414"/>
        <v>0.02</v>
      </c>
    </row>
    <row r="7084" spans="19:19" x14ac:dyDescent="0.25">
      <c r="S7084" s="24">
        <f t="shared" si="414"/>
        <v>0.02</v>
      </c>
    </row>
    <row r="7085" spans="19:19" x14ac:dyDescent="0.25">
      <c r="S7085" s="24">
        <f t="shared" si="414"/>
        <v>0.02</v>
      </c>
    </row>
    <row r="7086" spans="19:19" x14ac:dyDescent="0.25">
      <c r="S7086" s="24">
        <f t="shared" si="414"/>
        <v>0.02</v>
      </c>
    </row>
    <row r="7087" spans="19:19" x14ac:dyDescent="0.25">
      <c r="S7087" s="24">
        <f t="shared" si="414"/>
        <v>0.02</v>
      </c>
    </row>
    <row r="7088" spans="19:19" x14ac:dyDescent="0.25">
      <c r="S7088" s="24">
        <f t="shared" si="414"/>
        <v>0.02</v>
      </c>
    </row>
    <row r="7089" spans="19:19" x14ac:dyDescent="0.25">
      <c r="S7089" s="24">
        <f t="shared" si="414"/>
        <v>0.02</v>
      </c>
    </row>
    <row r="7090" spans="19:19" x14ac:dyDescent="0.25">
      <c r="S7090" s="24">
        <f t="shared" si="414"/>
        <v>0.02</v>
      </c>
    </row>
    <row r="7091" spans="19:19" x14ac:dyDescent="0.25">
      <c r="S7091" s="24">
        <f t="shared" si="414"/>
        <v>0.02</v>
      </c>
    </row>
    <row r="7092" spans="19:19" x14ac:dyDescent="0.25">
      <c r="S7092" s="24">
        <f t="shared" si="414"/>
        <v>0.02</v>
      </c>
    </row>
    <row r="7093" spans="19:19" x14ac:dyDescent="0.25">
      <c r="S7093" s="24">
        <f t="shared" si="414"/>
        <v>0.02</v>
      </c>
    </row>
    <row r="7094" spans="19:19" x14ac:dyDescent="0.25">
      <c r="S7094" s="24">
        <f t="shared" si="414"/>
        <v>0.02</v>
      </c>
    </row>
    <row r="7095" spans="19:19" x14ac:dyDescent="0.25">
      <c r="S7095" s="24">
        <f t="shared" si="414"/>
        <v>0.02</v>
      </c>
    </row>
    <row r="7096" spans="19:19" x14ac:dyDescent="0.25">
      <c r="S7096" s="24">
        <f t="shared" si="414"/>
        <v>0.02</v>
      </c>
    </row>
    <row r="7097" spans="19:19" x14ac:dyDescent="0.25">
      <c r="S7097" s="24">
        <f t="shared" si="414"/>
        <v>0.02</v>
      </c>
    </row>
    <row r="7098" spans="19:19" x14ac:dyDescent="0.25">
      <c r="S7098" s="24">
        <f t="shared" si="414"/>
        <v>0.02</v>
      </c>
    </row>
    <row r="7099" spans="19:19" x14ac:dyDescent="0.25">
      <c r="S7099" s="24">
        <f t="shared" si="414"/>
        <v>0.02</v>
      </c>
    </row>
    <row r="7100" spans="19:19" x14ac:dyDescent="0.25">
      <c r="S7100" s="24">
        <f t="shared" si="414"/>
        <v>0.02</v>
      </c>
    </row>
    <row r="7101" spans="19:19" x14ac:dyDescent="0.25">
      <c r="S7101" s="24">
        <f t="shared" si="414"/>
        <v>0.02</v>
      </c>
    </row>
    <row r="7102" spans="19:19" x14ac:dyDescent="0.25">
      <c r="S7102" s="24">
        <f t="shared" si="414"/>
        <v>0.02</v>
      </c>
    </row>
    <row r="7103" spans="19:19" x14ac:dyDescent="0.25">
      <c r="S7103" s="24">
        <f t="shared" si="414"/>
        <v>0.02</v>
      </c>
    </row>
    <row r="7104" spans="19:19" x14ac:dyDescent="0.25">
      <c r="S7104" s="24">
        <f t="shared" si="414"/>
        <v>0.02</v>
      </c>
    </row>
    <row r="7105" spans="19:19" x14ac:dyDescent="0.25">
      <c r="S7105" s="24">
        <f t="shared" si="414"/>
        <v>0.02</v>
      </c>
    </row>
    <row r="7106" spans="19:19" x14ac:dyDescent="0.25">
      <c r="S7106" s="24">
        <f t="shared" si="414"/>
        <v>0.02</v>
      </c>
    </row>
    <row r="7107" spans="19:19" x14ac:dyDescent="0.25">
      <c r="S7107" s="24">
        <f t="shared" si="414"/>
        <v>0.02</v>
      </c>
    </row>
    <row r="7108" spans="19:19" x14ac:dyDescent="0.25">
      <c r="S7108" s="24">
        <f t="shared" si="414"/>
        <v>0.02</v>
      </c>
    </row>
    <row r="7109" spans="19:19" x14ac:dyDescent="0.25">
      <c r="S7109" s="24">
        <f t="shared" si="414"/>
        <v>0.02</v>
      </c>
    </row>
    <row r="7110" spans="19:19" x14ac:dyDescent="0.25">
      <c r="S7110" s="24">
        <f t="shared" si="414"/>
        <v>0.02</v>
      </c>
    </row>
    <row r="7111" spans="19:19" x14ac:dyDescent="0.25">
      <c r="S7111" s="24">
        <f t="shared" si="414"/>
        <v>0.02</v>
      </c>
    </row>
    <row r="7112" spans="19:19" x14ac:dyDescent="0.25">
      <c r="S7112" s="24">
        <f t="shared" si="414"/>
        <v>0.02</v>
      </c>
    </row>
    <row r="7113" spans="19:19" x14ac:dyDescent="0.25">
      <c r="S7113" s="24">
        <f t="shared" si="414"/>
        <v>0.02</v>
      </c>
    </row>
    <row r="7114" spans="19:19" x14ac:dyDescent="0.25">
      <c r="S7114" s="24">
        <f t="shared" si="414"/>
        <v>0.02</v>
      </c>
    </row>
    <row r="7115" spans="19:19" x14ac:dyDescent="0.25">
      <c r="S7115" s="24">
        <f t="shared" ref="S7115:S7178" si="415">VLOOKUP(N7115,$T$1:$U$7,2,TRUE)</f>
        <v>0.02</v>
      </c>
    </row>
    <row r="7116" spans="19:19" x14ac:dyDescent="0.25">
      <c r="S7116" s="24">
        <f t="shared" si="415"/>
        <v>0.02</v>
      </c>
    </row>
    <row r="7117" spans="19:19" x14ac:dyDescent="0.25">
      <c r="S7117" s="24">
        <f t="shared" si="415"/>
        <v>0.02</v>
      </c>
    </row>
    <row r="7118" spans="19:19" x14ac:dyDescent="0.25">
      <c r="S7118" s="24">
        <f t="shared" si="415"/>
        <v>0.02</v>
      </c>
    </row>
    <row r="7119" spans="19:19" x14ac:dyDescent="0.25">
      <c r="S7119" s="24">
        <f t="shared" si="415"/>
        <v>0.02</v>
      </c>
    </row>
    <row r="7120" spans="19:19" x14ac:dyDescent="0.25">
      <c r="S7120" s="24">
        <f t="shared" si="415"/>
        <v>0.02</v>
      </c>
    </row>
    <row r="7121" spans="19:19" x14ac:dyDescent="0.25">
      <c r="S7121" s="24">
        <f t="shared" si="415"/>
        <v>0.02</v>
      </c>
    </row>
    <row r="7122" spans="19:19" x14ac:dyDescent="0.25">
      <c r="S7122" s="24">
        <f t="shared" si="415"/>
        <v>0.02</v>
      </c>
    </row>
    <row r="7123" spans="19:19" x14ac:dyDescent="0.25">
      <c r="S7123" s="24">
        <f t="shared" si="415"/>
        <v>0.02</v>
      </c>
    </row>
    <row r="7124" spans="19:19" x14ac:dyDescent="0.25">
      <c r="S7124" s="24">
        <f t="shared" si="415"/>
        <v>0.02</v>
      </c>
    </row>
    <row r="7125" spans="19:19" x14ac:dyDescent="0.25">
      <c r="S7125" s="24">
        <f t="shared" si="415"/>
        <v>0.02</v>
      </c>
    </row>
    <row r="7126" spans="19:19" x14ac:dyDescent="0.25">
      <c r="S7126" s="24">
        <f t="shared" si="415"/>
        <v>0.02</v>
      </c>
    </row>
    <row r="7127" spans="19:19" x14ac:dyDescent="0.25">
      <c r="S7127" s="24">
        <f t="shared" si="415"/>
        <v>0.02</v>
      </c>
    </row>
    <row r="7128" spans="19:19" x14ac:dyDescent="0.25">
      <c r="S7128" s="24">
        <f t="shared" si="415"/>
        <v>0.02</v>
      </c>
    </row>
    <row r="7129" spans="19:19" x14ac:dyDescent="0.25">
      <c r="S7129" s="24">
        <f t="shared" si="415"/>
        <v>0.02</v>
      </c>
    </row>
    <row r="7130" spans="19:19" x14ac:dyDescent="0.25">
      <c r="S7130" s="24">
        <f t="shared" si="415"/>
        <v>0.02</v>
      </c>
    </row>
    <row r="7131" spans="19:19" x14ac:dyDescent="0.25">
      <c r="S7131" s="24">
        <f t="shared" si="415"/>
        <v>0.02</v>
      </c>
    </row>
    <row r="7132" spans="19:19" x14ac:dyDescent="0.25">
      <c r="S7132" s="24">
        <f t="shared" si="415"/>
        <v>0.02</v>
      </c>
    </row>
    <row r="7133" spans="19:19" x14ac:dyDescent="0.25">
      <c r="S7133" s="24">
        <f t="shared" si="415"/>
        <v>0.02</v>
      </c>
    </row>
    <row r="7134" spans="19:19" x14ac:dyDescent="0.25">
      <c r="S7134" s="24">
        <f t="shared" si="415"/>
        <v>0.02</v>
      </c>
    </row>
    <row r="7135" spans="19:19" x14ac:dyDescent="0.25">
      <c r="S7135" s="24">
        <f t="shared" si="415"/>
        <v>0.02</v>
      </c>
    </row>
    <row r="7136" spans="19:19" x14ac:dyDescent="0.25">
      <c r="S7136" s="24">
        <f t="shared" si="415"/>
        <v>0.02</v>
      </c>
    </row>
    <row r="7137" spans="19:19" x14ac:dyDescent="0.25">
      <c r="S7137" s="24">
        <f t="shared" si="415"/>
        <v>0.02</v>
      </c>
    </row>
    <row r="7138" spans="19:19" x14ac:dyDescent="0.25">
      <c r="S7138" s="24">
        <f t="shared" si="415"/>
        <v>0.02</v>
      </c>
    </row>
    <row r="7139" spans="19:19" x14ac:dyDescent="0.25">
      <c r="S7139" s="24">
        <f t="shared" si="415"/>
        <v>0.02</v>
      </c>
    </row>
    <row r="7140" spans="19:19" x14ac:dyDescent="0.25">
      <c r="S7140" s="24">
        <f t="shared" si="415"/>
        <v>0.02</v>
      </c>
    </row>
    <row r="7141" spans="19:19" x14ac:dyDescent="0.25">
      <c r="S7141" s="24">
        <f t="shared" si="415"/>
        <v>0.02</v>
      </c>
    </row>
    <row r="7142" spans="19:19" x14ac:dyDescent="0.25">
      <c r="S7142" s="24">
        <f t="shared" si="415"/>
        <v>0.02</v>
      </c>
    </row>
    <row r="7143" spans="19:19" x14ac:dyDescent="0.25">
      <c r="S7143" s="24">
        <f t="shared" si="415"/>
        <v>0.02</v>
      </c>
    </row>
    <row r="7144" spans="19:19" x14ac:dyDescent="0.25">
      <c r="S7144" s="24">
        <f t="shared" si="415"/>
        <v>0.02</v>
      </c>
    </row>
    <row r="7145" spans="19:19" x14ac:dyDescent="0.25">
      <c r="S7145" s="24">
        <f t="shared" si="415"/>
        <v>0.02</v>
      </c>
    </row>
    <row r="7146" spans="19:19" x14ac:dyDescent="0.25">
      <c r="S7146" s="24">
        <f t="shared" si="415"/>
        <v>0.02</v>
      </c>
    </row>
    <row r="7147" spans="19:19" x14ac:dyDescent="0.25">
      <c r="S7147" s="24">
        <f t="shared" si="415"/>
        <v>0.02</v>
      </c>
    </row>
    <row r="7148" spans="19:19" x14ac:dyDescent="0.25">
      <c r="S7148" s="24">
        <f t="shared" si="415"/>
        <v>0.02</v>
      </c>
    </row>
    <row r="7149" spans="19:19" x14ac:dyDescent="0.25">
      <c r="S7149" s="24">
        <f t="shared" si="415"/>
        <v>0.02</v>
      </c>
    </row>
    <row r="7150" spans="19:19" x14ac:dyDescent="0.25">
      <c r="S7150" s="24">
        <f t="shared" si="415"/>
        <v>0.02</v>
      </c>
    </row>
    <row r="7151" spans="19:19" x14ac:dyDescent="0.25">
      <c r="S7151" s="24">
        <f t="shared" si="415"/>
        <v>0.02</v>
      </c>
    </row>
    <row r="7152" spans="19:19" x14ac:dyDescent="0.25">
      <c r="S7152" s="24">
        <f t="shared" si="415"/>
        <v>0.02</v>
      </c>
    </row>
    <row r="7153" spans="19:19" x14ac:dyDescent="0.25">
      <c r="S7153" s="24">
        <f t="shared" si="415"/>
        <v>0.02</v>
      </c>
    </row>
    <row r="7154" spans="19:19" x14ac:dyDescent="0.25">
      <c r="S7154" s="24">
        <f t="shared" si="415"/>
        <v>0.02</v>
      </c>
    </row>
    <row r="7155" spans="19:19" x14ac:dyDescent="0.25">
      <c r="S7155" s="24">
        <f t="shared" si="415"/>
        <v>0.02</v>
      </c>
    </row>
    <row r="7156" spans="19:19" x14ac:dyDescent="0.25">
      <c r="S7156" s="24">
        <f t="shared" si="415"/>
        <v>0.02</v>
      </c>
    </row>
    <row r="7157" spans="19:19" x14ac:dyDescent="0.25">
      <c r="S7157" s="24">
        <f t="shared" si="415"/>
        <v>0.02</v>
      </c>
    </row>
    <row r="7158" spans="19:19" x14ac:dyDescent="0.25">
      <c r="S7158" s="24">
        <f t="shared" si="415"/>
        <v>0.02</v>
      </c>
    </row>
    <row r="7159" spans="19:19" x14ac:dyDescent="0.25">
      <c r="S7159" s="24">
        <f t="shared" si="415"/>
        <v>0.02</v>
      </c>
    </row>
    <row r="7160" spans="19:19" x14ac:dyDescent="0.25">
      <c r="S7160" s="24">
        <f t="shared" si="415"/>
        <v>0.02</v>
      </c>
    </row>
    <row r="7161" spans="19:19" x14ac:dyDescent="0.25">
      <c r="S7161" s="24">
        <f t="shared" si="415"/>
        <v>0.02</v>
      </c>
    </row>
    <row r="7162" spans="19:19" x14ac:dyDescent="0.25">
      <c r="S7162" s="24">
        <f t="shared" si="415"/>
        <v>0.02</v>
      </c>
    </row>
    <row r="7163" spans="19:19" x14ac:dyDescent="0.25">
      <c r="S7163" s="24">
        <f t="shared" si="415"/>
        <v>0.02</v>
      </c>
    </row>
    <row r="7164" spans="19:19" x14ac:dyDescent="0.25">
      <c r="S7164" s="24">
        <f t="shared" si="415"/>
        <v>0.02</v>
      </c>
    </row>
    <row r="7165" spans="19:19" x14ac:dyDescent="0.25">
      <c r="S7165" s="24">
        <f t="shared" si="415"/>
        <v>0.02</v>
      </c>
    </row>
    <row r="7166" spans="19:19" x14ac:dyDescent="0.25">
      <c r="S7166" s="24">
        <f t="shared" si="415"/>
        <v>0.02</v>
      </c>
    </row>
    <row r="7167" spans="19:19" x14ac:dyDescent="0.25">
      <c r="S7167" s="24">
        <f t="shared" si="415"/>
        <v>0.02</v>
      </c>
    </row>
    <row r="7168" spans="19:19" x14ac:dyDescent="0.25">
      <c r="S7168" s="24">
        <f t="shared" si="415"/>
        <v>0.02</v>
      </c>
    </row>
    <row r="7169" spans="19:19" x14ac:dyDescent="0.25">
      <c r="S7169" s="24">
        <f t="shared" si="415"/>
        <v>0.02</v>
      </c>
    </row>
    <row r="7170" spans="19:19" x14ac:dyDescent="0.25">
      <c r="S7170" s="24">
        <f t="shared" si="415"/>
        <v>0.02</v>
      </c>
    </row>
    <row r="7171" spans="19:19" x14ac:dyDescent="0.25">
      <c r="S7171" s="24">
        <f t="shared" si="415"/>
        <v>0.02</v>
      </c>
    </row>
    <row r="7172" spans="19:19" x14ac:dyDescent="0.25">
      <c r="S7172" s="24">
        <f t="shared" si="415"/>
        <v>0.02</v>
      </c>
    </row>
    <row r="7173" spans="19:19" x14ac:dyDescent="0.25">
      <c r="S7173" s="24">
        <f t="shared" si="415"/>
        <v>0.02</v>
      </c>
    </row>
    <row r="7174" spans="19:19" x14ac:dyDescent="0.25">
      <c r="S7174" s="24">
        <f t="shared" si="415"/>
        <v>0.02</v>
      </c>
    </row>
    <row r="7175" spans="19:19" x14ac:dyDescent="0.25">
      <c r="S7175" s="24">
        <f t="shared" si="415"/>
        <v>0.02</v>
      </c>
    </row>
    <row r="7176" spans="19:19" x14ac:dyDescent="0.25">
      <c r="S7176" s="24">
        <f t="shared" si="415"/>
        <v>0.02</v>
      </c>
    </row>
    <row r="7177" spans="19:19" x14ac:dyDescent="0.25">
      <c r="S7177" s="24">
        <f t="shared" si="415"/>
        <v>0.02</v>
      </c>
    </row>
    <row r="7178" spans="19:19" x14ac:dyDescent="0.25">
      <c r="S7178" s="24">
        <f t="shared" si="415"/>
        <v>0.02</v>
      </c>
    </row>
    <row r="7179" spans="19:19" x14ac:dyDescent="0.25">
      <c r="S7179" s="24">
        <f t="shared" ref="S7179:S7242" si="416">VLOOKUP(N7179,$T$1:$U$7,2,TRUE)</f>
        <v>0.02</v>
      </c>
    </row>
    <row r="7180" spans="19:19" x14ac:dyDescent="0.25">
      <c r="S7180" s="24">
        <f t="shared" si="416"/>
        <v>0.02</v>
      </c>
    </row>
    <row r="7181" spans="19:19" x14ac:dyDescent="0.25">
      <c r="S7181" s="24">
        <f t="shared" si="416"/>
        <v>0.02</v>
      </c>
    </row>
    <row r="7182" spans="19:19" x14ac:dyDescent="0.25">
      <c r="S7182" s="24">
        <f t="shared" si="416"/>
        <v>0.02</v>
      </c>
    </row>
    <row r="7183" spans="19:19" x14ac:dyDescent="0.25">
      <c r="S7183" s="24">
        <f t="shared" si="416"/>
        <v>0.02</v>
      </c>
    </row>
    <row r="7184" spans="19:19" x14ac:dyDescent="0.25">
      <c r="S7184" s="24">
        <f t="shared" si="416"/>
        <v>0.02</v>
      </c>
    </row>
    <row r="7185" spans="19:19" x14ac:dyDescent="0.25">
      <c r="S7185" s="24">
        <f t="shared" si="416"/>
        <v>0.02</v>
      </c>
    </row>
    <row r="7186" spans="19:19" x14ac:dyDescent="0.25">
      <c r="S7186" s="24">
        <f t="shared" si="416"/>
        <v>0.02</v>
      </c>
    </row>
    <row r="7187" spans="19:19" x14ac:dyDescent="0.25">
      <c r="S7187" s="24">
        <f t="shared" si="416"/>
        <v>0.02</v>
      </c>
    </row>
    <row r="7188" spans="19:19" x14ac:dyDescent="0.25">
      <c r="S7188" s="24">
        <f t="shared" si="416"/>
        <v>0.02</v>
      </c>
    </row>
    <row r="7189" spans="19:19" x14ac:dyDescent="0.25">
      <c r="S7189" s="24">
        <f t="shared" si="416"/>
        <v>0.02</v>
      </c>
    </row>
    <row r="7190" spans="19:19" x14ac:dyDescent="0.25">
      <c r="S7190" s="24">
        <f t="shared" si="416"/>
        <v>0.02</v>
      </c>
    </row>
    <row r="7191" spans="19:19" x14ac:dyDescent="0.25">
      <c r="S7191" s="24">
        <f t="shared" si="416"/>
        <v>0.02</v>
      </c>
    </row>
    <row r="7192" spans="19:19" x14ac:dyDescent="0.25">
      <c r="S7192" s="24">
        <f t="shared" si="416"/>
        <v>0.02</v>
      </c>
    </row>
    <row r="7193" spans="19:19" x14ac:dyDescent="0.25">
      <c r="S7193" s="24">
        <f t="shared" si="416"/>
        <v>0.02</v>
      </c>
    </row>
    <row r="7194" spans="19:19" x14ac:dyDescent="0.25">
      <c r="S7194" s="24">
        <f t="shared" si="416"/>
        <v>0.02</v>
      </c>
    </row>
    <row r="7195" spans="19:19" x14ac:dyDescent="0.25">
      <c r="S7195" s="24">
        <f t="shared" si="416"/>
        <v>0.02</v>
      </c>
    </row>
    <row r="7196" spans="19:19" x14ac:dyDescent="0.25">
      <c r="S7196" s="24">
        <f t="shared" si="416"/>
        <v>0.02</v>
      </c>
    </row>
    <row r="7197" spans="19:19" x14ac:dyDescent="0.25">
      <c r="S7197" s="24">
        <f t="shared" si="416"/>
        <v>0.02</v>
      </c>
    </row>
    <row r="7198" spans="19:19" x14ac:dyDescent="0.25">
      <c r="S7198" s="24">
        <f t="shared" si="416"/>
        <v>0.02</v>
      </c>
    </row>
    <row r="7199" spans="19:19" x14ac:dyDescent="0.25">
      <c r="S7199" s="24">
        <f t="shared" si="416"/>
        <v>0.02</v>
      </c>
    </row>
    <row r="7200" spans="19:19" x14ac:dyDescent="0.25">
      <c r="S7200" s="24">
        <f t="shared" si="416"/>
        <v>0.02</v>
      </c>
    </row>
    <row r="7201" spans="19:19" x14ac:dyDescent="0.25">
      <c r="S7201" s="24">
        <f t="shared" si="416"/>
        <v>0.02</v>
      </c>
    </row>
    <row r="7202" spans="19:19" x14ac:dyDescent="0.25">
      <c r="S7202" s="24">
        <f t="shared" si="416"/>
        <v>0.02</v>
      </c>
    </row>
    <row r="7203" spans="19:19" x14ac:dyDescent="0.25">
      <c r="S7203" s="24">
        <f t="shared" si="416"/>
        <v>0.02</v>
      </c>
    </row>
    <row r="7204" spans="19:19" x14ac:dyDescent="0.25">
      <c r="S7204" s="24">
        <f t="shared" si="416"/>
        <v>0.02</v>
      </c>
    </row>
    <row r="7205" spans="19:19" x14ac:dyDescent="0.25">
      <c r="S7205" s="24">
        <f t="shared" si="416"/>
        <v>0.02</v>
      </c>
    </row>
    <row r="7206" spans="19:19" x14ac:dyDescent="0.25">
      <c r="S7206" s="24">
        <f t="shared" si="416"/>
        <v>0.02</v>
      </c>
    </row>
    <row r="7207" spans="19:19" x14ac:dyDescent="0.25">
      <c r="S7207" s="24">
        <f t="shared" si="416"/>
        <v>0.02</v>
      </c>
    </row>
    <row r="7208" spans="19:19" x14ac:dyDescent="0.25">
      <c r="S7208" s="24">
        <f t="shared" si="416"/>
        <v>0.02</v>
      </c>
    </row>
    <row r="7209" spans="19:19" x14ac:dyDescent="0.25">
      <c r="S7209" s="24">
        <f t="shared" si="416"/>
        <v>0.02</v>
      </c>
    </row>
    <row r="7210" spans="19:19" x14ac:dyDescent="0.25">
      <c r="S7210" s="24">
        <f t="shared" si="416"/>
        <v>0.02</v>
      </c>
    </row>
    <row r="7211" spans="19:19" x14ac:dyDescent="0.25">
      <c r="S7211" s="24">
        <f t="shared" si="416"/>
        <v>0.02</v>
      </c>
    </row>
    <row r="7212" spans="19:19" x14ac:dyDescent="0.25">
      <c r="S7212" s="24">
        <f t="shared" si="416"/>
        <v>0.02</v>
      </c>
    </row>
    <row r="7213" spans="19:19" x14ac:dyDescent="0.25">
      <c r="S7213" s="24">
        <f t="shared" si="416"/>
        <v>0.02</v>
      </c>
    </row>
    <row r="7214" spans="19:19" x14ac:dyDescent="0.25">
      <c r="S7214" s="24">
        <f t="shared" si="416"/>
        <v>0.02</v>
      </c>
    </row>
    <row r="7215" spans="19:19" x14ac:dyDescent="0.25">
      <c r="S7215" s="24">
        <f t="shared" si="416"/>
        <v>0.02</v>
      </c>
    </row>
    <row r="7216" spans="19:19" x14ac:dyDescent="0.25">
      <c r="S7216" s="24">
        <f t="shared" si="416"/>
        <v>0.02</v>
      </c>
    </row>
    <row r="7217" spans="19:19" x14ac:dyDescent="0.25">
      <c r="S7217" s="24">
        <f t="shared" si="416"/>
        <v>0.02</v>
      </c>
    </row>
    <row r="7218" spans="19:19" x14ac:dyDescent="0.25">
      <c r="S7218" s="24">
        <f t="shared" si="416"/>
        <v>0.02</v>
      </c>
    </row>
    <row r="7219" spans="19:19" x14ac:dyDescent="0.25">
      <c r="S7219" s="24">
        <f t="shared" si="416"/>
        <v>0.02</v>
      </c>
    </row>
    <row r="7220" spans="19:19" x14ac:dyDescent="0.25">
      <c r="S7220" s="24">
        <f t="shared" si="416"/>
        <v>0.02</v>
      </c>
    </row>
    <row r="7221" spans="19:19" x14ac:dyDescent="0.25">
      <c r="S7221" s="24">
        <f t="shared" si="416"/>
        <v>0.02</v>
      </c>
    </row>
    <row r="7222" spans="19:19" x14ac:dyDescent="0.25">
      <c r="S7222" s="24">
        <f t="shared" si="416"/>
        <v>0.02</v>
      </c>
    </row>
    <row r="7223" spans="19:19" x14ac:dyDescent="0.25">
      <c r="S7223" s="24">
        <f t="shared" si="416"/>
        <v>0.02</v>
      </c>
    </row>
    <row r="7224" spans="19:19" x14ac:dyDescent="0.25">
      <c r="S7224" s="24">
        <f t="shared" si="416"/>
        <v>0.02</v>
      </c>
    </row>
    <row r="7225" spans="19:19" x14ac:dyDescent="0.25">
      <c r="S7225" s="24">
        <f t="shared" si="416"/>
        <v>0.02</v>
      </c>
    </row>
    <row r="7226" spans="19:19" x14ac:dyDescent="0.25">
      <c r="S7226" s="24">
        <f t="shared" si="416"/>
        <v>0.02</v>
      </c>
    </row>
    <row r="7227" spans="19:19" x14ac:dyDescent="0.25">
      <c r="S7227" s="24">
        <f t="shared" si="416"/>
        <v>0.02</v>
      </c>
    </row>
    <row r="7228" spans="19:19" x14ac:dyDescent="0.25">
      <c r="S7228" s="24">
        <f t="shared" si="416"/>
        <v>0.02</v>
      </c>
    </row>
    <row r="7229" spans="19:19" x14ac:dyDescent="0.25">
      <c r="S7229" s="24">
        <f t="shared" si="416"/>
        <v>0.02</v>
      </c>
    </row>
    <row r="7230" spans="19:19" x14ac:dyDescent="0.25">
      <c r="S7230" s="24">
        <f t="shared" si="416"/>
        <v>0.02</v>
      </c>
    </row>
    <row r="7231" spans="19:19" x14ac:dyDescent="0.25">
      <c r="S7231" s="24">
        <f t="shared" si="416"/>
        <v>0.02</v>
      </c>
    </row>
    <row r="7232" spans="19:19" x14ac:dyDescent="0.25">
      <c r="S7232" s="24">
        <f t="shared" si="416"/>
        <v>0.02</v>
      </c>
    </row>
    <row r="7233" spans="19:19" x14ac:dyDescent="0.25">
      <c r="S7233" s="24">
        <f t="shared" si="416"/>
        <v>0.02</v>
      </c>
    </row>
    <row r="7234" spans="19:19" x14ac:dyDescent="0.25">
      <c r="S7234" s="24">
        <f t="shared" si="416"/>
        <v>0.02</v>
      </c>
    </row>
    <row r="7235" spans="19:19" x14ac:dyDescent="0.25">
      <c r="S7235" s="24">
        <f t="shared" si="416"/>
        <v>0.02</v>
      </c>
    </row>
    <row r="7236" spans="19:19" x14ac:dyDescent="0.25">
      <c r="S7236" s="24">
        <f t="shared" si="416"/>
        <v>0.02</v>
      </c>
    </row>
    <row r="7237" spans="19:19" x14ac:dyDescent="0.25">
      <c r="S7237" s="24">
        <f t="shared" si="416"/>
        <v>0.02</v>
      </c>
    </row>
    <row r="7238" spans="19:19" x14ac:dyDescent="0.25">
      <c r="S7238" s="24">
        <f t="shared" si="416"/>
        <v>0.02</v>
      </c>
    </row>
    <row r="7239" spans="19:19" x14ac:dyDescent="0.25">
      <c r="S7239" s="24">
        <f t="shared" si="416"/>
        <v>0.02</v>
      </c>
    </row>
    <row r="7240" spans="19:19" x14ac:dyDescent="0.25">
      <c r="S7240" s="24">
        <f t="shared" si="416"/>
        <v>0.02</v>
      </c>
    </row>
    <row r="7241" spans="19:19" x14ac:dyDescent="0.25">
      <c r="S7241" s="24">
        <f t="shared" si="416"/>
        <v>0.02</v>
      </c>
    </row>
    <row r="7242" spans="19:19" x14ac:dyDescent="0.25">
      <c r="S7242" s="24">
        <f t="shared" si="416"/>
        <v>0.02</v>
      </c>
    </row>
    <row r="7243" spans="19:19" x14ac:dyDescent="0.25">
      <c r="S7243" s="24">
        <f t="shared" ref="S7243:S7306" si="417">VLOOKUP(N7243,$T$1:$U$7,2,TRUE)</f>
        <v>0.02</v>
      </c>
    </row>
    <row r="7244" spans="19:19" x14ac:dyDescent="0.25">
      <c r="S7244" s="24">
        <f t="shared" si="417"/>
        <v>0.02</v>
      </c>
    </row>
    <row r="7245" spans="19:19" x14ac:dyDescent="0.25">
      <c r="S7245" s="24">
        <f t="shared" si="417"/>
        <v>0.02</v>
      </c>
    </row>
    <row r="7246" spans="19:19" x14ac:dyDescent="0.25">
      <c r="S7246" s="24">
        <f t="shared" si="417"/>
        <v>0.02</v>
      </c>
    </row>
    <row r="7247" spans="19:19" x14ac:dyDescent="0.25">
      <c r="S7247" s="24">
        <f t="shared" si="417"/>
        <v>0.02</v>
      </c>
    </row>
    <row r="7248" spans="19:19" x14ac:dyDescent="0.25">
      <c r="S7248" s="24">
        <f t="shared" si="417"/>
        <v>0.02</v>
      </c>
    </row>
    <row r="7249" spans="19:19" x14ac:dyDescent="0.25">
      <c r="S7249" s="24">
        <f t="shared" si="417"/>
        <v>0.02</v>
      </c>
    </row>
    <row r="7250" spans="19:19" x14ac:dyDescent="0.25">
      <c r="S7250" s="24">
        <f t="shared" si="417"/>
        <v>0.02</v>
      </c>
    </row>
    <row r="7251" spans="19:19" x14ac:dyDescent="0.25">
      <c r="S7251" s="24">
        <f t="shared" si="417"/>
        <v>0.02</v>
      </c>
    </row>
    <row r="7252" spans="19:19" x14ac:dyDescent="0.25">
      <c r="S7252" s="24">
        <f t="shared" si="417"/>
        <v>0.02</v>
      </c>
    </row>
    <row r="7253" spans="19:19" x14ac:dyDescent="0.25">
      <c r="S7253" s="24">
        <f t="shared" si="417"/>
        <v>0.02</v>
      </c>
    </row>
    <row r="7254" spans="19:19" x14ac:dyDescent="0.25">
      <c r="S7254" s="24">
        <f t="shared" si="417"/>
        <v>0.02</v>
      </c>
    </row>
    <row r="7255" spans="19:19" x14ac:dyDescent="0.25">
      <c r="S7255" s="24">
        <f t="shared" si="417"/>
        <v>0.02</v>
      </c>
    </row>
    <row r="7256" spans="19:19" x14ac:dyDescent="0.25">
      <c r="S7256" s="24">
        <f t="shared" si="417"/>
        <v>0.02</v>
      </c>
    </row>
    <row r="7257" spans="19:19" x14ac:dyDescent="0.25">
      <c r="S7257" s="24">
        <f t="shared" si="417"/>
        <v>0.02</v>
      </c>
    </row>
    <row r="7258" spans="19:19" x14ac:dyDescent="0.25">
      <c r="S7258" s="24">
        <f t="shared" si="417"/>
        <v>0.02</v>
      </c>
    </row>
    <row r="7259" spans="19:19" x14ac:dyDescent="0.25">
      <c r="S7259" s="24">
        <f t="shared" si="417"/>
        <v>0.02</v>
      </c>
    </row>
    <row r="7260" spans="19:19" x14ac:dyDescent="0.25">
      <c r="S7260" s="24">
        <f t="shared" si="417"/>
        <v>0.02</v>
      </c>
    </row>
    <row r="7261" spans="19:19" x14ac:dyDescent="0.25">
      <c r="S7261" s="24">
        <f t="shared" si="417"/>
        <v>0.02</v>
      </c>
    </row>
    <row r="7262" spans="19:19" x14ac:dyDescent="0.25">
      <c r="S7262" s="24">
        <f t="shared" si="417"/>
        <v>0.02</v>
      </c>
    </row>
    <row r="7263" spans="19:19" x14ac:dyDescent="0.25">
      <c r="S7263" s="24">
        <f t="shared" si="417"/>
        <v>0.02</v>
      </c>
    </row>
    <row r="7264" spans="19:19" x14ac:dyDescent="0.25">
      <c r="S7264" s="24">
        <f t="shared" si="417"/>
        <v>0.02</v>
      </c>
    </row>
    <row r="7265" spans="19:19" x14ac:dyDescent="0.25">
      <c r="S7265" s="24">
        <f t="shared" si="417"/>
        <v>0.02</v>
      </c>
    </row>
    <row r="7266" spans="19:19" x14ac:dyDescent="0.25">
      <c r="S7266" s="24">
        <f t="shared" si="417"/>
        <v>0.02</v>
      </c>
    </row>
    <row r="7267" spans="19:19" x14ac:dyDescent="0.25">
      <c r="S7267" s="24">
        <f t="shared" si="417"/>
        <v>0.02</v>
      </c>
    </row>
    <row r="7268" spans="19:19" x14ac:dyDescent="0.25">
      <c r="S7268" s="24">
        <f t="shared" si="417"/>
        <v>0.02</v>
      </c>
    </row>
    <row r="7269" spans="19:19" x14ac:dyDescent="0.25">
      <c r="S7269" s="24">
        <f t="shared" si="417"/>
        <v>0.02</v>
      </c>
    </row>
    <row r="7270" spans="19:19" x14ac:dyDescent="0.25">
      <c r="S7270" s="24">
        <f t="shared" si="417"/>
        <v>0.02</v>
      </c>
    </row>
    <row r="7271" spans="19:19" x14ac:dyDescent="0.25">
      <c r="S7271" s="24">
        <f t="shared" si="417"/>
        <v>0.02</v>
      </c>
    </row>
    <row r="7272" spans="19:19" x14ac:dyDescent="0.25">
      <c r="S7272" s="24">
        <f t="shared" si="417"/>
        <v>0.02</v>
      </c>
    </row>
    <row r="7273" spans="19:19" x14ac:dyDescent="0.25">
      <c r="S7273" s="24">
        <f t="shared" si="417"/>
        <v>0.02</v>
      </c>
    </row>
    <row r="7274" spans="19:19" x14ac:dyDescent="0.25">
      <c r="S7274" s="24">
        <f t="shared" si="417"/>
        <v>0.02</v>
      </c>
    </row>
    <row r="7275" spans="19:19" x14ac:dyDescent="0.25">
      <c r="S7275" s="24">
        <f t="shared" si="417"/>
        <v>0.02</v>
      </c>
    </row>
    <row r="7276" spans="19:19" x14ac:dyDescent="0.25">
      <c r="S7276" s="24">
        <f t="shared" si="417"/>
        <v>0.02</v>
      </c>
    </row>
    <row r="7277" spans="19:19" x14ac:dyDescent="0.25">
      <c r="S7277" s="24">
        <f t="shared" si="417"/>
        <v>0.02</v>
      </c>
    </row>
    <row r="7278" spans="19:19" x14ac:dyDescent="0.25">
      <c r="S7278" s="24">
        <f t="shared" si="417"/>
        <v>0.02</v>
      </c>
    </row>
    <row r="7279" spans="19:19" x14ac:dyDescent="0.25">
      <c r="S7279" s="24">
        <f t="shared" si="417"/>
        <v>0.02</v>
      </c>
    </row>
    <row r="7280" spans="19:19" x14ac:dyDescent="0.25">
      <c r="S7280" s="24">
        <f t="shared" si="417"/>
        <v>0.02</v>
      </c>
    </row>
    <row r="7281" spans="19:19" x14ac:dyDescent="0.25">
      <c r="S7281" s="24">
        <f t="shared" si="417"/>
        <v>0.02</v>
      </c>
    </row>
    <row r="7282" spans="19:19" x14ac:dyDescent="0.25">
      <c r="S7282" s="24">
        <f t="shared" si="417"/>
        <v>0.02</v>
      </c>
    </row>
    <row r="7283" spans="19:19" x14ac:dyDescent="0.25">
      <c r="S7283" s="24">
        <f t="shared" si="417"/>
        <v>0.02</v>
      </c>
    </row>
    <row r="7284" spans="19:19" x14ac:dyDescent="0.25">
      <c r="S7284" s="24">
        <f t="shared" si="417"/>
        <v>0.02</v>
      </c>
    </row>
    <row r="7285" spans="19:19" x14ac:dyDescent="0.25">
      <c r="S7285" s="24">
        <f t="shared" si="417"/>
        <v>0.02</v>
      </c>
    </row>
    <row r="7286" spans="19:19" x14ac:dyDescent="0.25">
      <c r="S7286" s="24">
        <f t="shared" si="417"/>
        <v>0.02</v>
      </c>
    </row>
    <row r="7287" spans="19:19" x14ac:dyDescent="0.25">
      <c r="S7287" s="24">
        <f t="shared" si="417"/>
        <v>0.02</v>
      </c>
    </row>
    <row r="7288" spans="19:19" x14ac:dyDescent="0.25">
      <c r="S7288" s="24">
        <f t="shared" si="417"/>
        <v>0.02</v>
      </c>
    </row>
    <row r="7289" spans="19:19" x14ac:dyDescent="0.25">
      <c r="S7289" s="24">
        <f t="shared" si="417"/>
        <v>0.02</v>
      </c>
    </row>
    <row r="7290" spans="19:19" x14ac:dyDescent="0.25">
      <c r="S7290" s="24">
        <f t="shared" si="417"/>
        <v>0.02</v>
      </c>
    </row>
    <row r="7291" spans="19:19" x14ac:dyDescent="0.25">
      <c r="S7291" s="24">
        <f t="shared" si="417"/>
        <v>0.02</v>
      </c>
    </row>
    <row r="7292" spans="19:19" x14ac:dyDescent="0.25">
      <c r="S7292" s="24">
        <f t="shared" si="417"/>
        <v>0.02</v>
      </c>
    </row>
    <row r="7293" spans="19:19" x14ac:dyDescent="0.25">
      <c r="S7293" s="24">
        <f t="shared" si="417"/>
        <v>0.02</v>
      </c>
    </row>
    <row r="7294" spans="19:19" x14ac:dyDescent="0.25">
      <c r="S7294" s="24">
        <f t="shared" si="417"/>
        <v>0.02</v>
      </c>
    </row>
    <row r="7295" spans="19:19" x14ac:dyDescent="0.25">
      <c r="S7295" s="24">
        <f t="shared" si="417"/>
        <v>0.02</v>
      </c>
    </row>
    <row r="7296" spans="19:19" x14ac:dyDescent="0.25">
      <c r="S7296" s="24">
        <f t="shared" si="417"/>
        <v>0.02</v>
      </c>
    </row>
    <row r="7297" spans="19:19" x14ac:dyDescent="0.25">
      <c r="S7297" s="24">
        <f t="shared" si="417"/>
        <v>0.02</v>
      </c>
    </row>
    <row r="7298" spans="19:19" x14ac:dyDescent="0.25">
      <c r="S7298" s="24">
        <f t="shared" si="417"/>
        <v>0.02</v>
      </c>
    </row>
    <row r="7299" spans="19:19" x14ac:dyDescent="0.25">
      <c r="S7299" s="24">
        <f t="shared" si="417"/>
        <v>0.02</v>
      </c>
    </row>
    <row r="7300" spans="19:19" x14ac:dyDescent="0.25">
      <c r="S7300" s="24">
        <f t="shared" si="417"/>
        <v>0.02</v>
      </c>
    </row>
    <row r="7301" spans="19:19" x14ac:dyDescent="0.25">
      <c r="S7301" s="24">
        <f t="shared" si="417"/>
        <v>0.02</v>
      </c>
    </row>
    <row r="7302" spans="19:19" x14ac:dyDescent="0.25">
      <c r="S7302" s="24">
        <f t="shared" si="417"/>
        <v>0.02</v>
      </c>
    </row>
    <row r="7303" spans="19:19" x14ac:dyDescent="0.25">
      <c r="S7303" s="24">
        <f t="shared" si="417"/>
        <v>0.02</v>
      </c>
    </row>
    <row r="7304" spans="19:19" x14ac:dyDescent="0.25">
      <c r="S7304" s="24">
        <f t="shared" si="417"/>
        <v>0.02</v>
      </c>
    </row>
    <row r="7305" spans="19:19" x14ac:dyDescent="0.25">
      <c r="S7305" s="24">
        <f t="shared" si="417"/>
        <v>0.02</v>
      </c>
    </row>
    <row r="7306" spans="19:19" x14ac:dyDescent="0.25">
      <c r="S7306" s="24">
        <f t="shared" si="417"/>
        <v>0.02</v>
      </c>
    </row>
    <row r="7307" spans="19:19" x14ac:dyDescent="0.25">
      <c r="S7307" s="24">
        <f t="shared" ref="S7307:S7370" si="418">VLOOKUP(N7307,$T$1:$U$7,2,TRUE)</f>
        <v>0.02</v>
      </c>
    </row>
    <row r="7308" spans="19:19" x14ac:dyDescent="0.25">
      <c r="S7308" s="24">
        <f t="shared" si="418"/>
        <v>0.02</v>
      </c>
    </row>
    <row r="7309" spans="19:19" x14ac:dyDescent="0.25">
      <c r="S7309" s="24">
        <f t="shared" si="418"/>
        <v>0.02</v>
      </c>
    </row>
    <row r="7310" spans="19:19" x14ac:dyDescent="0.25">
      <c r="S7310" s="24">
        <f t="shared" si="418"/>
        <v>0.02</v>
      </c>
    </row>
    <row r="7311" spans="19:19" x14ac:dyDescent="0.25">
      <c r="S7311" s="24">
        <f t="shared" si="418"/>
        <v>0.02</v>
      </c>
    </row>
    <row r="7312" spans="19:19" x14ac:dyDescent="0.25">
      <c r="S7312" s="24">
        <f t="shared" si="418"/>
        <v>0.02</v>
      </c>
    </row>
    <row r="7313" spans="19:19" x14ac:dyDescent="0.25">
      <c r="S7313" s="24">
        <f t="shared" si="418"/>
        <v>0.02</v>
      </c>
    </row>
    <row r="7314" spans="19:19" x14ac:dyDescent="0.25">
      <c r="S7314" s="24">
        <f t="shared" si="418"/>
        <v>0.02</v>
      </c>
    </row>
    <row r="7315" spans="19:19" x14ac:dyDescent="0.25">
      <c r="S7315" s="24">
        <f t="shared" si="418"/>
        <v>0.02</v>
      </c>
    </row>
    <row r="7316" spans="19:19" x14ac:dyDescent="0.25">
      <c r="S7316" s="24">
        <f t="shared" si="418"/>
        <v>0.02</v>
      </c>
    </row>
    <row r="7317" spans="19:19" x14ac:dyDescent="0.25">
      <c r="S7317" s="24">
        <f t="shared" si="418"/>
        <v>0.02</v>
      </c>
    </row>
    <row r="7318" spans="19:19" x14ac:dyDescent="0.25">
      <c r="S7318" s="24">
        <f t="shared" si="418"/>
        <v>0.02</v>
      </c>
    </row>
    <row r="7319" spans="19:19" x14ac:dyDescent="0.25">
      <c r="S7319" s="24">
        <f t="shared" si="418"/>
        <v>0.02</v>
      </c>
    </row>
    <row r="7320" spans="19:19" x14ac:dyDescent="0.25">
      <c r="S7320" s="24">
        <f t="shared" si="418"/>
        <v>0.02</v>
      </c>
    </row>
    <row r="7321" spans="19:19" x14ac:dyDescent="0.25">
      <c r="S7321" s="24">
        <f t="shared" si="418"/>
        <v>0.02</v>
      </c>
    </row>
    <row r="7322" spans="19:19" x14ac:dyDescent="0.25">
      <c r="S7322" s="24">
        <f t="shared" si="418"/>
        <v>0.02</v>
      </c>
    </row>
    <row r="7323" spans="19:19" x14ac:dyDescent="0.25">
      <c r="S7323" s="24">
        <f t="shared" si="418"/>
        <v>0.02</v>
      </c>
    </row>
    <row r="7324" spans="19:19" x14ac:dyDescent="0.25">
      <c r="S7324" s="24">
        <f t="shared" si="418"/>
        <v>0.02</v>
      </c>
    </row>
    <row r="7325" spans="19:19" x14ac:dyDescent="0.25">
      <c r="S7325" s="24">
        <f t="shared" si="418"/>
        <v>0.02</v>
      </c>
    </row>
    <row r="7326" spans="19:19" x14ac:dyDescent="0.25">
      <c r="S7326" s="24">
        <f t="shared" si="418"/>
        <v>0.02</v>
      </c>
    </row>
    <row r="7327" spans="19:19" x14ac:dyDescent="0.25">
      <c r="S7327" s="24">
        <f t="shared" si="418"/>
        <v>0.02</v>
      </c>
    </row>
    <row r="7328" spans="19:19" x14ac:dyDescent="0.25">
      <c r="S7328" s="24">
        <f t="shared" si="418"/>
        <v>0.02</v>
      </c>
    </row>
    <row r="7329" spans="19:19" x14ac:dyDescent="0.25">
      <c r="S7329" s="24">
        <f t="shared" si="418"/>
        <v>0.02</v>
      </c>
    </row>
    <row r="7330" spans="19:19" x14ac:dyDescent="0.25">
      <c r="S7330" s="24">
        <f t="shared" si="418"/>
        <v>0.02</v>
      </c>
    </row>
    <row r="7331" spans="19:19" x14ac:dyDescent="0.25">
      <c r="S7331" s="24">
        <f t="shared" si="418"/>
        <v>0.02</v>
      </c>
    </row>
    <row r="7332" spans="19:19" x14ac:dyDescent="0.25">
      <c r="S7332" s="24">
        <f t="shared" si="418"/>
        <v>0.02</v>
      </c>
    </row>
    <row r="7333" spans="19:19" x14ac:dyDescent="0.25">
      <c r="S7333" s="24">
        <f t="shared" si="418"/>
        <v>0.02</v>
      </c>
    </row>
    <row r="7334" spans="19:19" x14ac:dyDescent="0.25">
      <c r="S7334" s="24">
        <f t="shared" si="418"/>
        <v>0.02</v>
      </c>
    </row>
    <row r="7335" spans="19:19" x14ac:dyDescent="0.25">
      <c r="S7335" s="24">
        <f t="shared" si="418"/>
        <v>0.02</v>
      </c>
    </row>
    <row r="7336" spans="19:19" x14ac:dyDescent="0.25">
      <c r="S7336" s="24">
        <f t="shared" si="418"/>
        <v>0.02</v>
      </c>
    </row>
    <row r="7337" spans="19:19" x14ac:dyDescent="0.25">
      <c r="S7337" s="24">
        <f t="shared" si="418"/>
        <v>0.02</v>
      </c>
    </row>
    <row r="7338" spans="19:19" x14ac:dyDescent="0.25">
      <c r="S7338" s="24">
        <f t="shared" si="418"/>
        <v>0.02</v>
      </c>
    </row>
    <row r="7339" spans="19:19" x14ac:dyDescent="0.25">
      <c r="S7339" s="24">
        <f t="shared" si="418"/>
        <v>0.02</v>
      </c>
    </row>
    <row r="7340" spans="19:19" x14ac:dyDescent="0.25">
      <c r="S7340" s="24">
        <f t="shared" si="418"/>
        <v>0.02</v>
      </c>
    </row>
    <row r="7341" spans="19:19" x14ac:dyDescent="0.25">
      <c r="S7341" s="24">
        <f t="shared" si="418"/>
        <v>0.02</v>
      </c>
    </row>
    <row r="7342" spans="19:19" x14ac:dyDescent="0.25">
      <c r="S7342" s="24">
        <f t="shared" si="418"/>
        <v>0.02</v>
      </c>
    </row>
    <row r="7343" spans="19:19" x14ac:dyDescent="0.25">
      <c r="S7343" s="24">
        <f t="shared" si="418"/>
        <v>0.02</v>
      </c>
    </row>
    <row r="7344" spans="19:19" x14ac:dyDescent="0.25">
      <c r="S7344" s="24">
        <f t="shared" si="418"/>
        <v>0.02</v>
      </c>
    </row>
    <row r="7345" spans="19:19" x14ac:dyDescent="0.25">
      <c r="S7345" s="24">
        <f t="shared" si="418"/>
        <v>0.02</v>
      </c>
    </row>
    <row r="7346" spans="19:19" x14ac:dyDescent="0.25">
      <c r="S7346" s="24">
        <f t="shared" si="418"/>
        <v>0.02</v>
      </c>
    </row>
    <row r="7347" spans="19:19" x14ac:dyDescent="0.25">
      <c r="S7347" s="24">
        <f t="shared" si="418"/>
        <v>0.02</v>
      </c>
    </row>
    <row r="7348" spans="19:19" x14ac:dyDescent="0.25">
      <c r="S7348" s="24">
        <f t="shared" si="418"/>
        <v>0.02</v>
      </c>
    </row>
    <row r="7349" spans="19:19" x14ac:dyDescent="0.25">
      <c r="S7349" s="24">
        <f t="shared" si="418"/>
        <v>0.02</v>
      </c>
    </row>
    <row r="7350" spans="19:19" x14ac:dyDescent="0.25">
      <c r="S7350" s="24">
        <f t="shared" si="418"/>
        <v>0.02</v>
      </c>
    </row>
    <row r="7351" spans="19:19" x14ac:dyDescent="0.25">
      <c r="S7351" s="24">
        <f t="shared" si="418"/>
        <v>0.02</v>
      </c>
    </row>
    <row r="7352" spans="19:19" x14ac:dyDescent="0.25">
      <c r="S7352" s="24">
        <f t="shared" si="418"/>
        <v>0.02</v>
      </c>
    </row>
    <row r="7353" spans="19:19" x14ac:dyDescent="0.25">
      <c r="S7353" s="24">
        <f t="shared" si="418"/>
        <v>0.02</v>
      </c>
    </row>
    <row r="7354" spans="19:19" x14ac:dyDescent="0.25">
      <c r="S7354" s="24">
        <f t="shared" si="418"/>
        <v>0.02</v>
      </c>
    </row>
    <row r="7355" spans="19:19" x14ac:dyDescent="0.25">
      <c r="S7355" s="24">
        <f t="shared" si="418"/>
        <v>0.02</v>
      </c>
    </row>
    <row r="7356" spans="19:19" x14ac:dyDescent="0.25">
      <c r="S7356" s="24">
        <f t="shared" si="418"/>
        <v>0.02</v>
      </c>
    </row>
    <row r="7357" spans="19:19" x14ac:dyDescent="0.25">
      <c r="S7357" s="24">
        <f t="shared" si="418"/>
        <v>0.02</v>
      </c>
    </row>
    <row r="7358" spans="19:19" x14ac:dyDescent="0.25">
      <c r="S7358" s="24">
        <f t="shared" si="418"/>
        <v>0.02</v>
      </c>
    </row>
    <row r="7359" spans="19:19" x14ac:dyDescent="0.25">
      <c r="S7359" s="24">
        <f t="shared" si="418"/>
        <v>0.02</v>
      </c>
    </row>
    <row r="7360" spans="19:19" x14ac:dyDescent="0.25">
      <c r="S7360" s="24">
        <f t="shared" si="418"/>
        <v>0.02</v>
      </c>
    </row>
    <row r="7361" spans="19:19" x14ac:dyDescent="0.25">
      <c r="S7361" s="24">
        <f t="shared" si="418"/>
        <v>0.02</v>
      </c>
    </row>
    <row r="7362" spans="19:19" x14ac:dyDescent="0.25">
      <c r="S7362" s="24">
        <f t="shared" si="418"/>
        <v>0.02</v>
      </c>
    </row>
    <row r="7363" spans="19:19" x14ac:dyDescent="0.25">
      <c r="S7363" s="24">
        <f t="shared" si="418"/>
        <v>0.02</v>
      </c>
    </row>
    <row r="7364" spans="19:19" x14ac:dyDescent="0.25">
      <c r="S7364" s="24">
        <f t="shared" si="418"/>
        <v>0.02</v>
      </c>
    </row>
    <row r="7365" spans="19:19" x14ac:dyDescent="0.25">
      <c r="S7365" s="24">
        <f t="shared" si="418"/>
        <v>0.02</v>
      </c>
    </row>
    <row r="7366" spans="19:19" x14ac:dyDescent="0.25">
      <c r="S7366" s="24">
        <f t="shared" si="418"/>
        <v>0.02</v>
      </c>
    </row>
    <row r="7367" spans="19:19" x14ac:dyDescent="0.25">
      <c r="S7367" s="24">
        <f t="shared" si="418"/>
        <v>0.02</v>
      </c>
    </row>
    <row r="7368" spans="19:19" x14ac:dyDescent="0.25">
      <c r="S7368" s="24">
        <f t="shared" si="418"/>
        <v>0.02</v>
      </c>
    </row>
    <row r="7369" spans="19:19" x14ac:dyDescent="0.25">
      <c r="S7369" s="24">
        <f t="shared" si="418"/>
        <v>0.02</v>
      </c>
    </row>
    <row r="7370" spans="19:19" x14ac:dyDescent="0.25">
      <c r="S7370" s="24">
        <f t="shared" si="418"/>
        <v>0.02</v>
      </c>
    </row>
    <row r="7371" spans="19:19" x14ac:dyDescent="0.25">
      <c r="S7371" s="24">
        <f t="shared" ref="S7371:S7434" si="419">VLOOKUP(N7371,$T$1:$U$7,2,TRUE)</f>
        <v>0.02</v>
      </c>
    </row>
    <row r="7372" spans="19:19" x14ac:dyDescent="0.25">
      <c r="S7372" s="24">
        <f t="shared" si="419"/>
        <v>0.02</v>
      </c>
    </row>
    <row r="7373" spans="19:19" x14ac:dyDescent="0.25">
      <c r="S7373" s="24">
        <f t="shared" si="419"/>
        <v>0.02</v>
      </c>
    </row>
    <row r="7374" spans="19:19" x14ac:dyDescent="0.25">
      <c r="S7374" s="24">
        <f t="shared" si="419"/>
        <v>0.02</v>
      </c>
    </row>
    <row r="7375" spans="19:19" x14ac:dyDescent="0.25">
      <c r="S7375" s="24">
        <f t="shared" si="419"/>
        <v>0.02</v>
      </c>
    </row>
    <row r="7376" spans="19:19" x14ac:dyDescent="0.25">
      <c r="S7376" s="24">
        <f t="shared" si="419"/>
        <v>0.02</v>
      </c>
    </row>
    <row r="7377" spans="19:19" x14ac:dyDescent="0.25">
      <c r="S7377" s="24">
        <f t="shared" si="419"/>
        <v>0.02</v>
      </c>
    </row>
    <row r="7378" spans="19:19" x14ac:dyDescent="0.25">
      <c r="S7378" s="24">
        <f t="shared" si="419"/>
        <v>0.02</v>
      </c>
    </row>
    <row r="7379" spans="19:19" x14ac:dyDescent="0.25">
      <c r="S7379" s="24">
        <f t="shared" si="419"/>
        <v>0.02</v>
      </c>
    </row>
    <row r="7380" spans="19:19" x14ac:dyDescent="0.25">
      <c r="S7380" s="24">
        <f t="shared" si="419"/>
        <v>0.02</v>
      </c>
    </row>
    <row r="7381" spans="19:19" x14ac:dyDescent="0.25">
      <c r="S7381" s="24">
        <f t="shared" si="419"/>
        <v>0.02</v>
      </c>
    </row>
    <row r="7382" spans="19:19" x14ac:dyDescent="0.25">
      <c r="S7382" s="24">
        <f t="shared" si="419"/>
        <v>0.02</v>
      </c>
    </row>
    <row r="7383" spans="19:19" x14ac:dyDescent="0.25">
      <c r="S7383" s="24">
        <f t="shared" si="419"/>
        <v>0.02</v>
      </c>
    </row>
    <row r="7384" spans="19:19" x14ac:dyDescent="0.25">
      <c r="S7384" s="24">
        <f t="shared" si="419"/>
        <v>0.02</v>
      </c>
    </row>
    <row r="7385" spans="19:19" x14ac:dyDescent="0.25">
      <c r="S7385" s="24">
        <f t="shared" si="419"/>
        <v>0.02</v>
      </c>
    </row>
    <row r="7386" spans="19:19" x14ac:dyDescent="0.25">
      <c r="S7386" s="24">
        <f t="shared" si="419"/>
        <v>0.02</v>
      </c>
    </row>
    <row r="7387" spans="19:19" x14ac:dyDescent="0.25">
      <c r="S7387" s="24">
        <f t="shared" si="419"/>
        <v>0.02</v>
      </c>
    </row>
    <row r="7388" spans="19:19" x14ac:dyDescent="0.25">
      <c r="S7388" s="24">
        <f t="shared" si="419"/>
        <v>0.02</v>
      </c>
    </row>
    <row r="7389" spans="19:19" x14ac:dyDescent="0.25">
      <c r="S7389" s="24">
        <f t="shared" si="419"/>
        <v>0.02</v>
      </c>
    </row>
    <row r="7390" spans="19:19" x14ac:dyDescent="0.25">
      <c r="S7390" s="24">
        <f t="shared" si="419"/>
        <v>0.02</v>
      </c>
    </row>
    <row r="7391" spans="19:19" x14ac:dyDescent="0.25">
      <c r="S7391" s="24">
        <f t="shared" si="419"/>
        <v>0.02</v>
      </c>
    </row>
    <row r="7392" spans="19:19" x14ac:dyDescent="0.25">
      <c r="S7392" s="24">
        <f t="shared" si="419"/>
        <v>0.02</v>
      </c>
    </row>
    <row r="7393" spans="19:19" x14ac:dyDescent="0.25">
      <c r="S7393" s="24">
        <f t="shared" si="419"/>
        <v>0.02</v>
      </c>
    </row>
    <row r="7394" spans="19:19" x14ac:dyDescent="0.25">
      <c r="S7394" s="24">
        <f t="shared" si="419"/>
        <v>0.02</v>
      </c>
    </row>
    <row r="7395" spans="19:19" x14ac:dyDescent="0.25">
      <c r="S7395" s="24">
        <f t="shared" si="419"/>
        <v>0.02</v>
      </c>
    </row>
    <row r="7396" spans="19:19" x14ac:dyDescent="0.25">
      <c r="S7396" s="24">
        <f t="shared" si="419"/>
        <v>0.02</v>
      </c>
    </row>
    <row r="7397" spans="19:19" x14ac:dyDescent="0.25">
      <c r="S7397" s="24">
        <f t="shared" si="419"/>
        <v>0.02</v>
      </c>
    </row>
    <row r="7398" spans="19:19" x14ac:dyDescent="0.25">
      <c r="S7398" s="24">
        <f t="shared" si="419"/>
        <v>0.02</v>
      </c>
    </row>
    <row r="7399" spans="19:19" x14ac:dyDescent="0.25">
      <c r="S7399" s="24">
        <f t="shared" si="419"/>
        <v>0.02</v>
      </c>
    </row>
    <row r="7400" spans="19:19" x14ac:dyDescent="0.25">
      <c r="S7400" s="24">
        <f t="shared" si="419"/>
        <v>0.02</v>
      </c>
    </row>
    <row r="7401" spans="19:19" x14ac:dyDescent="0.25">
      <c r="S7401" s="24">
        <f t="shared" si="419"/>
        <v>0.02</v>
      </c>
    </row>
    <row r="7402" spans="19:19" x14ac:dyDescent="0.25">
      <c r="S7402" s="24">
        <f t="shared" si="419"/>
        <v>0.02</v>
      </c>
    </row>
    <row r="7403" spans="19:19" x14ac:dyDescent="0.25">
      <c r="S7403" s="24">
        <f t="shared" si="419"/>
        <v>0.02</v>
      </c>
    </row>
    <row r="7404" spans="19:19" x14ac:dyDescent="0.25">
      <c r="S7404" s="24">
        <f t="shared" si="419"/>
        <v>0.02</v>
      </c>
    </row>
    <row r="7405" spans="19:19" x14ac:dyDescent="0.25">
      <c r="S7405" s="24">
        <f t="shared" si="419"/>
        <v>0.02</v>
      </c>
    </row>
    <row r="7406" spans="19:19" x14ac:dyDescent="0.25">
      <c r="S7406" s="24">
        <f t="shared" si="419"/>
        <v>0.02</v>
      </c>
    </row>
    <row r="7407" spans="19:19" x14ac:dyDescent="0.25">
      <c r="S7407" s="24">
        <f t="shared" si="419"/>
        <v>0.02</v>
      </c>
    </row>
    <row r="7408" spans="19:19" x14ac:dyDescent="0.25">
      <c r="S7408" s="24">
        <f t="shared" si="419"/>
        <v>0.02</v>
      </c>
    </row>
    <row r="7409" spans="19:19" x14ac:dyDescent="0.25">
      <c r="S7409" s="24">
        <f t="shared" si="419"/>
        <v>0.02</v>
      </c>
    </row>
    <row r="7410" spans="19:19" x14ac:dyDescent="0.25">
      <c r="S7410" s="24">
        <f t="shared" si="419"/>
        <v>0.02</v>
      </c>
    </row>
    <row r="7411" spans="19:19" x14ac:dyDescent="0.25">
      <c r="S7411" s="24">
        <f t="shared" si="419"/>
        <v>0.02</v>
      </c>
    </row>
    <row r="7412" spans="19:19" x14ac:dyDescent="0.25">
      <c r="S7412" s="24">
        <f t="shared" si="419"/>
        <v>0.02</v>
      </c>
    </row>
    <row r="7413" spans="19:19" x14ac:dyDescent="0.25">
      <c r="S7413" s="24">
        <f t="shared" si="419"/>
        <v>0.02</v>
      </c>
    </row>
    <row r="7414" spans="19:19" x14ac:dyDescent="0.25">
      <c r="S7414" s="24">
        <f t="shared" si="419"/>
        <v>0.02</v>
      </c>
    </row>
    <row r="7415" spans="19:19" x14ac:dyDescent="0.25">
      <c r="S7415" s="24">
        <f t="shared" si="419"/>
        <v>0.02</v>
      </c>
    </row>
    <row r="7416" spans="19:19" x14ac:dyDescent="0.25">
      <c r="S7416" s="24">
        <f t="shared" si="419"/>
        <v>0.02</v>
      </c>
    </row>
    <row r="7417" spans="19:19" x14ac:dyDescent="0.25">
      <c r="S7417" s="24">
        <f t="shared" si="419"/>
        <v>0.02</v>
      </c>
    </row>
    <row r="7418" spans="19:19" x14ac:dyDescent="0.25">
      <c r="S7418" s="24">
        <f t="shared" si="419"/>
        <v>0.02</v>
      </c>
    </row>
    <row r="7419" spans="19:19" x14ac:dyDescent="0.25">
      <c r="S7419" s="24">
        <f t="shared" si="419"/>
        <v>0.02</v>
      </c>
    </row>
    <row r="7420" spans="19:19" x14ac:dyDescent="0.25">
      <c r="S7420" s="24">
        <f t="shared" si="419"/>
        <v>0.02</v>
      </c>
    </row>
    <row r="7421" spans="19:19" x14ac:dyDescent="0.25">
      <c r="S7421" s="24">
        <f t="shared" si="419"/>
        <v>0.02</v>
      </c>
    </row>
    <row r="7422" spans="19:19" x14ac:dyDescent="0.25">
      <c r="S7422" s="24">
        <f t="shared" si="419"/>
        <v>0.02</v>
      </c>
    </row>
    <row r="7423" spans="19:19" x14ac:dyDescent="0.25">
      <c r="S7423" s="24">
        <f t="shared" si="419"/>
        <v>0.02</v>
      </c>
    </row>
    <row r="7424" spans="19:19" x14ac:dyDescent="0.25">
      <c r="S7424" s="24">
        <f t="shared" si="419"/>
        <v>0.02</v>
      </c>
    </row>
    <row r="7425" spans="19:19" x14ac:dyDescent="0.25">
      <c r="S7425" s="24">
        <f t="shared" si="419"/>
        <v>0.02</v>
      </c>
    </row>
    <row r="7426" spans="19:19" x14ac:dyDescent="0.25">
      <c r="S7426" s="24">
        <f t="shared" si="419"/>
        <v>0.02</v>
      </c>
    </row>
    <row r="7427" spans="19:19" x14ac:dyDescent="0.25">
      <c r="S7427" s="24">
        <f t="shared" si="419"/>
        <v>0.02</v>
      </c>
    </row>
    <row r="7428" spans="19:19" x14ac:dyDescent="0.25">
      <c r="S7428" s="24">
        <f t="shared" si="419"/>
        <v>0.02</v>
      </c>
    </row>
    <row r="7429" spans="19:19" x14ac:dyDescent="0.25">
      <c r="S7429" s="24">
        <f t="shared" si="419"/>
        <v>0.02</v>
      </c>
    </row>
    <row r="7430" spans="19:19" x14ac:dyDescent="0.25">
      <c r="S7430" s="24">
        <f t="shared" si="419"/>
        <v>0.02</v>
      </c>
    </row>
    <row r="7431" spans="19:19" x14ac:dyDescent="0.25">
      <c r="S7431" s="24">
        <f t="shared" si="419"/>
        <v>0.02</v>
      </c>
    </row>
    <row r="7432" spans="19:19" x14ac:dyDescent="0.25">
      <c r="S7432" s="24">
        <f t="shared" si="419"/>
        <v>0.02</v>
      </c>
    </row>
    <row r="7433" spans="19:19" x14ac:dyDescent="0.25">
      <c r="S7433" s="24">
        <f t="shared" si="419"/>
        <v>0.02</v>
      </c>
    </row>
    <row r="7434" spans="19:19" x14ac:dyDescent="0.25">
      <c r="S7434" s="24">
        <f t="shared" si="419"/>
        <v>0.02</v>
      </c>
    </row>
    <row r="7435" spans="19:19" x14ac:dyDescent="0.25">
      <c r="S7435" s="24">
        <f t="shared" ref="S7435:S7498" si="420">VLOOKUP(N7435,$T$1:$U$7,2,TRUE)</f>
        <v>0.02</v>
      </c>
    </row>
    <row r="7436" spans="19:19" x14ac:dyDescent="0.25">
      <c r="S7436" s="24">
        <f t="shared" si="420"/>
        <v>0.02</v>
      </c>
    </row>
    <row r="7437" spans="19:19" x14ac:dyDescent="0.25">
      <c r="S7437" s="24">
        <f t="shared" si="420"/>
        <v>0.02</v>
      </c>
    </row>
    <row r="7438" spans="19:19" x14ac:dyDescent="0.25">
      <c r="S7438" s="24">
        <f t="shared" si="420"/>
        <v>0.02</v>
      </c>
    </row>
    <row r="7439" spans="19:19" x14ac:dyDescent="0.25">
      <c r="S7439" s="24">
        <f t="shared" si="420"/>
        <v>0.02</v>
      </c>
    </row>
    <row r="7440" spans="19:19" x14ac:dyDescent="0.25">
      <c r="S7440" s="24">
        <f t="shared" si="420"/>
        <v>0.02</v>
      </c>
    </row>
    <row r="7441" spans="19:19" x14ac:dyDescent="0.25">
      <c r="S7441" s="24">
        <f t="shared" si="420"/>
        <v>0.02</v>
      </c>
    </row>
    <row r="7442" spans="19:19" x14ac:dyDescent="0.25">
      <c r="S7442" s="24">
        <f t="shared" si="420"/>
        <v>0.02</v>
      </c>
    </row>
    <row r="7443" spans="19:19" x14ac:dyDescent="0.25">
      <c r="S7443" s="24">
        <f t="shared" si="420"/>
        <v>0.02</v>
      </c>
    </row>
    <row r="7444" spans="19:19" x14ac:dyDescent="0.25">
      <c r="S7444" s="24">
        <f t="shared" si="420"/>
        <v>0.02</v>
      </c>
    </row>
    <row r="7445" spans="19:19" x14ac:dyDescent="0.25">
      <c r="S7445" s="24">
        <f t="shared" si="420"/>
        <v>0.02</v>
      </c>
    </row>
    <row r="7446" spans="19:19" x14ac:dyDescent="0.25">
      <c r="S7446" s="24">
        <f t="shared" si="420"/>
        <v>0.02</v>
      </c>
    </row>
    <row r="7447" spans="19:19" x14ac:dyDescent="0.25">
      <c r="S7447" s="24">
        <f t="shared" si="420"/>
        <v>0.02</v>
      </c>
    </row>
    <row r="7448" spans="19:19" x14ac:dyDescent="0.25">
      <c r="S7448" s="24">
        <f t="shared" si="420"/>
        <v>0.02</v>
      </c>
    </row>
    <row r="7449" spans="19:19" x14ac:dyDescent="0.25">
      <c r="S7449" s="24">
        <f t="shared" si="420"/>
        <v>0.02</v>
      </c>
    </row>
    <row r="7450" spans="19:19" x14ac:dyDescent="0.25">
      <c r="S7450" s="24">
        <f t="shared" si="420"/>
        <v>0.02</v>
      </c>
    </row>
    <row r="7451" spans="19:19" x14ac:dyDescent="0.25">
      <c r="S7451" s="24">
        <f t="shared" si="420"/>
        <v>0.02</v>
      </c>
    </row>
    <row r="7452" spans="19:19" x14ac:dyDescent="0.25">
      <c r="S7452" s="24">
        <f t="shared" si="420"/>
        <v>0.02</v>
      </c>
    </row>
    <row r="7453" spans="19:19" x14ac:dyDescent="0.25">
      <c r="S7453" s="24">
        <f t="shared" si="420"/>
        <v>0.02</v>
      </c>
    </row>
    <row r="7454" spans="19:19" x14ac:dyDescent="0.25">
      <c r="S7454" s="24">
        <f t="shared" si="420"/>
        <v>0.02</v>
      </c>
    </row>
    <row r="7455" spans="19:19" x14ac:dyDescent="0.25">
      <c r="S7455" s="24">
        <f t="shared" si="420"/>
        <v>0.02</v>
      </c>
    </row>
    <row r="7456" spans="19:19" x14ac:dyDescent="0.25">
      <c r="S7456" s="24">
        <f t="shared" si="420"/>
        <v>0.02</v>
      </c>
    </row>
    <row r="7457" spans="19:19" x14ac:dyDescent="0.25">
      <c r="S7457" s="24">
        <f t="shared" si="420"/>
        <v>0.02</v>
      </c>
    </row>
    <row r="7458" spans="19:19" x14ac:dyDescent="0.25">
      <c r="S7458" s="24">
        <f t="shared" si="420"/>
        <v>0.02</v>
      </c>
    </row>
    <row r="7459" spans="19:19" x14ac:dyDescent="0.25">
      <c r="S7459" s="24">
        <f t="shared" si="420"/>
        <v>0.02</v>
      </c>
    </row>
    <row r="7460" spans="19:19" x14ac:dyDescent="0.25">
      <c r="S7460" s="24">
        <f t="shared" si="420"/>
        <v>0.02</v>
      </c>
    </row>
    <row r="7461" spans="19:19" x14ac:dyDescent="0.25">
      <c r="S7461" s="24">
        <f t="shared" si="420"/>
        <v>0.02</v>
      </c>
    </row>
    <row r="7462" spans="19:19" x14ac:dyDescent="0.25">
      <c r="S7462" s="24">
        <f t="shared" si="420"/>
        <v>0.02</v>
      </c>
    </row>
    <row r="7463" spans="19:19" x14ac:dyDescent="0.25">
      <c r="S7463" s="24">
        <f t="shared" si="420"/>
        <v>0.02</v>
      </c>
    </row>
    <row r="7464" spans="19:19" x14ac:dyDescent="0.25">
      <c r="S7464" s="24">
        <f t="shared" si="420"/>
        <v>0.02</v>
      </c>
    </row>
    <row r="7465" spans="19:19" x14ac:dyDescent="0.25">
      <c r="S7465" s="24">
        <f t="shared" si="420"/>
        <v>0.02</v>
      </c>
    </row>
    <row r="7466" spans="19:19" x14ac:dyDescent="0.25">
      <c r="S7466" s="24">
        <f t="shared" si="420"/>
        <v>0.02</v>
      </c>
    </row>
    <row r="7467" spans="19:19" x14ac:dyDescent="0.25">
      <c r="S7467" s="24">
        <f t="shared" si="420"/>
        <v>0.02</v>
      </c>
    </row>
    <row r="7468" spans="19:19" x14ac:dyDescent="0.25">
      <c r="S7468" s="24">
        <f t="shared" si="420"/>
        <v>0.02</v>
      </c>
    </row>
    <row r="7469" spans="19:19" x14ac:dyDescent="0.25">
      <c r="S7469" s="24">
        <f t="shared" si="420"/>
        <v>0.02</v>
      </c>
    </row>
    <row r="7470" spans="19:19" x14ac:dyDescent="0.25">
      <c r="S7470" s="24">
        <f t="shared" si="420"/>
        <v>0.02</v>
      </c>
    </row>
    <row r="7471" spans="19:19" x14ac:dyDescent="0.25">
      <c r="S7471" s="24">
        <f t="shared" si="420"/>
        <v>0.02</v>
      </c>
    </row>
    <row r="7472" spans="19:19" x14ac:dyDescent="0.25">
      <c r="S7472" s="24">
        <f t="shared" si="420"/>
        <v>0.02</v>
      </c>
    </row>
    <row r="7473" spans="19:19" x14ac:dyDescent="0.25">
      <c r="S7473" s="24">
        <f t="shared" si="420"/>
        <v>0.02</v>
      </c>
    </row>
    <row r="7474" spans="19:19" x14ac:dyDescent="0.25">
      <c r="S7474" s="24">
        <f t="shared" si="420"/>
        <v>0.02</v>
      </c>
    </row>
    <row r="7475" spans="19:19" x14ac:dyDescent="0.25">
      <c r="S7475" s="24">
        <f t="shared" si="420"/>
        <v>0.02</v>
      </c>
    </row>
    <row r="7476" spans="19:19" x14ac:dyDescent="0.25">
      <c r="S7476" s="24">
        <f t="shared" si="420"/>
        <v>0.02</v>
      </c>
    </row>
    <row r="7477" spans="19:19" x14ac:dyDescent="0.25">
      <c r="S7477" s="24">
        <f t="shared" si="420"/>
        <v>0.02</v>
      </c>
    </row>
    <row r="7478" spans="19:19" x14ac:dyDescent="0.25">
      <c r="S7478" s="24">
        <f t="shared" si="420"/>
        <v>0.02</v>
      </c>
    </row>
    <row r="7479" spans="19:19" x14ac:dyDescent="0.25">
      <c r="S7479" s="24">
        <f t="shared" si="420"/>
        <v>0.02</v>
      </c>
    </row>
    <row r="7480" spans="19:19" x14ac:dyDescent="0.25">
      <c r="S7480" s="24">
        <f t="shared" si="420"/>
        <v>0.02</v>
      </c>
    </row>
    <row r="7481" spans="19:19" x14ac:dyDescent="0.25">
      <c r="S7481" s="24">
        <f t="shared" si="420"/>
        <v>0.02</v>
      </c>
    </row>
    <row r="7482" spans="19:19" x14ac:dyDescent="0.25">
      <c r="S7482" s="24">
        <f t="shared" si="420"/>
        <v>0.02</v>
      </c>
    </row>
    <row r="7483" spans="19:19" x14ac:dyDescent="0.25">
      <c r="S7483" s="24">
        <f t="shared" si="420"/>
        <v>0.02</v>
      </c>
    </row>
    <row r="7484" spans="19:19" x14ac:dyDescent="0.25">
      <c r="S7484" s="24">
        <f t="shared" si="420"/>
        <v>0.02</v>
      </c>
    </row>
    <row r="7485" spans="19:19" x14ac:dyDescent="0.25">
      <c r="S7485" s="24">
        <f t="shared" si="420"/>
        <v>0.02</v>
      </c>
    </row>
    <row r="7486" spans="19:19" x14ac:dyDescent="0.25">
      <c r="S7486" s="24">
        <f t="shared" si="420"/>
        <v>0.02</v>
      </c>
    </row>
    <row r="7487" spans="19:19" x14ac:dyDescent="0.25">
      <c r="S7487" s="24">
        <f t="shared" si="420"/>
        <v>0.02</v>
      </c>
    </row>
    <row r="7488" spans="19:19" x14ac:dyDescent="0.25">
      <c r="S7488" s="24">
        <f t="shared" si="420"/>
        <v>0.02</v>
      </c>
    </row>
    <row r="7489" spans="19:19" x14ac:dyDescent="0.25">
      <c r="S7489" s="24">
        <f t="shared" si="420"/>
        <v>0.02</v>
      </c>
    </row>
    <row r="7490" spans="19:19" x14ac:dyDescent="0.25">
      <c r="S7490" s="24">
        <f t="shared" si="420"/>
        <v>0.02</v>
      </c>
    </row>
    <row r="7491" spans="19:19" x14ac:dyDescent="0.25">
      <c r="S7491" s="24">
        <f t="shared" si="420"/>
        <v>0.02</v>
      </c>
    </row>
    <row r="7492" spans="19:19" x14ac:dyDescent="0.25">
      <c r="S7492" s="24">
        <f t="shared" si="420"/>
        <v>0.02</v>
      </c>
    </row>
    <row r="7493" spans="19:19" x14ac:dyDescent="0.25">
      <c r="S7493" s="24">
        <f t="shared" si="420"/>
        <v>0.02</v>
      </c>
    </row>
    <row r="7494" spans="19:19" x14ac:dyDescent="0.25">
      <c r="S7494" s="24">
        <f t="shared" si="420"/>
        <v>0.02</v>
      </c>
    </row>
    <row r="7495" spans="19:19" x14ac:dyDescent="0.25">
      <c r="S7495" s="24">
        <f t="shared" si="420"/>
        <v>0.02</v>
      </c>
    </row>
    <row r="7496" spans="19:19" x14ac:dyDescent="0.25">
      <c r="S7496" s="24">
        <f t="shared" si="420"/>
        <v>0.02</v>
      </c>
    </row>
    <row r="7497" spans="19:19" x14ac:dyDescent="0.25">
      <c r="S7497" s="24">
        <f t="shared" si="420"/>
        <v>0.02</v>
      </c>
    </row>
    <row r="7498" spans="19:19" x14ac:dyDescent="0.25">
      <c r="S7498" s="24">
        <f t="shared" si="420"/>
        <v>0.02</v>
      </c>
    </row>
    <row r="7499" spans="19:19" x14ac:dyDescent="0.25">
      <c r="S7499" s="24">
        <f t="shared" ref="S7499:S7562" si="421">VLOOKUP(N7499,$T$1:$U$7,2,TRUE)</f>
        <v>0.02</v>
      </c>
    </row>
    <row r="7500" spans="19:19" x14ac:dyDescent="0.25">
      <c r="S7500" s="24">
        <f t="shared" si="421"/>
        <v>0.02</v>
      </c>
    </row>
    <row r="7501" spans="19:19" x14ac:dyDescent="0.25">
      <c r="S7501" s="24">
        <f t="shared" si="421"/>
        <v>0.02</v>
      </c>
    </row>
    <row r="7502" spans="19:19" x14ac:dyDescent="0.25">
      <c r="S7502" s="24">
        <f t="shared" si="421"/>
        <v>0.02</v>
      </c>
    </row>
    <row r="7503" spans="19:19" x14ac:dyDescent="0.25">
      <c r="S7503" s="24">
        <f t="shared" si="421"/>
        <v>0.02</v>
      </c>
    </row>
    <row r="7504" spans="19:19" x14ac:dyDescent="0.25">
      <c r="S7504" s="24">
        <f t="shared" si="421"/>
        <v>0.02</v>
      </c>
    </row>
    <row r="7505" spans="19:19" x14ac:dyDescent="0.25">
      <c r="S7505" s="24">
        <f t="shared" si="421"/>
        <v>0.02</v>
      </c>
    </row>
    <row r="7506" spans="19:19" x14ac:dyDescent="0.25">
      <c r="S7506" s="24">
        <f t="shared" si="421"/>
        <v>0.02</v>
      </c>
    </row>
    <row r="7507" spans="19:19" x14ac:dyDescent="0.25">
      <c r="S7507" s="24">
        <f t="shared" si="421"/>
        <v>0.02</v>
      </c>
    </row>
    <row r="7508" spans="19:19" x14ac:dyDescent="0.25">
      <c r="S7508" s="24">
        <f t="shared" si="421"/>
        <v>0.02</v>
      </c>
    </row>
    <row r="7509" spans="19:19" x14ac:dyDescent="0.25">
      <c r="S7509" s="24">
        <f t="shared" si="421"/>
        <v>0.02</v>
      </c>
    </row>
    <row r="7510" spans="19:19" x14ac:dyDescent="0.25">
      <c r="S7510" s="24">
        <f t="shared" si="421"/>
        <v>0.02</v>
      </c>
    </row>
    <row r="7511" spans="19:19" x14ac:dyDescent="0.25">
      <c r="S7511" s="24">
        <f t="shared" si="421"/>
        <v>0.02</v>
      </c>
    </row>
    <row r="7512" spans="19:19" x14ac:dyDescent="0.25">
      <c r="S7512" s="24">
        <f t="shared" si="421"/>
        <v>0.02</v>
      </c>
    </row>
    <row r="7513" spans="19:19" x14ac:dyDescent="0.25">
      <c r="S7513" s="24">
        <f t="shared" si="421"/>
        <v>0.02</v>
      </c>
    </row>
    <row r="7514" spans="19:19" x14ac:dyDescent="0.25">
      <c r="S7514" s="24">
        <f t="shared" si="421"/>
        <v>0.02</v>
      </c>
    </row>
    <row r="7515" spans="19:19" x14ac:dyDescent="0.25">
      <c r="S7515" s="24">
        <f t="shared" si="421"/>
        <v>0.02</v>
      </c>
    </row>
    <row r="7516" spans="19:19" x14ac:dyDescent="0.25">
      <c r="S7516" s="24">
        <f t="shared" si="421"/>
        <v>0.02</v>
      </c>
    </row>
    <row r="7517" spans="19:19" x14ac:dyDescent="0.25">
      <c r="S7517" s="24">
        <f t="shared" si="421"/>
        <v>0.02</v>
      </c>
    </row>
    <row r="7518" spans="19:19" x14ac:dyDescent="0.25">
      <c r="S7518" s="24">
        <f t="shared" si="421"/>
        <v>0.02</v>
      </c>
    </row>
    <row r="7519" spans="19:19" x14ac:dyDescent="0.25">
      <c r="S7519" s="24">
        <f t="shared" si="421"/>
        <v>0.02</v>
      </c>
    </row>
    <row r="7520" spans="19:19" x14ac:dyDescent="0.25">
      <c r="S7520" s="24">
        <f t="shared" si="421"/>
        <v>0.02</v>
      </c>
    </row>
    <row r="7521" spans="19:19" x14ac:dyDescent="0.25">
      <c r="S7521" s="24">
        <f t="shared" si="421"/>
        <v>0.02</v>
      </c>
    </row>
    <row r="7522" spans="19:19" x14ac:dyDescent="0.25">
      <c r="S7522" s="24">
        <f t="shared" si="421"/>
        <v>0.02</v>
      </c>
    </row>
    <row r="7523" spans="19:19" x14ac:dyDescent="0.25">
      <c r="S7523" s="24">
        <f t="shared" si="421"/>
        <v>0.02</v>
      </c>
    </row>
    <row r="7524" spans="19:19" x14ac:dyDescent="0.25">
      <c r="S7524" s="24">
        <f t="shared" si="421"/>
        <v>0.02</v>
      </c>
    </row>
    <row r="7525" spans="19:19" x14ac:dyDescent="0.25">
      <c r="S7525" s="24">
        <f t="shared" si="421"/>
        <v>0.02</v>
      </c>
    </row>
    <row r="7526" spans="19:19" x14ac:dyDescent="0.25">
      <c r="S7526" s="24">
        <f t="shared" si="421"/>
        <v>0.02</v>
      </c>
    </row>
    <row r="7527" spans="19:19" x14ac:dyDescent="0.25">
      <c r="S7527" s="24">
        <f t="shared" si="421"/>
        <v>0.02</v>
      </c>
    </row>
    <row r="7528" spans="19:19" x14ac:dyDescent="0.25">
      <c r="S7528" s="24">
        <f t="shared" si="421"/>
        <v>0.02</v>
      </c>
    </row>
    <row r="7529" spans="19:19" x14ac:dyDescent="0.25">
      <c r="S7529" s="24">
        <f t="shared" si="421"/>
        <v>0.02</v>
      </c>
    </row>
    <row r="7530" spans="19:19" x14ac:dyDescent="0.25">
      <c r="S7530" s="24">
        <f t="shared" si="421"/>
        <v>0.02</v>
      </c>
    </row>
    <row r="7531" spans="19:19" x14ac:dyDescent="0.25">
      <c r="S7531" s="24">
        <f t="shared" si="421"/>
        <v>0.02</v>
      </c>
    </row>
    <row r="7532" spans="19:19" x14ac:dyDescent="0.25">
      <c r="S7532" s="24">
        <f t="shared" si="421"/>
        <v>0.02</v>
      </c>
    </row>
    <row r="7533" spans="19:19" x14ac:dyDescent="0.25">
      <c r="S7533" s="24">
        <f t="shared" si="421"/>
        <v>0.02</v>
      </c>
    </row>
    <row r="7534" spans="19:19" x14ac:dyDescent="0.25">
      <c r="S7534" s="24">
        <f t="shared" si="421"/>
        <v>0.02</v>
      </c>
    </row>
    <row r="7535" spans="19:19" x14ac:dyDescent="0.25">
      <c r="S7535" s="24">
        <f t="shared" si="421"/>
        <v>0.02</v>
      </c>
    </row>
    <row r="7536" spans="19:19" x14ac:dyDescent="0.25">
      <c r="S7536" s="24">
        <f t="shared" si="421"/>
        <v>0.02</v>
      </c>
    </row>
    <row r="7537" spans="19:19" x14ac:dyDescent="0.25">
      <c r="S7537" s="24">
        <f t="shared" si="421"/>
        <v>0.02</v>
      </c>
    </row>
    <row r="7538" spans="19:19" x14ac:dyDescent="0.25">
      <c r="S7538" s="24">
        <f t="shared" si="421"/>
        <v>0.02</v>
      </c>
    </row>
    <row r="7539" spans="19:19" x14ac:dyDescent="0.25">
      <c r="S7539" s="24">
        <f t="shared" si="421"/>
        <v>0.02</v>
      </c>
    </row>
    <row r="7540" spans="19:19" x14ac:dyDescent="0.25">
      <c r="S7540" s="24">
        <f t="shared" si="421"/>
        <v>0.02</v>
      </c>
    </row>
    <row r="7541" spans="19:19" x14ac:dyDescent="0.25">
      <c r="S7541" s="24">
        <f t="shared" si="421"/>
        <v>0.02</v>
      </c>
    </row>
    <row r="7542" spans="19:19" x14ac:dyDescent="0.25">
      <c r="S7542" s="24">
        <f t="shared" si="421"/>
        <v>0.02</v>
      </c>
    </row>
    <row r="7543" spans="19:19" x14ac:dyDescent="0.25">
      <c r="S7543" s="24">
        <f t="shared" si="421"/>
        <v>0.02</v>
      </c>
    </row>
    <row r="7544" spans="19:19" x14ac:dyDescent="0.25">
      <c r="S7544" s="24">
        <f t="shared" si="421"/>
        <v>0.02</v>
      </c>
    </row>
    <row r="7545" spans="19:19" x14ac:dyDescent="0.25">
      <c r="S7545" s="24">
        <f t="shared" si="421"/>
        <v>0.02</v>
      </c>
    </row>
    <row r="7546" spans="19:19" x14ac:dyDescent="0.25">
      <c r="S7546" s="24">
        <f t="shared" si="421"/>
        <v>0.02</v>
      </c>
    </row>
    <row r="7547" spans="19:19" x14ac:dyDescent="0.25">
      <c r="S7547" s="24">
        <f t="shared" si="421"/>
        <v>0.02</v>
      </c>
    </row>
    <row r="7548" spans="19:19" x14ac:dyDescent="0.25">
      <c r="S7548" s="24">
        <f t="shared" si="421"/>
        <v>0.02</v>
      </c>
    </row>
    <row r="7549" spans="19:19" x14ac:dyDescent="0.25">
      <c r="S7549" s="24">
        <f t="shared" si="421"/>
        <v>0.02</v>
      </c>
    </row>
    <row r="7550" spans="19:19" x14ac:dyDescent="0.25">
      <c r="S7550" s="24">
        <f t="shared" si="421"/>
        <v>0.02</v>
      </c>
    </row>
    <row r="7551" spans="19:19" x14ac:dyDescent="0.25">
      <c r="S7551" s="24">
        <f t="shared" si="421"/>
        <v>0.02</v>
      </c>
    </row>
    <row r="7552" spans="19:19" x14ac:dyDescent="0.25">
      <c r="S7552" s="24">
        <f t="shared" si="421"/>
        <v>0.02</v>
      </c>
    </row>
    <row r="7553" spans="19:19" x14ac:dyDescent="0.25">
      <c r="S7553" s="24">
        <f t="shared" si="421"/>
        <v>0.02</v>
      </c>
    </row>
    <row r="7554" spans="19:19" x14ac:dyDescent="0.25">
      <c r="S7554" s="24">
        <f t="shared" si="421"/>
        <v>0.02</v>
      </c>
    </row>
    <row r="7555" spans="19:19" x14ac:dyDescent="0.25">
      <c r="S7555" s="24">
        <f t="shared" si="421"/>
        <v>0.02</v>
      </c>
    </row>
    <row r="7556" spans="19:19" x14ac:dyDescent="0.25">
      <c r="S7556" s="24">
        <f t="shared" si="421"/>
        <v>0.02</v>
      </c>
    </row>
    <row r="7557" spans="19:19" x14ac:dyDescent="0.25">
      <c r="S7557" s="24">
        <f t="shared" si="421"/>
        <v>0.02</v>
      </c>
    </row>
    <row r="7558" spans="19:19" x14ac:dyDescent="0.25">
      <c r="S7558" s="24">
        <f t="shared" si="421"/>
        <v>0.02</v>
      </c>
    </row>
    <row r="7559" spans="19:19" x14ac:dyDescent="0.25">
      <c r="S7559" s="24">
        <f t="shared" si="421"/>
        <v>0.02</v>
      </c>
    </row>
    <row r="7560" spans="19:19" x14ac:dyDescent="0.25">
      <c r="S7560" s="24">
        <f t="shared" si="421"/>
        <v>0.02</v>
      </c>
    </row>
    <row r="7561" spans="19:19" x14ac:dyDescent="0.25">
      <c r="S7561" s="24">
        <f t="shared" si="421"/>
        <v>0.02</v>
      </c>
    </row>
    <row r="7562" spans="19:19" x14ac:dyDescent="0.25">
      <c r="S7562" s="24">
        <f t="shared" si="421"/>
        <v>0.02</v>
      </c>
    </row>
    <row r="7563" spans="19:19" x14ac:dyDescent="0.25">
      <c r="S7563" s="24">
        <f t="shared" ref="S7563:S7626" si="422">VLOOKUP(N7563,$T$1:$U$7,2,TRUE)</f>
        <v>0.02</v>
      </c>
    </row>
    <row r="7564" spans="19:19" x14ac:dyDescent="0.25">
      <c r="S7564" s="24">
        <f t="shared" si="422"/>
        <v>0.02</v>
      </c>
    </row>
    <row r="7565" spans="19:19" x14ac:dyDescent="0.25">
      <c r="S7565" s="24">
        <f t="shared" si="422"/>
        <v>0.02</v>
      </c>
    </row>
    <row r="7566" spans="19:19" x14ac:dyDescent="0.25">
      <c r="S7566" s="24">
        <f t="shared" si="422"/>
        <v>0.02</v>
      </c>
    </row>
    <row r="7567" spans="19:19" x14ac:dyDescent="0.25">
      <c r="S7567" s="24">
        <f t="shared" si="422"/>
        <v>0.02</v>
      </c>
    </row>
    <row r="7568" spans="19:19" x14ac:dyDescent="0.25">
      <c r="S7568" s="24">
        <f t="shared" si="422"/>
        <v>0.02</v>
      </c>
    </row>
    <row r="7569" spans="19:19" x14ac:dyDescent="0.25">
      <c r="S7569" s="24">
        <f t="shared" si="422"/>
        <v>0.02</v>
      </c>
    </row>
    <row r="7570" spans="19:19" x14ac:dyDescent="0.25">
      <c r="S7570" s="24">
        <f t="shared" si="422"/>
        <v>0.02</v>
      </c>
    </row>
    <row r="7571" spans="19:19" x14ac:dyDescent="0.25">
      <c r="S7571" s="24">
        <f t="shared" si="422"/>
        <v>0.02</v>
      </c>
    </row>
    <row r="7572" spans="19:19" x14ac:dyDescent="0.25">
      <c r="S7572" s="24">
        <f t="shared" si="422"/>
        <v>0.02</v>
      </c>
    </row>
    <row r="7573" spans="19:19" x14ac:dyDescent="0.25">
      <c r="S7573" s="24">
        <f t="shared" si="422"/>
        <v>0.02</v>
      </c>
    </row>
    <row r="7574" spans="19:19" x14ac:dyDescent="0.25">
      <c r="S7574" s="24">
        <f t="shared" si="422"/>
        <v>0.02</v>
      </c>
    </row>
    <row r="7575" spans="19:19" x14ac:dyDescent="0.25">
      <c r="S7575" s="24">
        <f t="shared" si="422"/>
        <v>0.02</v>
      </c>
    </row>
    <row r="7576" spans="19:19" x14ac:dyDescent="0.25">
      <c r="S7576" s="24">
        <f t="shared" si="422"/>
        <v>0.02</v>
      </c>
    </row>
    <row r="7577" spans="19:19" x14ac:dyDescent="0.25">
      <c r="S7577" s="24">
        <f t="shared" si="422"/>
        <v>0.02</v>
      </c>
    </row>
    <row r="7578" spans="19:19" x14ac:dyDescent="0.25">
      <c r="S7578" s="24">
        <f t="shared" si="422"/>
        <v>0.02</v>
      </c>
    </row>
    <row r="7579" spans="19:19" x14ac:dyDescent="0.25">
      <c r="S7579" s="24">
        <f t="shared" si="422"/>
        <v>0.02</v>
      </c>
    </row>
    <row r="7580" spans="19:19" x14ac:dyDescent="0.25">
      <c r="S7580" s="24">
        <f t="shared" si="422"/>
        <v>0.02</v>
      </c>
    </row>
    <row r="7581" spans="19:19" x14ac:dyDescent="0.25">
      <c r="S7581" s="24">
        <f t="shared" si="422"/>
        <v>0.02</v>
      </c>
    </row>
    <row r="7582" spans="19:19" x14ac:dyDescent="0.25">
      <c r="S7582" s="24">
        <f t="shared" si="422"/>
        <v>0.02</v>
      </c>
    </row>
    <row r="7583" spans="19:19" x14ac:dyDescent="0.25">
      <c r="S7583" s="24">
        <f t="shared" si="422"/>
        <v>0.02</v>
      </c>
    </row>
    <row r="7584" spans="19:19" x14ac:dyDescent="0.25">
      <c r="S7584" s="24">
        <f t="shared" si="422"/>
        <v>0.02</v>
      </c>
    </row>
    <row r="7585" spans="19:19" x14ac:dyDescent="0.25">
      <c r="S7585" s="24">
        <f t="shared" si="422"/>
        <v>0.02</v>
      </c>
    </row>
    <row r="7586" spans="19:19" x14ac:dyDescent="0.25">
      <c r="S7586" s="24">
        <f t="shared" si="422"/>
        <v>0.02</v>
      </c>
    </row>
    <row r="7587" spans="19:19" x14ac:dyDescent="0.25">
      <c r="S7587" s="24">
        <f t="shared" si="422"/>
        <v>0.02</v>
      </c>
    </row>
    <row r="7588" spans="19:19" x14ac:dyDescent="0.25">
      <c r="S7588" s="24">
        <f t="shared" si="422"/>
        <v>0.02</v>
      </c>
    </row>
    <row r="7589" spans="19:19" x14ac:dyDescent="0.25">
      <c r="S7589" s="24">
        <f t="shared" si="422"/>
        <v>0.02</v>
      </c>
    </row>
    <row r="7590" spans="19:19" x14ac:dyDescent="0.25">
      <c r="S7590" s="24">
        <f t="shared" si="422"/>
        <v>0.02</v>
      </c>
    </row>
    <row r="7591" spans="19:19" x14ac:dyDescent="0.25">
      <c r="S7591" s="24">
        <f t="shared" si="422"/>
        <v>0.02</v>
      </c>
    </row>
    <row r="7592" spans="19:19" x14ac:dyDescent="0.25">
      <c r="S7592" s="24">
        <f t="shared" si="422"/>
        <v>0.02</v>
      </c>
    </row>
    <row r="7593" spans="19:19" x14ac:dyDescent="0.25">
      <c r="S7593" s="24">
        <f t="shared" si="422"/>
        <v>0.02</v>
      </c>
    </row>
    <row r="7594" spans="19:19" x14ac:dyDescent="0.25">
      <c r="S7594" s="24">
        <f t="shared" si="422"/>
        <v>0.02</v>
      </c>
    </row>
    <row r="7595" spans="19:19" x14ac:dyDescent="0.25">
      <c r="S7595" s="24">
        <f t="shared" si="422"/>
        <v>0.02</v>
      </c>
    </row>
    <row r="7596" spans="19:19" x14ac:dyDescent="0.25">
      <c r="S7596" s="24">
        <f t="shared" si="422"/>
        <v>0.02</v>
      </c>
    </row>
    <row r="7597" spans="19:19" x14ac:dyDescent="0.25">
      <c r="S7597" s="24">
        <f t="shared" si="422"/>
        <v>0.02</v>
      </c>
    </row>
    <row r="7598" spans="19:19" x14ac:dyDescent="0.25">
      <c r="S7598" s="24">
        <f t="shared" si="422"/>
        <v>0.02</v>
      </c>
    </row>
    <row r="7599" spans="19:19" x14ac:dyDescent="0.25">
      <c r="S7599" s="24">
        <f t="shared" si="422"/>
        <v>0.02</v>
      </c>
    </row>
    <row r="7600" spans="19:19" x14ac:dyDescent="0.25">
      <c r="S7600" s="24">
        <f t="shared" si="422"/>
        <v>0.02</v>
      </c>
    </row>
    <row r="7601" spans="19:19" x14ac:dyDescent="0.25">
      <c r="S7601" s="24">
        <f t="shared" si="422"/>
        <v>0.02</v>
      </c>
    </row>
    <row r="7602" spans="19:19" x14ac:dyDescent="0.25">
      <c r="S7602" s="24">
        <f t="shared" si="422"/>
        <v>0.02</v>
      </c>
    </row>
    <row r="7603" spans="19:19" x14ac:dyDescent="0.25">
      <c r="S7603" s="24">
        <f t="shared" si="422"/>
        <v>0.02</v>
      </c>
    </row>
    <row r="7604" spans="19:19" x14ac:dyDescent="0.25">
      <c r="S7604" s="24">
        <f t="shared" si="422"/>
        <v>0.02</v>
      </c>
    </row>
    <row r="7605" spans="19:19" x14ac:dyDescent="0.25">
      <c r="S7605" s="24">
        <f t="shared" si="422"/>
        <v>0.02</v>
      </c>
    </row>
    <row r="7606" spans="19:19" x14ac:dyDescent="0.25">
      <c r="S7606" s="24">
        <f t="shared" si="422"/>
        <v>0.02</v>
      </c>
    </row>
    <row r="7607" spans="19:19" x14ac:dyDescent="0.25">
      <c r="S7607" s="24">
        <f t="shared" si="422"/>
        <v>0.02</v>
      </c>
    </row>
    <row r="7608" spans="19:19" x14ac:dyDescent="0.25">
      <c r="S7608" s="24">
        <f t="shared" si="422"/>
        <v>0.02</v>
      </c>
    </row>
    <row r="7609" spans="19:19" x14ac:dyDescent="0.25">
      <c r="S7609" s="24">
        <f t="shared" si="422"/>
        <v>0.02</v>
      </c>
    </row>
    <row r="7610" spans="19:19" x14ac:dyDescent="0.25">
      <c r="S7610" s="24">
        <f t="shared" si="422"/>
        <v>0.02</v>
      </c>
    </row>
    <row r="7611" spans="19:19" x14ac:dyDescent="0.25">
      <c r="S7611" s="24">
        <f t="shared" si="422"/>
        <v>0.02</v>
      </c>
    </row>
    <row r="7612" spans="19:19" x14ac:dyDescent="0.25">
      <c r="S7612" s="24">
        <f t="shared" si="422"/>
        <v>0.02</v>
      </c>
    </row>
    <row r="7613" spans="19:19" x14ac:dyDescent="0.25">
      <c r="S7613" s="24">
        <f t="shared" si="422"/>
        <v>0.02</v>
      </c>
    </row>
    <row r="7614" spans="19:19" x14ac:dyDescent="0.25">
      <c r="S7614" s="24">
        <f t="shared" si="422"/>
        <v>0.02</v>
      </c>
    </row>
    <row r="7615" spans="19:19" x14ac:dyDescent="0.25">
      <c r="S7615" s="24">
        <f t="shared" si="422"/>
        <v>0.02</v>
      </c>
    </row>
    <row r="7616" spans="19:19" x14ac:dyDescent="0.25">
      <c r="S7616" s="24">
        <f t="shared" si="422"/>
        <v>0.02</v>
      </c>
    </row>
    <row r="7617" spans="19:19" x14ac:dyDescent="0.25">
      <c r="S7617" s="24">
        <f t="shared" si="422"/>
        <v>0.02</v>
      </c>
    </row>
    <row r="7618" spans="19:19" x14ac:dyDescent="0.25">
      <c r="S7618" s="24">
        <f t="shared" si="422"/>
        <v>0.02</v>
      </c>
    </row>
    <row r="7619" spans="19:19" x14ac:dyDescent="0.25">
      <c r="S7619" s="24">
        <f t="shared" si="422"/>
        <v>0.02</v>
      </c>
    </row>
    <row r="7620" spans="19:19" x14ac:dyDescent="0.25">
      <c r="S7620" s="24">
        <f t="shared" si="422"/>
        <v>0.02</v>
      </c>
    </row>
    <row r="7621" spans="19:19" x14ac:dyDescent="0.25">
      <c r="S7621" s="24">
        <f t="shared" si="422"/>
        <v>0.02</v>
      </c>
    </row>
    <row r="7622" spans="19:19" x14ac:dyDescent="0.25">
      <c r="S7622" s="24">
        <f t="shared" si="422"/>
        <v>0.02</v>
      </c>
    </row>
    <row r="7623" spans="19:19" x14ac:dyDescent="0.25">
      <c r="S7623" s="24">
        <f t="shared" si="422"/>
        <v>0.02</v>
      </c>
    </row>
    <row r="7624" spans="19:19" x14ac:dyDescent="0.25">
      <c r="S7624" s="24">
        <f t="shared" si="422"/>
        <v>0.02</v>
      </c>
    </row>
    <row r="7625" spans="19:19" x14ac:dyDescent="0.25">
      <c r="S7625" s="24">
        <f t="shared" si="422"/>
        <v>0.02</v>
      </c>
    </row>
    <row r="7626" spans="19:19" x14ac:dyDescent="0.25">
      <c r="S7626" s="24">
        <f t="shared" si="422"/>
        <v>0.02</v>
      </c>
    </row>
    <row r="7627" spans="19:19" x14ac:dyDescent="0.25">
      <c r="S7627" s="24">
        <f t="shared" ref="S7627:S7690" si="423">VLOOKUP(N7627,$T$1:$U$7,2,TRUE)</f>
        <v>0.02</v>
      </c>
    </row>
    <row r="7628" spans="19:19" x14ac:dyDescent="0.25">
      <c r="S7628" s="24">
        <f t="shared" si="423"/>
        <v>0.02</v>
      </c>
    </row>
    <row r="7629" spans="19:19" x14ac:dyDescent="0.25">
      <c r="S7629" s="24">
        <f t="shared" si="423"/>
        <v>0.02</v>
      </c>
    </row>
    <row r="7630" spans="19:19" x14ac:dyDescent="0.25">
      <c r="S7630" s="24">
        <f t="shared" si="423"/>
        <v>0.02</v>
      </c>
    </row>
    <row r="7631" spans="19:19" x14ac:dyDescent="0.25">
      <c r="S7631" s="24">
        <f t="shared" si="423"/>
        <v>0.02</v>
      </c>
    </row>
    <row r="7632" spans="19:19" x14ac:dyDescent="0.25">
      <c r="S7632" s="24">
        <f t="shared" si="423"/>
        <v>0.02</v>
      </c>
    </row>
    <row r="7633" spans="19:19" x14ac:dyDescent="0.25">
      <c r="S7633" s="24">
        <f t="shared" si="423"/>
        <v>0.02</v>
      </c>
    </row>
    <row r="7634" spans="19:19" x14ac:dyDescent="0.25">
      <c r="S7634" s="24">
        <f t="shared" si="423"/>
        <v>0.02</v>
      </c>
    </row>
    <row r="7635" spans="19:19" x14ac:dyDescent="0.25">
      <c r="S7635" s="24">
        <f t="shared" si="423"/>
        <v>0.02</v>
      </c>
    </row>
    <row r="7636" spans="19:19" x14ac:dyDescent="0.25">
      <c r="S7636" s="24">
        <f t="shared" si="423"/>
        <v>0.02</v>
      </c>
    </row>
    <row r="7637" spans="19:19" x14ac:dyDescent="0.25">
      <c r="S7637" s="24">
        <f t="shared" si="423"/>
        <v>0.02</v>
      </c>
    </row>
    <row r="7638" spans="19:19" x14ac:dyDescent="0.25">
      <c r="S7638" s="24">
        <f t="shared" si="423"/>
        <v>0.02</v>
      </c>
    </row>
    <row r="7639" spans="19:19" x14ac:dyDescent="0.25">
      <c r="S7639" s="24">
        <f t="shared" si="423"/>
        <v>0.02</v>
      </c>
    </row>
    <row r="7640" spans="19:19" x14ac:dyDescent="0.25">
      <c r="S7640" s="24">
        <f t="shared" si="423"/>
        <v>0.02</v>
      </c>
    </row>
    <row r="7641" spans="19:19" x14ac:dyDescent="0.25">
      <c r="S7641" s="24">
        <f t="shared" si="423"/>
        <v>0.02</v>
      </c>
    </row>
    <row r="7642" spans="19:19" x14ac:dyDescent="0.25">
      <c r="S7642" s="24">
        <f t="shared" si="423"/>
        <v>0.02</v>
      </c>
    </row>
    <row r="7643" spans="19:19" x14ac:dyDescent="0.25">
      <c r="S7643" s="24">
        <f t="shared" si="423"/>
        <v>0.02</v>
      </c>
    </row>
    <row r="7644" spans="19:19" x14ac:dyDescent="0.25">
      <c r="S7644" s="24">
        <f t="shared" si="423"/>
        <v>0.02</v>
      </c>
    </row>
    <row r="7645" spans="19:19" x14ac:dyDescent="0.25">
      <c r="S7645" s="24">
        <f t="shared" si="423"/>
        <v>0.02</v>
      </c>
    </row>
    <row r="7646" spans="19:19" x14ac:dyDescent="0.25">
      <c r="S7646" s="24">
        <f t="shared" si="423"/>
        <v>0.02</v>
      </c>
    </row>
    <row r="7647" spans="19:19" x14ac:dyDescent="0.25">
      <c r="S7647" s="24">
        <f t="shared" si="423"/>
        <v>0.02</v>
      </c>
    </row>
    <row r="7648" spans="19:19" x14ac:dyDescent="0.25">
      <c r="S7648" s="24">
        <f t="shared" si="423"/>
        <v>0.02</v>
      </c>
    </row>
    <row r="7649" spans="19:19" x14ac:dyDescent="0.25">
      <c r="S7649" s="24">
        <f t="shared" si="423"/>
        <v>0.02</v>
      </c>
    </row>
    <row r="7650" spans="19:19" x14ac:dyDescent="0.25">
      <c r="S7650" s="24">
        <f t="shared" si="423"/>
        <v>0.02</v>
      </c>
    </row>
    <row r="7651" spans="19:19" x14ac:dyDescent="0.25">
      <c r="S7651" s="24">
        <f t="shared" si="423"/>
        <v>0.02</v>
      </c>
    </row>
    <row r="7652" spans="19:19" x14ac:dyDescent="0.25">
      <c r="S7652" s="24">
        <f t="shared" si="423"/>
        <v>0.02</v>
      </c>
    </row>
    <row r="7653" spans="19:19" x14ac:dyDescent="0.25">
      <c r="S7653" s="24">
        <f t="shared" si="423"/>
        <v>0.02</v>
      </c>
    </row>
    <row r="7654" spans="19:19" x14ac:dyDescent="0.25">
      <c r="S7654" s="24">
        <f t="shared" si="423"/>
        <v>0.02</v>
      </c>
    </row>
    <row r="7655" spans="19:19" x14ac:dyDescent="0.25">
      <c r="S7655" s="24">
        <f t="shared" si="423"/>
        <v>0.02</v>
      </c>
    </row>
    <row r="7656" spans="19:19" x14ac:dyDescent="0.25">
      <c r="S7656" s="24">
        <f t="shared" si="423"/>
        <v>0.02</v>
      </c>
    </row>
    <row r="7657" spans="19:19" x14ac:dyDescent="0.25">
      <c r="S7657" s="24">
        <f t="shared" si="423"/>
        <v>0.02</v>
      </c>
    </row>
    <row r="7658" spans="19:19" x14ac:dyDescent="0.25">
      <c r="S7658" s="24">
        <f t="shared" si="423"/>
        <v>0.02</v>
      </c>
    </row>
    <row r="7659" spans="19:19" x14ac:dyDescent="0.25">
      <c r="S7659" s="24">
        <f t="shared" si="423"/>
        <v>0.02</v>
      </c>
    </row>
    <row r="7660" spans="19:19" x14ac:dyDescent="0.25">
      <c r="S7660" s="24">
        <f t="shared" si="423"/>
        <v>0.02</v>
      </c>
    </row>
    <row r="7661" spans="19:19" x14ac:dyDescent="0.25">
      <c r="S7661" s="24">
        <f t="shared" si="423"/>
        <v>0.02</v>
      </c>
    </row>
    <row r="7662" spans="19:19" x14ac:dyDescent="0.25">
      <c r="S7662" s="24">
        <f t="shared" si="423"/>
        <v>0.02</v>
      </c>
    </row>
    <row r="7663" spans="19:19" x14ac:dyDescent="0.25">
      <c r="S7663" s="24">
        <f t="shared" si="423"/>
        <v>0.02</v>
      </c>
    </row>
    <row r="7664" spans="19:19" x14ac:dyDescent="0.25">
      <c r="S7664" s="24">
        <f t="shared" si="423"/>
        <v>0.02</v>
      </c>
    </row>
    <row r="7665" spans="19:19" x14ac:dyDescent="0.25">
      <c r="S7665" s="24">
        <f t="shared" si="423"/>
        <v>0.02</v>
      </c>
    </row>
    <row r="7666" spans="19:19" x14ac:dyDescent="0.25">
      <c r="S7666" s="24">
        <f t="shared" si="423"/>
        <v>0.02</v>
      </c>
    </row>
    <row r="7667" spans="19:19" x14ac:dyDescent="0.25">
      <c r="S7667" s="24">
        <f t="shared" si="423"/>
        <v>0.02</v>
      </c>
    </row>
    <row r="7668" spans="19:19" x14ac:dyDescent="0.25">
      <c r="S7668" s="24">
        <f t="shared" si="423"/>
        <v>0.02</v>
      </c>
    </row>
    <row r="7669" spans="19:19" x14ac:dyDescent="0.25">
      <c r="S7669" s="24">
        <f t="shared" si="423"/>
        <v>0.02</v>
      </c>
    </row>
    <row r="7670" spans="19:19" x14ac:dyDescent="0.25">
      <c r="S7670" s="24">
        <f t="shared" si="423"/>
        <v>0.02</v>
      </c>
    </row>
    <row r="7671" spans="19:19" x14ac:dyDescent="0.25">
      <c r="S7671" s="24">
        <f t="shared" si="423"/>
        <v>0.02</v>
      </c>
    </row>
    <row r="7672" spans="19:19" x14ac:dyDescent="0.25">
      <c r="S7672" s="24">
        <f t="shared" si="423"/>
        <v>0.02</v>
      </c>
    </row>
    <row r="7673" spans="19:19" x14ac:dyDescent="0.25">
      <c r="S7673" s="24">
        <f t="shared" si="423"/>
        <v>0.02</v>
      </c>
    </row>
    <row r="7674" spans="19:19" x14ac:dyDescent="0.25">
      <c r="S7674" s="24">
        <f t="shared" si="423"/>
        <v>0.02</v>
      </c>
    </row>
    <row r="7675" spans="19:19" x14ac:dyDescent="0.25">
      <c r="S7675" s="24">
        <f t="shared" si="423"/>
        <v>0.02</v>
      </c>
    </row>
    <row r="7676" spans="19:19" x14ac:dyDescent="0.25">
      <c r="S7676" s="24">
        <f t="shared" si="423"/>
        <v>0.02</v>
      </c>
    </row>
    <row r="7677" spans="19:19" x14ac:dyDescent="0.25">
      <c r="S7677" s="24">
        <f t="shared" si="423"/>
        <v>0.02</v>
      </c>
    </row>
    <row r="7678" spans="19:19" x14ac:dyDescent="0.25">
      <c r="S7678" s="24">
        <f t="shared" si="423"/>
        <v>0.02</v>
      </c>
    </row>
    <row r="7679" spans="19:19" x14ac:dyDescent="0.25">
      <c r="S7679" s="24">
        <f t="shared" si="423"/>
        <v>0.02</v>
      </c>
    </row>
    <row r="7680" spans="19:19" x14ac:dyDescent="0.25">
      <c r="S7680" s="24">
        <f t="shared" si="423"/>
        <v>0.02</v>
      </c>
    </row>
    <row r="7681" spans="19:19" x14ac:dyDescent="0.25">
      <c r="S7681" s="24">
        <f t="shared" si="423"/>
        <v>0.02</v>
      </c>
    </row>
    <row r="7682" spans="19:19" x14ac:dyDescent="0.25">
      <c r="S7682" s="24">
        <f t="shared" si="423"/>
        <v>0.02</v>
      </c>
    </row>
    <row r="7683" spans="19:19" x14ac:dyDescent="0.25">
      <c r="S7683" s="24">
        <f t="shared" si="423"/>
        <v>0.02</v>
      </c>
    </row>
    <row r="7684" spans="19:19" x14ac:dyDescent="0.25">
      <c r="S7684" s="24">
        <f t="shared" si="423"/>
        <v>0.02</v>
      </c>
    </row>
    <row r="7685" spans="19:19" x14ac:dyDescent="0.25">
      <c r="S7685" s="24">
        <f t="shared" si="423"/>
        <v>0.02</v>
      </c>
    </row>
    <row r="7686" spans="19:19" x14ac:dyDescent="0.25">
      <c r="S7686" s="24">
        <f t="shared" si="423"/>
        <v>0.02</v>
      </c>
    </row>
    <row r="7687" spans="19:19" x14ac:dyDescent="0.25">
      <c r="S7687" s="24">
        <f t="shared" si="423"/>
        <v>0.02</v>
      </c>
    </row>
    <row r="7688" spans="19:19" x14ac:dyDescent="0.25">
      <c r="S7688" s="24">
        <f t="shared" si="423"/>
        <v>0.02</v>
      </c>
    </row>
    <row r="7689" spans="19:19" x14ac:dyDescent="0.25">
      <c r="S7689" s="24">
        <f t="shared" si="423"/>
        <v>0.02</v>
      </c>
    </row>
    <row r="7690" spans="19:19" x14ac:dyDescent="0.25">
      <c r="S7690" s="24">
        <f t="shared" si="423"/>
        <v>0.02</v>
      </c>
    </row>
    <row r="7691" spans="19:19" x14ac:dyDescent="0.25">
      <c r="S7691" s="24">
        <f t="shared" ref="S7691:S7754" si="424">VLOOKUP(N7691,$T$1:$U$7,2,TRUE)</f>
        <v>0.02</v>
      </c>
    </row>
    <row r="7692" spans="19:19" x14ac:dyDescent="0.25">
      <c r="S7692" s="24">
        <f t="shared" si="424"/>
        <v>0.02</v>
      </c>
    </row>
    <row r="7693" spans="19:19" x14ac:dyDescent="0.25">
      <c r="S7693" s="24">
        <f t="shared" si="424"/>
        <v>0.02</v>
      </c>
    </row>
    <row r="7694" spans="19:19" x14ac:dyDescent="0.25">
      <c r="S7694" s="24">
        <f t="shared" si="424"/>
        <v>0.02</v>
      </c>
    </row>
    <row r="7695" spans="19:19" x14ac:dyDescent="0.25">
      <c r="S7695" s="24">
        <f t="shared" si="424"/>
        <v>0.02</v>
      </c>
    </row>
    <row r="7696" spans="19:19" x14ac:dyDescent="0.25">
      <c r="S7696" s="24">
        <f t="shared" si="424"/>
        <v>0.02</v>
      </c>
    </row>
    <row r="7697" spans="19:19" x14ac:dyDescent="0.25">
      <c r="S7697" s="24">
        <f t="shared" si="424"/>
        <v>0.02</v>
      </c>
    </row>
    <row r="7698" spans="19:19" x14ac:dyDescent="0.25">
      <c r="S7698" s="24">
        <f t="shared" si="424"/>
        <v>0.02</v>
      </c>
    </row>
    <row r="7699" spans="19:19" x14ac:dyDescent="0.25">
      <c r="S7699" s="24">
        <f t="shared" si="424"/>
        <v>0.02</v>
      </c>
    </row>
    <row r="7700" spans="19:19" x14ac:dyDescent="0.25">
      <c r="S7700" s="24">
        <f t="shared" si="424"/>
        <v>0.02</v>
      </c>
    </row>
    <row r="7701" spans="19:19" x14ac:dyDescent="0.25">
      <c r="S7701" s="24">
        <f t="shared" si="424"/>
        <v>0.02</v>
      </c>
    </row>
    <row r="7702" spans="19:19" x14ac:dyDescent="0.25">
      <c r="S7702" s="24">
        <f t="shared" si="424"/>
        <v>0.02</v>
      </c>
    </row>
    <row r="7703" spans="19:19" x14ac:dyDescent="0.25">
      <c r="S7703" s="24">
        <f t="shared" si="424"/>
        <v>0.02</v>
      </c>
    </row>
    <row r="7704" spans="19:19" x14ac:dyDescent="0.25">
      <c r="S7704" s="24">
        <f t="shared" si="424"/>
        <v>0.02</v>
      </c>
    </row>
    <row r="7705" spans="19:19" x14ac:dyDescent="0.25">
      <c r="S7705" s="24">
        <f t="shared" si="424"/>
        <v>0.02</v>
      </c>
    </row>
    <row r="7706" spans="19:19" x14ac:dyDescent="0.25">
      <c r="S7706" s="24">
        <f t="shared" si="424"/>
        <v>0.02</v>
      </c>
    </row>
    <row r="7707" spans="19:19" x14ac:dyDescent="0.25">
      <c r="S7707" s="24">
        <f t="shared" si="424"/>
        <v>0.02</v>
      </c>
    </row>
    <row r="7708" spans="19:19" x14ac:dyDescent="0.25">
      <c r="S7708" s="24">
        <f t="shared" si="424"/>
        <v>0.02</v>
      </c>
    </row>
    <row r="7709" spans="19:19" x14ac:dyDescent="0.25">
      <c r="S7709" s="24">
        <f t="shared" si="424"/>
        <v>0.02</v>
      </c>
    </row>
    <row r="7710" spans="19:19" x14ac:dyDescent="0.25">
      <c r="S7710" s="24">
        <f t="shared" si="424"/>
        <v>0.02</v>
      </c>
    </row>
    <row r="7711" spans="19:19" x14ac:dyDescent="0.25">
      <c r="S7711" s="24">
        <f t="shared" si="424"/>
        <v>0.02</v>
      </c>
    </row>
    <row r="7712" spans="19:19" x14ac:dyDescent="0.25">
      <c r="S7712" s="24">
        <f t="shared" si="424"/>
        <v>0.02</v>
      </c>
    </row>
    <row r="7713" spans="19:19" x14ac:dyDescent="0.25">
      <c r="S7713" s="24">
        <f t="shared" si="424"/>
        <v>0.02</v>
      </c>
    </row>
    <row r="7714" spans="19:19" x14ac:dyDescent="0.25">
      <c r="S7714" s="24">
        <f t="shared" si="424"/>
        <v>0.02</v>
      </c>
    </row>
    <row r="7715" spans="19:19" x14ac:dyDescent="0.25">
      <c r="S7715" s="24">
        <f t="shared" si="424"/>
        <v>0.02</v>
      </c>
    </row>
    <row r="7716" spans="19:19" x14ac:dyDescent="0.25">
      <c r="S7716" s="24">
        <f t="shared" si="424"/>
        <v>0.02</v>
      </c>
    </row>
    <row r="7717" spans="19:19" x14ac:dyDescent="0.25">
      <c r="S7717" s="24">
        <f t="shared" si="424"/>
        <v>0.02</v>
      </c>
    </row>
    <row r="7718" spans="19:19" x14ac:dyDescent="0.25">
      <c r="S7718" s="24">
        <f t="shared" si="424"/>
        <v>0.02</v>
      </c>
    </row>
    <row r="7719" spans="19:19" x14ac:dyDescent="0.25">
      <c r="S7719" s="24">
        <f t="shared" si="424"/>
        <v>0.02</v>
      </c>
    </row>
    <row r="7720" spans="19:19" x14ac:dyDescent="0.25">
      <c r="S7720" s="24">
        <f t="shared" si="424"/>
        <v>0.02</v>
      </c>
    </row>
    <row r="7721" spans="19:19" x14ac:dyDescent="0.25">
      <c r="S7721" s="24">
        <f t="shared" si="424"/>
        <v>0.02</v>
      </c>
    </row>
    <row r="7722" spans="19:19" x14ac:dyDescent="0.25">
      <c r="S7722" s="24">
        <f t="shared" si="424"/>
        <v>0.02</v>
      </c>
    </row>
    <row r="7723" spans="19:19" x14ac:dyDescent="0.25">
      <c r="S7723" s="24">
        <f t="shared" si="424"/>
        <v>0.02</v>
      </c>
    </row>
    <row r="7724" spans="19:19" x14ac:dyDescent="0.25">
      <c r="S7724" s="24">
        <f t="shared" si="424"/>
        <v>0.02</v>
      </c>
    </row>
    <row r="7725" spans="19:19" x14ac:dyDescent="0.25">
      <c r="S7725" s="24">
        <f t="shared" si="424"/>
        <v>0.02</v>
      </c>
    </row>
    <row r="7726" spans="19:19" x14ac:dyDescent="0.25">
      <c r="S7726" s="24">
        <f t="shared" si="424"/>
        <v>0.02</v>
      </c>
    </row>
    <row r="7727" spans="19:19" x14ac:dyDescent="0.25">
      <c r="S7727" s="24">
        <f t="shared" si="424"/>
        <v>0.02</v>
      </c>
    </row>
    <row r="7728" spans="19:19" x14ac:dyDescent="0.25">
      <c r="S7728" s="24">
        <f t="shared" si="424"/>
        <v>0.02</v>
      </c>
    </row>
    <row r="7729" spans="19:19" x14ac:dyDescent="0.25">
      <c r="S7729" s="24">
        <f t="shared" si="424"/>
        <v>0.02</v>
      </c>
    </row>
    <row r="7730" spans="19:19" x14ac:dyDescent="0.25">
      <c r="S7730" s="24">
        <f t="shared" si="424"/>
        <v>0.02</v>
      </c>
    </row>
    <row r="7731" spans="19:19" x14ac:dyDescent="0.25">
      <c r="S7731" s="24">
        <f t="shared" si="424"/>
        <v>0.02</v>
      </c>
    </row>
    <row r="7732" spans="19:19" x14ac:dyDescent="0.25">
      <c r="S7732" s="24">
        <f t="shared" si="424"/>
        <v>0.02</v>
      </c>
    </row>
    <row r="7733" spans="19:19" x14ac:dyDescent="0.25">
      <c r="S7733" s="24">
        <f t="shared" si="424"/>
        <v>0.02</v>
      </c>
    </row>
    <row r="7734" spans="19:19" x14ac:dyDescent="0.25">
      <c r="S7734" s="24">
        <f t="shared" si="424"/>
        <v>0.02</v>
      </c>
    </row>
    <row r="7735" spans="19:19" x14ac:dyDescent="0.25">
      <c r="S7735" s="24">
        <f t="shared" si="424"/>
        <v>0.02</v>
      </c>
    </row>
    <row r="7736" spans="19:19" x14ac:dyDescent="0.25">
      <c r="S7736" s="24">
        <f t="shared" si="424"/>
        <v>0.02</v>
      </c>
    </row>
    <row r="7737" spans="19:19" x14ac:dyDescent="0.25">
      <c r="S7737" s="24">
        <f t="shared" si="424"/>
        <v>0.02</v>
      </c>
    </row>
    <row r="7738" spans="19:19" x14ac:dyDescent="0.25">
      <c r="S7738" s="24">
        <f t="shared" si="424"/>
        <v>0.02</v>
      </c>
    </row>
    <row r="7739" spans="19:19" x14ac:dyDescent="0.25">
      <c r="S7739" s="24">
        <f t="shared" si="424"/>
        <v>0.02</v>
      </c>
    </row>
    <row r="7740" spans="19:19" x14ac:dyDescent="0.25">
      <c r="S7740" s="24">
        <f t="shared" si="424"/>
        <v>0.02</v>
      </c>
    </row>
    <row r="7741" spans="19:19" x14ac:dyDescent="0.25">
      <c r="S7741" s="24">
        <f t="shared" si="424"/>
        <v>0.02</v>
      </c>
    </row>
    <row r="7742" spans="19:19" x14ac:dyDescent="0.25">
      <c r="S7742" s="24">
        <f t="shared" si="424"/>
        <v>0.02</v>
      </c>
    </row>
    <row r="7743" spans="19:19" x14ac:dyDescent="0.25">
      <c r="S7743" s="24">
        <f t="shared" si="424"/>
        <v>0.02</v>
      </c>
    </row>
    <row r="7744" spans="19:19" x14ac:dyDescent="0.25">
      <c r="S7744" s="24">
        <f t="shared" si="424"/>
        <v>0.02</v>
      </c>
    </row>
    <row r="7745" spans="19:19" x14ac:dyDescent="0.25">
      <c r="S7745" s="24">
        <f t="shared" si="424"/>
        <v>0.02</v>
      </c>
    </row>
    <row r="7746" spans="19:19" x14ac:dyDescent="0.25">
      <c r="S7746" s="24">
        <f t="shared" si="424"/>
        <v>0.02</v>
      </c>
    </row>
    <row r="7747" spans="19:19" x14ac:dyDescent="0.25">
      <c r="S7747" s="24">
        <f t="shared" si="424"/>
        <v>0.02</v>
      </c>
    </row>
    <row r="7748" spans="19:19" x14ac:dyDescent="0.25">
      <c r="S7748" s="24">
        <f t="shared" si="424"/>
        <v>0.02</v>
      </c>
    </row>
    <row r="7749" spans="19:19" x14ac:dyDescent="0.25">
      <c r="S7749" s="24">
        <f t="shared" si="424"/>
        <v>0.02</v>
      </c>
    </row>
    <row r="7750" spans="19:19" x14ac:dyDescent="0.25">
      <c r="S7750" s="24">
        <f t="shared" si="424"/>
        <v>0.02</v>
      </c>
    </row>
    <row r="7751" spans="19:19" x14ac:dyDescent="0.25">
      <c r="S7751" s="24">
        <f t="shared" si="424"/>
        <v>0.02</v>
      </c>
    </row>
    <row r="7752" spans="19:19" x14ac:dyDescent="0.25">
      <c r="S7752" s="24">
        <f t="shared" si="424"/>
        <v>0.02</v>
      </c>
    </row>
    <row r="7753" spans="19:19" x14ac:dyDescent="0.25">
      <c r="S7753" s="24">
        <f t="shared" si="424"/>
        <v>0.02</v>
      </c>
    </row>
    <row r="7754" spans="19:19" x14ac:dyDescent="0.25">
      <c r="S7754" s="24">
        <f t="shared" si="424"/>
        <v>0.02</v>
      </c>
    </row>
    <row r="7755" spans="19:19" x14ac:dyDescent="0.25">
      <c r="S7755" s="24">
        <f t="shared" ref="S7755:S7818" si="425">VLOOKUP(N7755,$T$1:$U$7,2,TRUE)</f>
        <v>0.02</v>
      </c>
    </row>
    <row r="7756" spans="19:19" x14ac:dyDescent="0.25">
      <c r="S7756" s="24">
        <f t="shared" si="425"/>
        <v>0.02</v>
      </c>
    </row>
    <row r="7757" spans="19:19" x14ac:dyDescent="0.25">
      <c r="S7757" s="24">
        <f t="shared" si="425"/>
        <v>0.02</v>
      </c>
    </row>
    <row r="7758" spans="19:19" x14ac:dyDescent="0.25">
      <c r="S7758" s="24">
        <f t="shared" si="425"/>
        <v>0.02</v>
      </c>
    </row>
    <row r="7759" spans="19:19" x14ac:dyDescent="0.25">
      <c r="S7759" s="24">
        <f t="shared" si="425"/>
        <v>0.02</v>
      </c>
    </row>
    <row r="7760" spans="19:19" x14ac:dyDescent="0.25">
      <c r="S7760" s="24">
        <f t="shared" si="425"/>
        <v>0.02</v>
      </c>
    </row>
    <row r="7761" spans="19:19" x14ac:dyDescent="0.25">
      <c r="S7761" s="24">
        <f t="shared" si="425"/>
        <v>0.02</v>
      </c>
    </row>
    <row r="7762" spans="19:19" x14ac:dyDescent="0.25">
      <c r="S7762" s="24">
        <f t="shared" si="425"/>
        <v>0.02</v>
      </c>
    </row>
    <row r="7763" spans="19:19" x14ac:dyDescent="0.25">
      <c r="S7763" s="24">
        <f t="shared" si="425"/>
        <v>0.02</v>
      </c>
    </row>
    <row r="7764" spans="19:19" x14ac:dyDescent="0.25">
      <c r="S7764" s="24">
        <f t="shared" si="425"/>
        <v>0.02</v>
      </c>
    </row>
    <row r="7765" spans="19:19" x14ac:dyDescent="0.25">
      <c r="S7765" s="24">
        <f t="shared" si="425"/>
        <v>0.02</v>
      </c>
    </row>
    <row r="7766" spans="19:19" x14ac:dyDescent="0.25">
      <c r="S7766" s="24">
        <f t="shared" si="425"/>
        <v>0.02</v>
      </c>
    </row>
    <row r="7767" spans="19:19" x14ac:dyDescent="0.25">
      <c r="S7767" s="24">
        <f t="shared" si="425"/>
        <v>0.02</v>
      </c>
    </row>
    <row r="7768" spans="19:19" x14ac:dyDescent="0.25">
      <c r="S7768" s="24">
        <f t="shared" si="425"/>
        <v>0.02</v>
      </c>
    </row>
    <row r="7769" spans="19:19" x14ac:dyDescent="0.25">
      <c r="S7769" s="24">
        <f t="shared" si="425"/>
        <v>0.02</v>
      </c>
    </row>
    <row r="7770" spans="19:19" x14ac:dyDescent="0.25">
      <c r="S7770" s="24">
        <f t="shared" si="425"/>
        <v>0.02</v>
      </c>
    </row>
    <row r="7771" spans="19:19" x14ac:dyDescent="0.25">
      <c r="S7771" s="24">
        <f t="shared" si="425"/>
        <v>0.02</v>
      </c>
    </row>
    <row r="7772" spans="19:19" x14ac:dyDescent="0.25">
      <c r="S7772" s="24">
        <f t="shared" si="425"/>
        <v>0.02</v>
      </c>
    </row>
    <row r="7773" spans="19:19" x14ac:dyDescent="0.25">
      <c r="S7773" s="24">
        <f t="shared" si="425"/>
        <v>0.02</v>
      </c>
    </row>
    <row r="7774" spans="19:19" x14ac:dyDescent="0.25">
      <c r="S7774" s="24">
        <f t="shared" si="425"/>
        <v>0.02</v>
      </c>
    </row>
    <row r="7775" spans="19:19" x14ac:dyDescent="0.25">
      <c r="S7775" s="24">
        <f t="shared" si="425"/>
        <v>0.02</v>
      </c>
    </row>
    <row r="7776" spans="19:19" x14ac:dyDescent="0.25">
      <c r="S7776" s="24">
        <f t="shared" si="425"/>
        <v>0.02</v>
      </c>
    </row>
    <row r="7777" spans="19:19" x14ac:dyDescent="0.25">
      <c r="S7777" s="24">
        <f t="shared" si="425"/>
        <v>0.02</v>
      </c>
    </row>
    <row r="7778" spans="19:19" x14ac:dyDescent="0.25">
      <c r="S7778" s="24">
        <f t="shared" si="425"/>
        <v>0.02</v>
      </c>
    </row>
    <row r="7779" spans="19:19" x14ac:dyDescent="0.25">
      <c r="S7779" s="24">
        <f t="shared" si="425"/>
        <v>0.02</v>
      </c>
    </row>
    <row r="7780" spans="19:19" x14ac:dyDescent="0.25">
      <c r="S7780" s="24">
        <f t="shared" si="425"/>
        <v>0.02</v>
      </c>
    </row>
    <row r="7781" spans="19:19" x14ac:dyDescent="0.25">
      <c r="S7781" s="24">
        <f t="shared" si="425"/>
        <v>0.02</v>
      </c>
    </row>
    <row r="7782" spans="19:19" x14ac:dyDescent="0.25">
      <c r="S7782" s="24">
        <f t="shared" si="425"/>
        <v>0.02</v>
      </c>
    </row>
    <row r="7783" spans="19:19" x14ac:dyDescent="0.25">
      <c r="S7783" s="24">
        <f t="shared" si="425"/>
        <v>0.02</v>
      </c>
    </row>
    <row r="7784" spans="19:19" x14ac:dyDescent="0.25">
      <c r="S7784" s="24">
        <f t="shared" si="425"/>
        <v>0.02</v>
      </c>
    </row>
    <row r="7785" spans="19:19" x14ac:dyDescent="0.25">
      <c r="S7785" s="24">
        <f t="shared" si="425"/>
        <v>0.02</v>
      </c>
    </row>
    <row r="7786" spans="19:19" x14ac:dyDescent="0.25">
      <c r="S7786" s="24">
        <f t="shared" si="425"/>
        <v>0.02</v>
      </c>
    </row>
    <row r="7787" spans="19:19" x14ac:dyDescent="0.25">
      <c r="S7787" s="24">
        <f t="shared" si="425"/>
        <v>0.02</v>
      </c>
    </row>
    <row r="7788" spans="19:19" x14ac:dyDescent="0.25">
      <c r="S7788" s="24">
        <f t="shared" si="425"/>
        <v>0.02</v>
      </c>
    </row>
    <row r="7789" spans="19:19" x14ac:dyDescent="0.25">
      <c r="S7789" s="24">
        <f t="shared" si="425"/>
        <v>0.02</v>
      </c>
    </row>
    <row r="7790" spans="19:19" x14ac:dyDescent="0.25">
      <c r="S7790" s="24">
        <f t="shared" si="425"/>
        <v>0.02</v>
      </c>
    </row>
    <row r="7791" spans="19:19" x14ac:dyDescent="0.25">
      <c r="S7791" s="24">
        <f t="shared" si="425"/>
        <v>0.02</v>
      </c>
    </row>
    <row r="7792" spans="19:19" x14ac:dyDescent="0.25">
      <c r="S7792" s="24">
        <f t="shared" si="425"/>
        <v>0.02</v>
      </c>
    </row>
    <row r="7793" spans="19:19" x14ac:dyDescent="0.25">
      <c r="S7793" s="24">
        <f t="shared" si="425"/>
        <v>0.02</v>
      </c>
    </row>
    <row r="7794" spans="19:19" x14ac:dyDescent="0.25">
      <c r="S7794" s="24">
        <f t="shared" si="425"/>
        <v>0.02</v>
      </c>
    </row>
    <row r="7795" spans="19:19" x14ac:dyDescent="0.25">
      <c r="S7795" s="24">
        <f t="shared" si="425"/>
        <v>0.02</v>
      </c>
    </row>
    <row r="7796" spans="19:19" x14ac:dyDescent="0.25">
      <c r="S7796" s="24">
        <f t="shared" si="425"/>
        <v>0.02</v>
      </c>
    </row>
    <row r="7797" spans="19:19" x14ac:dyDescent="0.25">
      <c r="S7797" s="24">
        <f t="shared" si="425"/>
        <v>0.02</v>
      </c>
    </row>
    <row r="7798" spans="19:19" x14ac:dyDescent="0.25">
      <c r="S7798" s="24">
        <f t="shared" si="425"/>
        <v>0.02</v>
      </c>
    </row>
    <row r="7799" spans="19:19" x14ac:dyDescent="0.25">
      <c r="S7799" s="24">
        <f t="shared" si="425"/>
        <v>0.02</v>
      </c>
    </row>
    <row r="7800" spans="19:19" x14ac:dyDescent="0.25">
      <c r="S7800" s="24">
        <f t="shared" si="425"/>
        <v>0.02</v>
      </c>
    </row>
    <row r="7801" spans="19:19" x14ac:dyDescent="0.25">
      <c r="S7801" s="24">
        <f t="shared" si="425"/>
        <v>0.02</v>
      </c>
    </row>
    <row r="7802" spans="19:19" x14ac:dyDescent="0.25">
      <c r="S7802" s="24">
        <f t="shared" si="425"/>
        <v>0.02</v>
      </c>
    </row>
    <row r="7803" spans="19:19" x14ac:dyDescent="0.25">
      <c r="S7803" s="24">
        <f t="shared" si="425"/>
        <v>0.02</v>
      </c>
    </row>
    <row r="7804" spans="19:19" x14ac:dyDescent="0.25">
      <c r="S7804" s="24">
        <f t="shared" si="425"/>
        <v>0.02</v>
      </c>
    </row>
    <row r="7805" spans="19:19" x14ac:dyDescent="0.25">
      <c r="S7805" s="24">
        <f t="shared" si="425"/>
        <v>0.02</v>
      </c>
    </row>
    <row r="7806" spans="19:19" x14ac:dyDescent="0.25">
      <c r="S7806" s="24">
        <f t="shared" si="425"/>
        <v>0.02</v>
      </c>
    </row>
    <row r="7807" spans="19:19" x14ac:dyDescent="0.25">
      <c r="S7807" s="24">
        <f t="shared" si="425"/>
        <v>0.02</v>
      </c>
    </row>
    <row r="7808" spans="19:19" x14ac:dyDescent="0.25">
      <c r="S7808" s="24">
        <f t="shared" si="425"/>
        <v>0.02</v>
      </c>
    </row>
    <row r="7809" spans="19:19" x14ac:dyDescent="0.25">
      <c r="S7809" s="24">
        <f t="shared" si="425"/>
        <v>0.02</v>
      </c>
    </row>
    <row r="7810" spans="19:19" x14ac:dyDescent="0.25">
      <c r="S7810" s="24">
        <f t="shared" si="425"/>
        <v>0.02</v>
      </c>
    </row>
    <row r="7811" spans="19:19" x14ac:dyDescent="0.25">
      <c r="S7811" s="24">
        <f t="shared" si="425"/>
        <v>0.02</v>
      </c>
    </row>
    <row r="7812" spans="19:19" x14ac:dyDescent="0.25">
      <c r="S7812" s="24">
        <f t="shared" si="425"/>
        <v>0.02</v>
      </c>
    </row>
    <row r="7813" spans="19:19" x14ac:dyDescent="0.25">
      <c r="S7813" s="24">
        <f t="shared" si="425"/>
        <v>0.02</v>
      </c>
    </row>
    <row r="7814" spans="19:19" x14ac:dyDescent="0.25">
      <c r="S7814" s="24">
        <f t="shared" si="425"/>
        <v>0.02</v>
      </c>
    </row>
    <row r="7815" spans="19:19" x14ac:dyDescent="0.25">
      <c r="S7815" s="24">
        <f t="shared" si="425"/>
        <v>0.02</v>
      </c>
    </row>
    <row r="7816" spans="19:19" x14ac:dyDescent="0.25">
      <c r="S7816" s="24">
        <f t="shared" si="425"/>
        <v>0.02</v>
      </c>
    </row>
    <row r="7817" spans="19:19" x14ac:dyDescent="0.25">
      <c r="S7817" s="24">
        <f t="shared" si="425"/>
        <v>0.02</v>
      </c>
    </row>
    <row r="7818" spans="19:19" x14ac:dyDescent="0.25">
      <c r="S7818" s="24">
        <f t="shared" si="425"/>
        <v>0.02</v>
      </c>
    </row>
    <row r="7819" spans="19:19" x14ac:dyDescent="0.25">
      <c r="S7819" s="24">
        <f t="shared" ref="S7819:S7882" si="426">VLOOKUP(N7819,$T$1:$U$7,2,TRUE)</f>
        <v>0.02</v>
      </c>
    </row>
    <row r="7820" spans="19:19" x14ac:dyDescent="0.25">
      <c r="S7820" s="24">
        <f t="shared" si="426"/>
        <v>0.02</v>
      </c>
    </row>
    <row r="7821" spans="19:19" x14ac:dyDescent="0.25">
      <c r="S7821" s="24">
        <f t="shared" si="426"/>
        <v>0.02</v>
      </c>
    </row>
    <row r="7822" spans="19:19" x14ac:dyDescent="0.25">
      <c r="S7822" s="24">
        <f t="shared" si="426"/>
        <v>0.02</v>
      </c>
    </row>
    <row r="7823" spans="19:19" x14ac:dyDescent="0.25">
      <c r="S7823" s="24">
        <f t="shared" si="426"/>
        <v>0.02</v>
      </c>
    </row>
    <row r="7824" spans="19:19" x14ac:dyDescent="0.25">
      <c r="S7824" s="24">
        <f t="shared" si="426"/>
        <v>0.02</v>
      </c>
    </row>
    <row r="7825" spans="19:19" x14ac:dyDescent="0.25">
      <c r="S7825" s="24">
        <f t="shared" si="426"/>
        <v>0.02</v>
      </c>
    </row>
    <row r="7826" spans="19:19" x14ac:dyDescent="0.25">
      <c r="S7826" s="24">
        <f t="shared" si="426"/>
        <v>0.02</v>
      </c>
    </row>
    <row r="7827" spans="19:19" x14ac:dyDescent="0.25">
      <c r="S7827" s="24">
        <f t="shared" si="426"/>
        <v>0.02</v>
      </c>
    </row>
    <row r="7828" spans="19:19" x14ac:dyDescent="0.25">
      <c r="S7828" s="24">
        <f t="shared" si="426"/>
        <v>0.02</v>
      </c>
    </row>
    <row r="7829" spans="19:19" x14ac:dyDescent="0.25">
      <c r="S7829" s="24">
        <f t="shared" si="426"/>
        <v>0.02</v>
      </c>
    </row>
    <row r="7830" spans="19:19" x14ac:dyDescent="0.25">
      <c r="S7830" s="24">
        <f t="shared" si="426"/>
        <v>0.02</v>
      </c>
    </row>
    <row r="7831" spans="19:19" x14ac:dyDescent="0.25">
      <c r="S7831" s="24">
        <f t="shared" si="426"/>
        <v>0.02</v>
      </c>
    </row>
    <row r="7832" spans="19:19" x14ac:dyDescent="0.25">
      <c r="S7832" s="24">
        <f t="shared" si="426"/>
        <v>0.02</v>
      </c>
    </row>
    <row r="7833" spans="19:19" x14ac:dyDescent="0.25">
      <c r="S7833" s="24">
        <f t="shared" si="426"/>
        <v>0.02</v>
      </c>
    </row>
    <row r="7834" spans="19:19" x14ac:dyDescent="0.25">
      <c r="S7834" s="24">
        <f t="shared" si="426"/>
        <v>0.02</v>
      </c>
    </row>
    <row r="7835" spans="19:19" x14ac:dyDescent="0.25">
      <c r="S7835" s="24">
        <f t="shared" si="426"/>
        <v>0.02</v>
      </c>
    </row>
    <row r="7836" spans="19:19" x14ac:dyDescent="0.25">
      <c r="S7836" s="24">
        <f t="shared" si="426"/>
        <v>0.02</v>
      </c>
    </row>
    <row r="7837" spans="19:19" x14ac:dyDescent="0.25">
      <c r="S7837" s="24">
        <f t="shared" si="426"/>
        <v>0.02</v>
      </c>
    </row>
    <row r="7838" spans="19:19" x14ac:dyDescent="0.25">
      <c r="S7838" s="24">
        <f t="shared" si="426"/>
        <v>0.02</v>
      </c>
    </row>
    <row r="7839" spans="19:19" x14ac:dyDescent="0.25">
      <c r="S7839" s="24">
        <f t="shared" si="426"/>
        <v>0.02</v>
      </c>
    </row>
    <row r="7840" spans="19:19" x14ac:dyDescent="0.25">
      <c r="S7840" s="24">
        <f t="shared" si="426"/>
        <v>0.02</v>
      </c>
    </row>
    <row r="7841" spans="19:19" x14ac:dyDescent="0.25">
      <c r="S7841" s="24">
        <f t="shared" si="426"/>
        <v>0.02</v>
      </c>
    </row>
    <row r="7842" spans="19:19" x14ac:dyDescent="0.25">
      <c r="S7842" s="24">
        <f t="shared" si="426"/>
        <v>0.02</v>
      </c>
    </row>
    <row r="7843" spans="19:19" x14ac:dyDescent="0.25">
      <c r="S7843" s="24">
        <f t="shared" si="426"/>
        <v>0.02</v>
      </c>
    </row>
    <row r="7844" spans="19:19" x14ac:dyDescent="0.25">
      <c r="S7844" s="24">
        <f t="shared" si="426"/>
        <v>0.02</v>
      </c>
    </row>
    <row r="7845" spans="19:19" x14ac:dyDescent="0.25">
      <c r="S7845" s="24">
        <f t="shared" si="426"/>
        <v>0.02</v>
      </c>
    </row>
    <row r="7846" spans="19:19" x14ac:dyDescent="0.25">
      <c r="S7846" s="24">
        <f t="shared" si="426"/>
        <v>0.02</v>
      </c>
    </row>
    <row r="7847" spans="19:19" x14ac:dyDescent="0.25">
      <c r="S7847" s="24">
        <f t="shared" si="426"/>
        <v>0.02</v>
      </c>
    </row>
    <row r="7848" spans="19:19" x14ac:dyDescent="0.25">
      <c r="S7848" s="24">
        <f t="shared" si="426"/>
        <v>0.02</v>
      </c>
    </row>
    <row r="7849" spans="19:19" x14ac:dyDescent="0.25">
      <c r="S7849" s="24">
        <f t="shared" si="426"/>
        <v>0.02</v>
      </c>
    </row>
    <row r="7850" spans="19:19" x14ac:dyDescent="0.25">
      <c r="S7850" s="24">
        <f t="shared" si="426"/>
        <v>0.02</v>
      </c>
    </row>
    <row r="7851" spans="19:19" x14ac:dyDescent="0.25">
      <c r="S7851" s="24">
        <f t="shared" si="426"/>
        <v>0.02</v>
      </c>
    </row>
    <row r="7852" spans="19:19" x14ac:dyDescent="0.25">
      <c r="S7852" s="24">
        <f t="shared" si="426"/>
        <v>0.02</v>
      </c>
    </row>
    <row r="7853" spans="19:19" x14ac:dyDescent="0.25">
      <c r="S7853" s="24">
        <f t="shared" si="426"/>
        <v>0.02</v>
      </c>
    </row>
    <row r="7854" spans="19:19" x14ac:dyDescent="0.25">
      <c r="S7854" s="24">
        <f t="shared" si="426"/>
        <v>0.02</v>
      </c>
    </row>
    <row r="7855" spans="19:19" x14ac:dyDescent="0.25">
      <c r="S7855" s="24">
        <f t="shared" si="426"/>
        <v>0.02</v>
      </c>
    </row>
    <row r="7856" spans="19:19" x14ac:dyDescent="0.25">
      <c r="S7856" s="24">
        <f t="shared" si="426"/>
        <v>0.02</v>
      </c>
    </row>
    <row r="7857" spans="19:19" x14ac:dyDescent="0.25">
      <c r="S7857" s="24">
        <f t="shared" si="426"/>
        <v>0.02</v>
      </c>
    </row>
    <row r="7858" spans="19:19" x14ac:dyDescent="0.25">
      <c r="S7858" s="24">
        <f t="shared" si="426"/>
        <v>0.02</v>
      </c>
    </row>
    <row r="7859" spans="19:19" x14ac:dyDescent="0.25">
      <c r="S7859" s="24">
        <f t="shared" si="426"/>
        <v>0.02</v>
      </c>
    </row>
    <row r="7860" spans="19:19" x14ac:dyDescent="0.25">
      <c r="S7860" s="24">
        <f t="shared" si="426"/>
        <v>0.02</v>
      </c>
    </row>
    <row r="7861" spans="19:19" x14ac:dyDescent="0.25">
      <c r="S7861" s="24">
        <f t="shared" si="426"/>
        <v>0.02</v>
      </c>
    </row>
    <row r="7862" spans="19:19" x14ac:dyDescent="0.25">
      <c r="S7862" s="24">
        <f t="shared" si="426"/>
        <v>0.02</v>
      </c>
    </row>
    <row r="7863" spans="19:19" x14ac:dyDescent="0.25">
      <c r="S7863" s="24">
        <f t="shared" si="426"/>
        <v>0.02</v>
      </c>
    </row>
    <row r="7864" spans="19:19" x14ac:dyDescent="0.25">
      <c r="S7864" s="24">
        <f t="shared" si="426"/>
        <v>0.02</v>
      </c>
    </row>
    <row r="7865" spans="19:19" x14ac:dyDescent="0.25">
      <c r="S7865" s="24">
        <f t="shared" si="426"/>
        <v>0.02</v>
      </c>
    </row>
    <row r="7866" spans="19:19" x14ac:dyDescent="0.25">
      <c r="S7866" s="24">
        <f t="shared" si="426"/>
        <v>0.02</v>
      </c>
    </row>
    <row r="7867" spans="19:19" x14ac:dyDescent="0.25">
      <c r="S7867" s="24">
        <f t="shared" si="426"/>
        <v>0.02</v>
      </c>
    </row>
    <row r="7868" spans="19:19" x14ac:dyDescent="0.25">
      <c r="S7868" s="24">
        <f t="shared" si="426"/>
        <v>0.02</v>
      </c>
    </row>
    <row r="7869" spans="19:19" x14ac:dyDescent="0.25">
      <c r="S7869" s="24">
        <f t="shared" si="426"/>
        <v>0.02</v>
      </c>
    </row>
    <row r="7870" spans="19:19" x14ac:dyDescent="0.25">
      <c r="S7870" s="24">
        <f t="shared" si="426"/>
        <v>0.02</v>
      </c>
    </row>
    <row r="7871" spans="19:19" x14ac:dyDescent="0.25">
      <c r="S7871" s="24">
        <f t="shared" si="426"/>
        <v>0.02</v>
      </c>
    </row>
    <row r="7872" spans="19:19" x14ac:dyDescent="0.25">
      <c r="S7872" s="24">
        <f t="shared" si="426"/>
        <v>0.02</v>
      </c>
    </row>
    <row r="7873" spans="19:19" x14ac:dyDescent="0.25">
      <c r="S7873" s="24">
        <f t="shared" si="426"/>
        <v>0.02</v>
      </c>
    </row>
    <row r="7874" spans="19:19" x14ac:dyDescent="0.25">
      <c r="S7874" s="24">
        <f t="shared" si="426"/>
        <v>0.02</v>
      </c>
    </row>
    <row r="7875" spans="19:19" x14ac:dyDescent="0.25">
      <c r="S7875" s="24">
        <f t="shared" si="426"/>
        <v>0.02</v>
      </c>
    </row>
    <row r="7876" spans="19:19" x14ac:dyDescent="0.25">
      <c r="S7876" s="24">
        <f t="shared" si="426"/>
        <v>0.02</v>
      </c>
    </row>
    <row r="7877" spans="19:19" x14ac:dyDescent="0.25">
      <c r="S7877" s="24">
        <f t="shared" si="426"/>
        <v>0.02</v>
      </c>
    </row>
    <row r="7878" spans="19:19" x14ac:dyDescent="0.25">
      <c r="S7878" s="24">
        <f t="shared" si="426"/>
        <v>0.02</v>
      </c>
    </row>
    <row r="7879" spans="19:19" x14ac:dyDescent="0.25">
      <c r="S7879" s="24">
        <f t="shared" si="426"/>
        <v>0.02</v>
      </c>
    </row>
    <row r="7880" spans="19:19" x14ac:dyDescent="0.25">
      <c r="S7880" s="24">
        <f t="shared" si="426"/>
        <v>0.02</v>
      </c>
    </row>
    <row r="7881" spans="19:19" x14ac:dyDescent="0.25">
      <c r="S7881" s="24">
        <f t="shared" si="426"/>
        <v>0.02</v>
      </c>
    </row>
    <row r="7882" spans="19:19" x14ac:dyDescent="0.25">
      <c r="S7882" s="24">
        <f t="shared" si="426"/>
        <v>0.02</v>
      </c>
    </row>
    <row r="7883" spans="19:19" x14ac:dyDescent="0.25">
      <c r="S7883" s="24">
        <f t="shared" ref="S7883:S7946" si="427">VLOOKUP(N7883,$T$1:$U$7,2,TRUE)</f>
        <v>0.02</v>
      </c>
    </row>
    <row r="7884" spans="19:19" x14ac:dyDescent="0.25">
      <c r="S7884" s="24">
        <f t="shared" si="427"/>
        <v>0.02</v>
      </c>
    </row>
    <row r="7885" spans="19:19" x14ac:dyDescent="0.25">
      <c r="S7885" s="24">
        <f t="shared" si="427"/>
        <v>0.02</v>
      </c>
    </row>
    <row r="7886" spans="19:19" x14ac:dyDescent="0.25">
      <c r="S7886" s="24">
        <f t="shared" si="427"/>
        <v>0.02</v>
      </c>
    </row>
    <row r="7887" spans="19:19" x14ac:dyDescent="0.25">
      <c r="S7887" s="24">
        <f t="shared" si="427"/>
        <v>0.02</v>
      </c>
    </row>
    <row r="7888" spans="19:19" x14ac:dyDescent="0.25">
      <c r="S7888" s="24">
        <f t="shared" si="427"/>
        <v>0.02</v>
      </c>
    </row>
    <row r="7889" spans="19:19" x14ac:dyDescent="0.25">
      <c r="S7889" s="24">
        <f t="shared" si="427"/>
        <v>0.02</v>
      </c>
    </row>
    <row r="7890" spans="19:19" x14ac:dyDescent="0.25">
      <c r="S7890" s="24">
        <f t="shared" si="427"/>
        <v>0.02</v>
      </c>
    </row>
    <row r="7891" spans="19:19" x14ac:dyDescent="0.25">
      <c r="S7891" s="24">
        <f t="shared" si="427"/>
        <v>0.02</v>
      </c>
    </row>
    <row r="7892" spans="19:19" x14ac:dyDescent="0.25">
      <c r="S7892" s="24">
        <f t="shared" si="427"/>
        <v>0.02</v>
      </c>
    </row>
    <row r="7893" spans="19:19" x14ac:dyDescent="0.25">
      <c r="S7893" s="24">
        <f t="shared" si="427"/>
        <v>0.02</v>
      </c>
    </row>
    <row r="7894" spans="19:19" x14ac:dyDescent="0.25">
      <c r="S7894" s="24">
        <f t="shared" si="427"/>
        <v>0.02</v>
      </c>
    </row>
    <row r="7895" spans="19:19" x14ac:dyDescent="0.25">
      <c r="S7895" s="24">
        <f t="shared" si="427"/>
        <v>0.02</v>
      </c>
    </row>
    <row r="7896" spans="19:19" x14ac:dyDescent="0.25">
      <c r="S7896" s="24">
        <f t="shared" si="427"/>
        <v>0.02</v>
      </c>
    </row>
    <row r="7897" spans="19:19" x14ac:dyDescent="0.25">
      <c r="S7897" s="24">
        <f t="shared" si="427"/>
        <v>0.02</v>
      </c>
    </row>
    <row r="7898" spans="19:19" x14ac:dyDescent="0.25">
      <c r="S7898" s="24">
        <f t="shared" si="427"/>
        <v>0.02</v>
      </c>
    </row>
    <row r="7899" spans="19:19" x14ac:dyDescent="0.25">
      <c r="S7899" s="24">
        <f t="shared" si="427"/>
        <v>0.02</v>
      </c>
    </row>
    <row r="7900" spans="19:19" x14ac:dyDescent="0.25">
      <c r="S7900" s="24">
        <f t="shared" si="427"/>
        <v>0.02</v>
      </c>
    </row>
    <row r="7901" spans="19:19" x14ac:dyDescent="0.25">
      <c r="S7901" s="24">
        <f t="shared" si="427"/>
        <v>0.02</v>
      </c>
    </row>
    <row r="7902" spans="19:19" x14ac:dyDescent="0.25">
      <c r="S7902" s="24">
        <f t="shared" si="427"/>
        <v>0.02</v>
      </c>
    </row>
    <row r="7903" spans="19:19" x14ac:dyDescent="0.25">
      <c r="S7903" s="24">
        <f t="shared" si="427"/>
        <v>0.02</v>
      </c>
    </row>
    <row r="7904" spans="19:19" x14ac:dyDescent="0.25">
      <c r="S7904" s="24">
        <f t="shared" si="427"/>
        <v>0.02</v>
      </c>
    </row>
    <row r="7905" spans="19:19" x14ac:dyDescent="0.25">
      <c r="S7905" s="24">
        <f t="shared" si="427"/>
        <v>0.02</v>
      </c>
    </row>
    <row r="7906" spans="19:19" x14ac:dyDescent="0.25">
      <c r="S7906" s="24">
        <f t="shared" si="427"/>
        <v>0.02</v>
      </c>
    </row>
    <row r="7907" spans="19:19" x14ac:dyDescent="0.25">
      <c r="S7907" s="24">
        <f t="shared" si="427"/>
        <v>0.02</v>
      </c>
    </row>
    <row r="7908" spans="19:19" x14ac:dyDescent="0.25">
      <c r="S7908" s="24">
        <f t="shared" si="427"/>
        <v>0.02</v>
      </c>
    </row>
    <row r="7909" spans="19:19" x14ac:dyDescent="0.25">
      <c r="S7909" s="24">
        <f t="shared" si="427"/>
        <v>0.02</v>
      </c>
    </row>
    <row r="7910" spans="19:19" x14ac:dyDescent="0.25">
      <c r="S7910" s="24">
        <f t="shared" si="427"/>
        <v>0.02</v>
      </c>
    </row>
    <row r="7911" spans="19:19" x14ac:dyDescent="0.25">
      <c r="S7911" s="24">
        <f t="shared" si="427"/>
        <v>0.02</v>
      </c>
    </row>
    <row r="7912" spans="19:19" x14ac:dyDescent="0.25">
      <c r="S7912" s="24">
        <f t="shared" si="427"/>
        <v>0.02</v>
      </c>
    </row>
    <row r="7913" spans="19:19" x14ac:dyDescent="0.25">
      <c r="S7913" s="24">
        <f t="shared" si="427"/>
        <v>0.02</v>
      </c>
    </row>
    <row r="7914" spans="19:19" x14ac:dyDescent="0.25">
      <c r="S7914" s="24">
        <f t="shared" si="427"/>
        <v>0.02</v>
      </c>
    </row>
    <row r="7915" spans="19:19" x14ac:dyDescent="0.25">
      <c r="S7915" s="24">
        <f t="shared" si="427"/>
        <v>0.02</v>
      </c>
    </row>
    <row r="7916" spans="19:19" x14ac:dyDescent="0.25">
      <c r="S7916" s="24">
        <f t="shared" si="427"/>
        <v>0.02</v>
      </c>
    </row>
    <row r="7917" spans="19:19" x14ac:dyDescent="0.25">
      <c r="S7917" s="24">
        <f t="shared" si="427"/>
        <v>0.02</v>
      </c>
    </row>
    <row r="7918" spans="19:19" x14ac:dyDescent="0.25">
      <c r="S7918" s="24">
        <f t="shared" si="427"/>
        <v>0.02</v>
      </c>
    </row>
    <row r="7919" spans="19:19" x14ac:dyDescent="0.25">
      <c r="S7919" s="24">
        <f t="shared" si="427"/>
        <v>0.02</v>
      </c>
    </row>
    <row r="7920" spans="19:19" x14ac:dyDescent="0.25">
      <c r="S7920" s="24">
        <f t="shared" si="427"/>
        <v>0.02</v>
      </c>
    </row>
    <row r="7921" spans="19:19" x14ac:dyDescent="0.25">
      <c r="S7921" s="24">
        <f t="shared" si="427"/>
        <v>0.02</v>
      </c>
    </row>
    <row r="7922" spans="19:19" x14ac:dyDescent="0.25">
      <c r="S7922" s="24">
        <f t="shared" si="427"/>
        <v>0.02</v>
      </c>
    </row>
    <row r="7923" spans="19:19" x14ac:dyDescent="0.25">
      <c r="S7923" s="24">
        <f t="shared" si="427"/>
        <v>0.02</v>
      </c>
    </row>
    <row r="7924" spans="19:19" x14ac:dyDescent="0.25">
      <c r="S7924" s="24">
        <f t="shared" si="427"/>
        <v>0.02</v>
      </c>
    </row>
    <row r="7925" spans="19:19" x14ac:dyDescent="0.25">
      <c r="S7925" s="24">
        <f t="shared" si="427"/>
        <v>0.02</v>
      </c>
    </row>
    <row r="7926" spans="19:19" x14ac:dyDescent="0.25">
      <c r="S7926" s="24">
        <f t="shared" si="427"/>
        <v>0.02</v>
      </c>
    </row>
    <row r="7927" spans="19:19" x14ac:dyDescent="0.25">
      <c r="S7927" s="24">
        <f t="shared" si="427"/>
        <v>0.02</v>
      </c>
    </row>
    <row r="7928" spans="19:19" x14ac:dyDescent="0.25">
      <c r="S7928" s="24">
        <f t="shared" si="427"/>
        <v>0.02</v>
      </c>
    </row>
    <row r="7929" spans="19:19" x14ac:dyDescent="0.25">
      <c r="S7929" s="24">
        <f t="shared" si="427"/>
        <v>0.02</v>
      </c>
    </row>
    <row r="7930" spans="19:19" x14ac:dyDescent="0.25">
      <c r="S7930" s="24">
        <f t="shared" si="427"/>
        <v>0.02</v>
      </c>
    </row>
    <row r="7931" spans="19:19" x14ac:dyDescent="0.25">
      <c r="S7931" s="24">
        <f t="shared" si="427"/>
        <v>0.02</v>
      </c>
    </row>
    <row r="7932" spans="19:19" x14ac:dyDescent="0.25">
      <c r="S7932" s="24">
        <f t="shared" si="427"/>
        <v>0.02</v>
      </c>
    </row>
    <row r="7933" spans="19:19" x14ac:dyDescent="0.25">
      <c r="S7933" s="24">
        <f t="shared" si="427"/>
        <v>0.02</v>
      </c>
    </row>
    <row r="7934" spans="19:19" x14ac:dyDescent="0.25">
      <c r="S7934" s="24">
        <f t="shared" si="427"/>
        <v>0.02</v>
      </c>
    </row>
    <row r="7935" spans="19:19" x14ac:dyDescent="0.25">
      <c r="S7935" s="24">
        <f t="shared" si="427"/>
        <v>0.02</v>
      </c>
    </row>
    <row r="7936" spans="19:19" x14ac:dyDescent="0.25">
      <c r="S7936" s="24">
        <f t="shared" si="427"/>
        <v>0.02</v>
      </c>
    </row>
    <row r="7937" spans="19:19" x14ac:dyDescent="0.25">
      <c r="S7937" s="24">
        <f t="shared" si="427"/>
        <v>0.02</v>
      </c>
    </row>
    <row r="7938" spans="19:19" x14ac:dyDescent="0.25">
      <c r="S7938" s="24">
        <f t="shared" si="427"/>
        <v>0.02</v>
      </c>
    </row>
    <row r="7939" spans="19:19" x14ac:dyDescent="0.25">
      <c r="S7939" s="24">
        <f t="shared" si="427"/>
        <v>0.02</v>
      </c>
    </row>
    <row r="7940" spans="19:19" x14ac:dyDescent="0.25">
      <c r="S7940" s="24">
        <f t="shared" si="427"/>
        <v>0.02</v>
      </c>
    </row>
    <row r="7941" spans="19:19" x14ac:dyDescent="0.25">
      <c r="S7941" s="24">
        <f t="shared" si="427"/>
        <v>0.02</v>
      </c>
    </row>
    <row r="7942" spans="19:19" x14ac:dyDescent="0.25">
      <c r="S7942" s="24">
        <f t="shared" si="427"/>
        <v>0.02</v>
      </c>
    </row>
    <row r="7943" spans="19:19" x14ac:dyDescent="0.25">
      <c r="S7943" s="24">
        <f t="shared" si="427"/>
        <v>0.02</v>
      </c>
    </row>
    <row r="7944" spans="19:19" x14ac:dyDescent="0.25">
      <c r="S7944" s="24">
        <f t="shared" si="427"/>
        <v>0.02</v>
      </c>
    </row>
    <row r="7945" spans="19:19" x14ac:dyDescent="0.25">
      <c r="S7945" s="24">
        <f t="shared" si="427"/>
        <v>0.02</v>
      </c>
    </row>
    <row r="7946" spans="19:19" x14ac:dyDescent="0.25">
      <c r="S7946" s="24">
        <f t="shared" si="427"/>
        <v>0.02</v>
      </c>
    </row>
    <row r="7947" spans="19:19" x14ac:dyDescent="0.25">
      <c r="S7947" s="24">
        <f t="shared" ref="S7947:S8010" si="428">VLOOKUP(N7947,$T$1:$U$7,2,TRUE)</f>
        <v>0.02</v>
      </c>
    </row>
    <row r="7948" spans="19:19" x14ac:dyDescent="0.25">
      <c r="S7948" s="24">
        <f t="shared" si="428"/>
        <v>0.02</v>
      </c>
    </row>
    <row r="7949" spans="19:19" x14ac:dyDescent="0.25">
      <c r="S7949" s="24">
        <f t="shared" si="428"/>
        <v>0.02</v>
      </c>
    </row>
    <row r="7950" spans="19:19" x14ac:dyDescent="0.25">
      <c r="S7950" s="24">
        <f t="shared" si="428"/>
        <v>0.02</v>
      </c>
    </row>
    <row r="7951" spans="19:19" x14ac:dyDescent="0.25">
      <c r="S7951" s="24">
        <f t="shared" si="428"/>
        <v>0.02</v>
      </c>
    </row>
    <row r="7952" spans="19:19" x14ac:dyDescent="0.25">
      <c r="S7952" s="24">
        <f t="shared" si="428"/>
        <v>0.02</v>
      </c>
    </row>
    <row r="7953" spans="19:19" x14ac:dyDescent="0.25">
      <c r="S7953" s="24">
        <f t="shared" si="428"/>
        <v>0.02</v>
      </c>
    </row>
    <row r="7954" spans="19:19" x14ac:dyDescent="0.25">
      <c r="S7954" s="24">
        <f t="shared" si="428"/>
        <v>0.02</v>
      </c>
    </row>
    <row r="7955" spans="19:19" x14ac:dyDescent="0.25">
      <c r="S7955" s="24">
        <f t="shared" si="428"/>
        <v>0.02</v>
      </c>
    </row>
    <row r="7956" spans="19:19" x14ac:dyDescent="0.25">
      <c r="S7956" s="24">
        <f t="shared" si="428"/>
        <v>0.02</v>
      </c>
    </row>
    <row r="7957" spans="19:19" x14ac:dyDescent="0.25">
      <c r="S7957" s="24">
        <f t="shared" si="428"/>
        <v>0.02</v>
      </c>
    </row>
    <row r="7958" spans="19:19" x14ac:dyDescent="0.25">
      <c r="S7958" s="24">
        <f t="shared" si="428"/>
        <v>0.02</v>
      </c>
    </row>
    <row r="7959" spans="19:19" x14ac:dyDescent="0.25">
      <c r="S7959" s="24">
        <f t="shared" si="428"/>
        <v>0.02</v>
      </c>
    </row>
    <row r="7960" spans="19:19" x14ac:dyDescent="0.25">
      <c r="S7960" s="24">
        <f t="shared" si="428"/>
        <v>0.02</v>
      </c>
    </row>
    <row r="7961" spans="19:19" x14ac:dyDescent="0.25">
      <c r="S7961" s="24">
        <f t="shared" si="428"/>
        <v>0.02</v>
      </c>
    </row>
    <row r="7962" spans="19:19" x14ac:dyDescent="0.25">
      <c r="S7962" s="24">
        <f t="shared" si="428"/>
        <v>0.02</v>
      </c>
    </row>
    <row r="7963" spans="19:19" x14ac:dyDescent="0.25">
      <c r="S7963" s="24">
        <f t="shared" si="428"/>
        <v>0.02</v>
      </c>
    </row>
    <row r="7964" spans="19:19" x14ac:dyDescent="0.25">
      <c r="S7964" s="24">
        <f t="shared" si="428"/>
        <v>0.02</v>
      </c>
    </row>
    <row r="7965" spans="19:19" x14ac:dyDescent="0.25">
      <c r="S7965" s="24">
        <f t="shared" si="428"/>
        <v>0.02</v>
      </c>
    </row>
    <row r="7966" spans="19:19" x14ac:dyDescent="0.25">
      <c r="S7966" s="24">
        <f t="shared" si="428"/>
        <v>0.02</v>
      </c>
    </row>
    <row r="7967" spans="19:19" x14ac:dyDescent="0.25">
      <c r="S7967" s="24">
        <f t="shared" si="428"/>
        <v>0.02</v>
      </c>
    </row>
    <row r="7968" spans="19:19" x14ac:dyDescent="0.25">
      <c r="S7968" s="24">
        <f t="shared" si="428"/>
        <v>0.02</v>
      </c>
    </row>
    <row r="7969" spans="19:19" x14ac:dyDescent="0.25">
      <c r="S7969" s="24">
        <f t="shared" si="428"/>
        <v>0.02</v>
      </c>
    </row>
    <row r="7970" spans="19:19" x14ac:dyDescent="0.25">
      <c r="S7970" s="24">
        <f t="shared" si="428"/>
        <v>0.02</v>
      </c>
    </row>
    <row r="7971" spans="19:19" x14ac:dyDescent="0.25">
      <c r="S7971" s="24">
        <f t="shared" si="428"/>
        <v>0.02</v>
      </c>
    </row>
    <row r="7972" spans="19:19" x14ac:dyDescent="0.25">
      <c r="S7972" s="24">
        <f t="shared" si="428"/>
        <v>0.02</v>
      </c>
    </row>
    <row r="7973" spans="19:19" x14ac:dyDescent="0.25">
      <c r="S7973" s="24">
        <f t="shared" si="428"/>
        <v>0.02</v>
      </c>
    </row>
    <row r="7974" spans="19:19" x14ac:dyDescent="0.25">
      <c r="S7974" s="24">
        <f t="shared" si="428"/>
        <v>0.02</v>
      </c>
    </row>
    <row r="7975" spans="19:19" x14ac:dyDescent="0.25">
      <c r="S7975" s="24">
        <f t="shared" si="428"/>
        <v>0.02</v>
      </c>
    </row>
    <row r="7976" spans="19:19" x14ac:dyDescent="0.25">
      <c r="S7976" s="24">
        <f t="shared" si="428"/>
        <v>0.02</v>
      </c>
    </row>
    <row r="7977" spans="19:19" x14ac:dyDescent="0.25">
      <c r="S7977" s="24">
        <f t="shared" si="428"/>
        <v>0.02</v>
      </c>
    </row>
    <row r="7978" spans="19:19" x14ac:dyDescent="0.25">
      <c r="S7978" s="24">
        <f t="shared" si="428"/>
        <v>0.02</v>
      </c>
    </row>
    <row r="7979" spans="19:19" x14ac:dyDescent="0.25">
      <c r="S7979" s="24">
        <f t="shared" si="428"/>
        <v>0.02</v>
      </c>
    </row>
    <row r="7980" spans="19:19" x14ac:dyDescent="0.25">
      <c r="S7980" s="24">
        <f t="shared" si="428"/>
        <v>0.02</v>
      </c>
    </row>
    <row r="7981" spans="19:19" x14ac:dyDescent="0.25">
      <c r="S7981" s="24">
        <f t="shared" si="428"/>
        <v>0.02</v>
      </c>
    </row>
    <row r="7982" spans="19:19" x14ac:dyDescent="0.25">
      <c r="S7982" s="24">
        <f t="shared" si="428"/>
        <v>0.02</v>
      </c>
    </row>
    <row r="7983" spans="19:19" x14ac:dyDescent="0.25">
      <c r="S7983" s="24">
        <f t="shared" si="428"/>
        <v>0.02</v>
      </c>
    </row>
    <row r="7984" spans="19:19" x14ac:dyDescent="0.25">
      <c r="S7984" s="24">
        <f t="shared" si="428"/>
        <v>0.02</v>
      </c>
    </row>
    <row r="7985" spans="19:19" x14ac:dyDescent="0.25">
      <c r="S7985" s="24">
        <f t="shared" si="428"/>
        <v>0.02</v>
      </c>
    </row>
    <row r="7986" spans="19:19" x14ac:dyDescent="0.25">
      <c r="S7986" s="24">
        <f t="shared" si="428"/>
        <v>0.02</v>
      </c>
    </row>
    <row r="7987" spans="19:19" x14ac:dyDescent="0.25">
      <c r="S7987" s="24">
        <f t="shared" si="428"/>
        <v>0.02</v>
      </c>
    </row>
    <row r="7988" spans="19:19" x14ac:dyDescent="0.25">
      <c r="S7988" s="24">
        <f t="shared" si="428"/>
        <v>0.02</v>
      </c>
    </row>
    <row r="7989" spans="19:19" x14ac:dyDescent="0.25">
      <c r="S7989" s="24">
        <f t="shared" si="428"/>
        <v>0.02</v>
      </c>
    </row>
    <row r="7990" spans="19:19" x14ac:dyDescent="0.25">
      <c r="S7990" s="24">
        <f t="shared" si="428"/>
        <v>0.02</v>
      </c>
    </row>
    <row r="7991" spans="19:19" x14ac:dyDescent="0.25">
      <c r="S7991" s="24">
        <f t="shared" si="428"/>
        <v>0.02</v>
      </c>
    </row>
    <row r="7992" spans="19:19" x14ac:dyDescent="0.25">
      <c r="S7992" s="24">
        <f t="shared" si="428"/>
        <v>0.02</v>
      </c>
    </row>
    <row r="7993" spans="19:19" x14ac:dyDescent="0.25">
      <c r="S7993" s="24">
        <f t="shared" si="428"/>
        <v>0.02</v>
      </c>
    </row>
    <row r="7994" spans="19:19" x14ac:dyDescent="0.25">
      <c r="S7994" s="24">
        <f t="shared" si="428"/>
        <v>0.02</v>
      </c>
    </row>
    <row r="7995" spans="19:19" x14ac:dyDescent="0.25">
      <c r="S7995" s="24">
        <f t="shared" si="428"/>
        <v>0.02</v>
      </c>
    </row>
    <row r="7996" spans="19:19" x14ac:dyDescent="0.25">
      <c r="S7996" s="24">
        <f t="shared" si="428"/>
        <v>0.02</v>
      </c>
    </row>
    <row r="7997" spans="19:19" x14ac:dyDescent="0.25">
      <c r="S7997" s="24">
        <f t="shared" si="428"/>
        <v>0.02</v>
      </c>
    </row>
    <row r="7998" spans="19:19" x14ac:dyDescent="0.25">
      <c r="S7998" s="24">
        <f t="shared" si="428"/>
        <v>0.02</v>
      </c>
    </row>
    <row r="7999" spans="19:19" x14ac:dyDescent="0.25">
      <c r="S7999" s="24">
        <f t="shared" si="428"/>
        <v>0.02</v>
      </c>
    </row>
    <row r="8000" spans="19:19" x14ac:dyDescent="0.25">
      <c r="S8000" s="24">
        <f t="shared" si="428"/>
        <v>0.02</v>
      </c>
    </row>
    <row r="8001" spans="19:19" x14ac:dyDescent="0.25">
      <c r="S8001" s="24">
        <f t="shared" si="428"/>
        <v>0.02</v>
      </c>
    </row>
    <row r="8002" spans="19:19" x14ac:dyDescent="0.25">
      <c r="S8002" s="24">
        <f t="shared" si="428"/>
        <v>0.02</v>
      </c>
    </row>
    <row r="8003" spans="19:19" x14ac:dyDescent="0.25">
      <c r="S8003" s="24">
        <f t="shared" si="428"/>
        <v>0.02</v>
      </c>
    </row>
    <row r="8004" spans="19:19" x14ac:dyDescent="0.25">
      <c r="S8004" s="24">
        <f t="shared" si="428"/>
        <v>0.02</v>
      </c>
    </row>
    <row r="8005" spans="19:19" x14ac:dyDescent="0.25">
      <c r="S8005" s="24">
        <f t="shared" si="428"/>
        <v>0.02</v>
      </c>
    </row>
    <row r="8006" spans="19:19" x14ac:dyDescent="0.25">
      <c r="S8006" s="24">
        <f t="shared" si="428"/>
        <v>0.02</v>
      </c>
    </row>
    <row r="8007" spans="19:19" x14ac:dyDescent="0.25">
      <c r="S8007" s="24">
        <f t="shared" si="428"/>
        <v>0.02</v>
      </c>
    </row>
    <row r="8008" spans="19:19" x14ac:dyDescent="0.25">
      <c r="S8008" s="24">
        <f t="shared" si="428"/>
        <v>0.02</v>
      </c>
    </row>
    <row r="8009" spans="19:19" x14ac:dyDescent="0.25">
      <c r="S8009" s="24">
        <f t="shared" si="428"/>
        <v>0.02</v>
      </c>
    </row>
    <row r="8010" spans="19:19" x14ac:dyDescent="0.25">
      <c r="S8010" s="24">
        <f t="shared" si="428"/>
        <v>0.02</v>
      </c>
    </row>
    <row r="8011" spans="19:19" x14ac:dyDescent="0.25">
      <c r="S8011" s="24">
        <f t="shared" ref="S8011:S8074" si="429">VLOOKUP(N8011,$T$1:$U$7,2,TRUE)</f>
        <v>0.02</v>
      </c>
    </row>
    <row r="8012" spans="19:19" x14ac:dyDescent="0.25">
      <c r="S8012" s="24">
        <f t="shared" si="429"/>
        <v>0.02</v>
      </c>
    </row>
    <row r="8013" spans="19:19" x14ac:dyDescent="0.25">
      <c r="S8013" s="24">
        <f t="shared" si="429"/>
        <v>0.02</v>
      </c>
    </row>
    <row r="8014" spans="19:19" x14ac:dyDescent="0.25">
      <c r="S8014" s="24">
        <f t="shared" si="429"/>
        <v>0.02</v>
      </c>
    </row>
    <row r="8015" spans="19:19" x14ac:dyDescent="0.25">
      <c r="S8015" s="24">
        <f t="shared" si="429"/>
        <v>0.02</v>
      </c>
    </row>
    <row r="8016" spans="19:19" x14ac:dyDescent="0.25">
      <c r="S8016" s="24">
        <f t="shared" si="429"/>
        <v>0.02</v>
      </c>
    </row>
    <row r="8017" spans="19:19" x14ac:dyDescent="0.25">
      <c r="S8017" s="24">
        <f t="shared" si="429"/>
        <v>0.02</v>
      </c>
    </row>
    <row r="8018" spans="19:19" x14ac:dyDescent="0.25">
      <c r="S8018" s="24">
        <f t="shared" si="429"/>
        <v>0.02</v>
      </c>
    </row>
    <row r="8019" spans="19:19" x14ac:dyDescent="0.25">
      <c r="S8019" s="24">
        <f t="shared" si="429"/>
        <v>0.02</v>
      </c>
    </row>
    <row r="8020" spans="19:19" x14ac:dyDescent="0.25">
      <c r="S8020" s="24">
        <f t="shared" si="429"/>
        <v>0.02</v>
      </c>
    </row>
    <row r="8021" spans="19:19" x14ac:dyDescent="0.25">
      <c r="S8021" s="24">
        <f t="shared" si="429"/>
        <v>0.02</v>
      </c>
    </row>
    <row r="8022" spans="19:19" x14ac:dyDescent="0.25">
      <c r="S8022" s="24">
        <f t="shared" si="429"/>
        <v>0.02</v>
      </c>
    </row>
    <row r="8023" spans="19:19" x14ac:dyDescent="0.25">
      <c r="S8023" s="24">
        <f t="shared" si="429"/>
        <v>0.02</v>
      </c>
    </row>
    <row r="8024" spans="19:19" x14ac:dyDescent="0.25">
      <c r="S8024" s="24">
        <f t="shared" si="429"/>
        <v>0.02</v>
      </c>
    </row>
    <row r="8025" spans="19:19" x14ac:dyDescent="0.25">
      <c r="S8025" s="24">
        <f t="shared" si="429"/>
        <v>0.02</v>
      </c>
    </row>
    <row r="8026" spans="19:19" x14ac:dyDescent="0.25">
      <c r="S8026" s="24">
        <f t="shared" si="429"/>
        <v>0.02</v>
      </c>
    </row>
    <row r="8027" spans="19:19" x14ac:dyDescent="0.25">
      <c r="S8027" s="24">
        <f t="shared" si="429"/>
        <v>0.02</v>
      </c>
    </row>
    <row r="8028" spans="19:19" x14ac:dyDescent="0.25">
      <c r="S8028" s="24">
        <f t="shared" si="429"/>
        <v>0.02</v>
      </c>
    </row>
    <row r="8029" spans="19:19" x14ac:dyDescent="0.25">
      <c r="S8029" s="24">
        <f t="shared" si="429"/>
        <v>0.02</v>
      </c>
    </row>
    <row r="8030" spans="19:19" x14ac:dyDescent="0.25">
      <c r="S8030" s="24">
        <f t="shared" si="429"/>
        <v>0.02</v>
      </c>
    </row>
    <row r="8031" spans="19:19" x14ac:dyDescent="0.25">
      <c r="S8031" s="24">
        <f t="shared" si="429"/>
        <v>0.02</v>
      </c>
    </row>
    <row r="8032" spans="19:19" x14ac:dyDescent="0.25">
      <c r="S8032" s="24">
        <f t="shared" si="429"/>
        <v>0.02</v>
      </c>
    </row>
    <row r="8033" spans="19:19" x14ac:dyDescent="0.25">
      <c r="S8033" s="24">
        <f t="shared" si="429"/>
        <v>0.02</v>
      </c>
    </row>
    <row r="8034" spans="19:19" x14ac:dyDescent="0.25">
      <c r="S8034" s="24">
        <f t="shared" si="429"/>
        <v>0.02</v>
      </c>
    </row>
    <row r="8035" spans="19:19" x14ac:dyDescent="0.25">
      <c r="S8035" s="24">
        <f t="shared" si="429"/>
        <v>0.02</v>
      </c>
    </row>
    <row r="8036" spans="19:19" x14ac:dyDescent="0.25">
      <c r="S8036" s="24">
        <f t="shared" si="429"/>
        <v>0.02</v>
      </c>
    </row>
    <row r="8037" spans="19:19" x14ac:dyDescent="0.25">
      <c r="S8037" s="24">
        <f t="shared" si="429"/>
        <v>0.02</v>
      </c>
    </row>
    <row r="8038" spans="19:19" x14ac:dyDescent="0.25">
      <c r="S8038" s="24">
        <f t="shared" si="429"/>
        <v>0.02</v>
      </c>
    </row>
    <row r="8039" spans="19:19" x14ac:dyDescent="0.25">
      <c r="S8039" s="24">
        <f t="shared" si="429"/>
        <v>0.02</v>
      </c>
    </row>
    <row r="8040" spans="19:19" x14ac:dyDescent="0.25">
      <c r="S8040" s="24">
        <f t="shared" si="429"/>
        <v>0.02</v>
      </c>
    </row>
    <row r="8041" spans="19:19" x14ac:dyDescent="0.25">
      <c r="S8041" s="24">
        <f t="shared" si="429"/>
        <v>0.02</v>
      </c>
    </row>
    <row r="8042" spans="19:19" x14ac:dyDescent="0.25">
      <c r="S8042" s="24">
        <f t="shared" si="429"/>
        <v>0.02</v>
      </c>
    </row>
    <row r="8043" spans="19:19" x14ac:dyDescent="0.25">
      <c r="S8043" s="24">
        <f t="shared" si="429"/>
        <v>0.02</v>
      </c>
    </row>
    <row r="8044" spans="19:19" x14ac:dyDescent="0.25">
      <c r="S8044" s="24">
        <f t="shared" si="429"/>
        <v>0.02</v>
      </c>
    </row>
    <row r="8045" spans="19:19" x14ac:dyDescent="0.25">
      <c r="S8045" s="24">
        <f t="shared" si="429"/>
        <v>0.02</v>
      </c>
    </row>
    <row r="8046" spans="19:19" x14ac:dyDescent="0.25">
      <c r="S8046" s="24">
        <f t="shared" si="429"/>
        <v>0.02</v>
      </c>
    </row>
    <row r="8047" spans="19:19" x14ac:dyDescent="0.25">
      <c r="S8047" s="24">
        <f t="shared" si="429"/>
        <v>0.02</v>
      </c>
    </row>
    <row r="8048" spans="19:19" x14ac:dyDescent="0.25">
      <c r="S8048" s="24">
        <f t="shared" si="429"/>
        <v>0.02</v>
      </c>
    </row>
    <row r="8049" spans="19:19" x14ac:dyDescent="0.25">
      <c r="S8049" s="24">
        <f t="shared" si="429"/>
        <v>0.02</v>
      </c>
    </row>
    <row r="8050" spans="19:19" x14ac:dyDescent="0.25">
      <c r="S8050" s="24">
        <f t="shared" si="429"/>
        <v>0.02</v>
      </c>
    </row>
    <row r="8051" spans="19:19" x14ac:dyDescent="0.25">
      <c r="S8051" s="24">
        <f t="shared" si="429"/>
        <v>0.02</v>
      </c>
    </row>
    <row r="8052" spans="19:19" x14ac:dyDescent="0.25">
      <c r="S8052" s="24">
        <f t="shared" si="429"/>
        <v>0.02</v>
      </c>
    </row>
    <row r="8053" spans="19:19" x14ac:dyDescent="0.25">
      <c r="S8053" s="24">
        <f t="shared" si="429"/>
        <v>0.02</v>
      </c>
    </row>
    <row r="8054" spans="19:19" x14ac:dyDescent="0.25">
      <c r="S8054" s="24">
        <f t="shared" si="429"/>
        <v>0.02</v>
      </c>
    </row>
    <row r="8055" spans="19:19" x14ac:dyDescent="0.25">
      <c r="S8055" s="24">
        <f t="shared" si="429"/>
        <v>0.02</v>
      </c>
    </row>
    <row r="8056" spans="19:19" x14ac:dyDescent="0.25">
      <c r="S8056" s="24">
        <f t="shared" si="429"/>
        <v>0.02</v>
      </c>
    </row>
    <row r="8057" spans="19:19" x14ac:dyDescent="0.25">
      <c r="S8057" s="24">
        <f t="shared" si="429"/>
        <v>0.02</v>
      </c>
    </row>
    <row r="8058" spans="19:19" x14ac:dyDescent="0.25">
      <c r="S8058" s="24">
        <f t="shared" si="429"/>
        <v>0.02</v>
      </c>
    </row>
    <row r="8059" spans="19:19" x14ac:dyDescent="0.25">
      <c r="S8059" s="24">
        <f t="shared" si="429"/>
        <v>0.02</v>
      </c>
    </row>
    <row r="8060" spans="19:19" x14ac:dyDescent="0.25">
      <c r="S8060" s="24">
        <f t="shared" si="429"/>
        <v>0.02</v>
      </c>
    </row>
    <row r="8061" spans="19:19" x14ac:dyDescent="0.25">
      <c r="S8061" s="24">
        <f t="shared" si="429"/>
        <v>0.02</v>
      </c>
    </row>
    <row r="8062" spans="19:19" x14ac:dyDescent="0.25">
      <c r="S8062" s="24">
        <f t="shared" si="429"/>
        <v>0.02</v>
      </c>
    </row>
    <row r="8063" spans="19:19" x14ac:dyDescent="0.25">
      <c r="S8063" s="24">
        <f t="shared" si="429"/>
        <v>0.02</v>
      </c>
    </row>
    <row r="8064" spans="19:19" x14ac:dyDescent="0.25">
      <c r="S8064" s="24">
        <f t="shared" si="429"/>
        <v>0.02</v>
      </c>
    </row>
    <row r="8065" spans="19:19" x14ac:dyDescent="0.25">
      <c r="S8065" s="24">
        <f t="shared" si="429"/>
        <v>0.02</v>
      </c>
    </row>
    <row r="8066" spans="19:19" x14ac:dyDescent="0.25">
      <c r="S8066" s="24">
        <f t="shared" si="429"/>
        <v>0.02</v>
      </c>
    </row>
    <row r="8067" spans="19:19" x14ac:dyDescent="0.25">
      <c r="S8067" s="24">
        <f t="shared" si="429"/>
        <v>0.02</v>
      </c>
    </row>
    <row r="8068" spans="19:19" x14ac:dyDescent="0.25">
      <c r="S8068" s="24">
        <f t="shared" si="429"/>
        <v>0.02</v>
      </c>
    </row>
    <row r="8069" spans="19:19" x14ac:dyDescent="0.25">
      <c r="S8069" s="24">
        <f t="shared" si="429"/>
        <v>0.02</v>
      </c>
    </row>
    <row r="8070" spans="19:19" x14ac:dyDescent="0.25">
      <c r="S8070" s="24">
        <f t="shared" si="429"/>
        <v>0.02</v>
      </c>
    </row>
    <row r="8071" spans="19:19" x14ac:dyDescent="0.25">
      <c r="S8071" s="24">
        <f t="shared" si="429"/>
        <v>0.02</v>
      </c>
    </row>
    <row r="8072" spans="19:19" x14ac:dyDescent="0.25">
      <c r="S8072" s="24">
        <f t="shared" si="429"/>
        <v>0.02</v>
      </c>
    </row>
    <row r="8073" spans="19:19" x14ac:dyDescent="0.25">
      <c r="S8073" s="24">
        <f t="shared" si="429"/>
        <v>0.02</v>
      </c>
    </row>
    <row r="8074" spans="19:19" x14ac:dyDescent="0.25">
      <c r="S8074" s="24">
        <f t="shared" si="429"/>
        <v>0.02</v>
      </c>
    </row>
    <row r="8075" spans="19:19" x14ac:dyDescent="0.25">
      <c r="S8075" s="24">
        <f t="shared" ref="S8075:S8138" si="430">VLOOKUP(N8075,$T$1:$U$7,2,TRUE)</f>
        <v>0.02</v>
      </c>
    </row>
    <row r="8076" spans="19:19" x14ac:dyDescent="0.25">
      <c r="S8076" s="24">
        <f t="shared" si="430"/>
        <v>0.02</v>
      </c>
    </row>
    <row r="8077" spans="19:19" x14ac:dyDescent="0.25">
      <c r="S8077" s="24">
        <f t="shared" si="430"/>
        <v>0.02</v>
      </c>
    </row>
    <row r="8078" spans="19:19" x14ac:dyDescent="0.25">
      <c r="S8078" s="24">
        <f t="shared" si="430"/>
        <v>0.02</v>
      </c>
    </row>
    <row r="8079" spans="19:19" x14ac:dyDescent="0.25">
      <c r="S8079" s="24">
        <f t="shared" si="430"/>
        <v>0.02</v>
      </c>
    </row>
    <row r="8080" spans="19:19" x14ac:dyDescent="0.25">
      <c r="S8080" s="24">
        <f t="shared" si="430"/>
        <v>0.02</v>
      </c>
    </row>
    <row r="8081" spans="19:19" x14ac:dyDescent="0.25">
      <c r="S8081" s="24">
        <f t="shared" si="430"/>
        <v>0.02</v>
      </c>
    </row>
    <row r="8082" spans="19:19" x14ac:dyDescent="0.25">
      <c r="S8082" s="24">
        <f t="shared" si="430"/>
        <v>0.02</v>
      </c>
    </row>
    <row r="8083" spans="19:19" x14ac:dyDescent="0.25">
      <c r="S8083" s="24">
        <f t="shared" si="430"/>
        <v>0.02</v>
      </c>
    </row>
    <row r="8084" spans="19:19" x14ac:dyDescent="0.25">
      <c r="S8084" s="24">
        <f t="shared" si="430"/>
        <v>0.02</v>
      </c>
    </row>
    <row r="8085" spans="19:19" x14ac:dyDescent="0.25">
      <c r="S8085" s="24">
        <f t="shared" si="430"/>
        <v>0.02</v>
      </c>
    </row>
    <row r="8086" spans="19:19" x14ac:dyDescent="0.25">
      <c r="S8086" s="24">
        <f t="shared" si="430"/>
        <v>0.02</v>
      </c>
    </row>
    <row r="8087" spans="19:19" x14ac:dyDescent="0.25">
      <c r="S8087" s="24">
        <f t="shared" si="430"/>
        <v>0.02</v>
      </c>
    </row>
    <row r="8088" spans="19:19" x14ac:dyDescent="0.25">
      <c r="S8088" s="24">
        <f t="shared" si="430"/>
        <v>0.02</v>
      </c>
    </row>
    <row r="8089" spans="19:19" x14ac:dyDescent="0.25">
      <c r="S8089" s="24">
        <f t="shared" si="430"/>
        <v>0.02</v>
      </c>
    </row>
    <row r="8090" spans="19:19" x14ac:dyDescent="0.25">
      <c r="S8090" s="24">
        <f t="shared" si="430"/>
        <v>0.02</v>
      </c>
    </row>
    <row r="8091" spans="19:19" x14ac:dyDescent="0.25">
      <c r="S8091" s="24">
        <f t="shared" si="430"/>
        <v>0.02</v>
      </c>
    </row>
    <row r="8092" spans="19:19" x14ac:dyDescent="0.25">
      <c r="S8092" s="24">
        <f t="shared" si="430"/>
        <v>0.02</v>
      </c>
    </row>
    <row r="8093" spans="19:19" x14ac:dyDescent="0.25">
      <c r="S8093" s="24">
        <f t="shared" si="430"/>
        <v>0.02</v>
      </c>
    </row>
    <row r="8094" spans="19:19" x14ac:dyDescent="0.25">
      <c r="S8094" s="24">
        <f t="shared" si="430"/>
        <v>0.02</v>
      </c>
    </row>
    <row r="8095" spans="19:19" x14ac:dyDescent="0.25">
      <c r="S8095" s="24">
        <f t="shared" si="430"/>
        <v>0.02</v>
      </c>
    </row>
    <row r="8096" spans="19:19" x14ac:dyDescent="0.25">
      <c r="S8096" s="24">
        <f t="shared" si="430"/>
        <v>0.02</v>
      </c>
    </row>
    <row r="8097" spans="19:19" x14ac:dyDescent="0.25">
      <c r="S8097" s="24">
        <f t="shared" si="430"/>
        <v>0.02</v>
      </c>
    </row>
    <row r="8098" spans="19:19" x14ac:dyDescent="0.25">
      <c r="S8098" s="24">
        <f t="shared" si="430"/>
        <v>0.02</v>
      </c>
    </row>
    <row r="8099" spans="19:19" x14ac:dyDescent="0.25">
      <c r="S8099" s="24">
        <f t="shared" si="430"/>
        <v>0.02</v>
      </c>
    </row>
    <row r="8100" spans="19:19" x14ac:dyDescent="0.25">
      <c r="S8100" s="24">
        <f t="shared" si="430"/>
        <v>0.02</v>
      </c>
    </row>
    <row r="8101" spans="19:19" x14ac:dyDescent="0.25">
      <c r="S8101" s="24">
        <f t="shared" si="430"/>
        <v>0.02</v>
      </c>
    </row>
    <row r="8102" spans="19:19" x14ac:dyDescent="0.25">
      <c r="S8102" s="24">
        <f t="shared" si="430"/>
        <v>0.02</v>
      </c>
    </row>
    <row r="8103" spans="19:19" x14ac:dyDescent="0.25">
      <c r="S8103" s="24">
        <f t="shared" si="430"/>
        <v>0.02</v>
      </c>
    </row>
    <row r="8104" spans="19:19" x14ac:dyDescent="0.25">
      <c r="S8104" s="24">
        <f t="shared" si="430"/>
        <v>0.02</v>
      </c>
    </row>
    <row r="8105" spans="19:19" x14ac:dyDescent="0.25">
      <c r="S8105" s="24">
        <f t="shared" si="430"/>
        <v>0.02</v>
      </c>
    </row>
    <row r="8106" spans="19:19" x14ac:dyDescent="0.25">
      <c r="S8106" s="24">
        <f t="shared" si="430"/>
        <v>0.02</v>
      </c>
    </row>
    <row r="8107" spans="19:19" x14ac:dyDescent="0.25">
      <c r="S8107" s="24">
        <f t="shared" si="430"/>
        <v>0.02</v>
      </c>
    </row>
    <row r="8108" spans="19:19" x14ac:dyDescent="0.25">
      <c r="S8108" s="24">
        <f t="shared" si="430"/>
        <v>0.02</v>
      </c>
    </row>
    <row r="8109" spans="19:19" x14ac:dyDescent="0.25">
      <c r="S8109" s="24">
        <f t="shared" si="430"/>
        <v>0.02</v>
      </c>
    </row>
    <row r="8110" spans="19:19" x14ac:dyDescent="0.25">
      <c r="S8110" s="24">
        <f t="shared" si="430"/>
        <v>0.02</v>
      </c>
    </row>
    <row r="8111" spans="19:19" x14ac:dyDescent="0.25">
      <c r="S8111" s="24">
        <f t="shared" si="430"/>
        <v>0.02</v>
      </c>
    </row>
    <row r="8112" spans="19:19" x14ac:dyDescent="0.25">
      <c r="S8112" s="24">
        <f t="shared" si="430"/>
        <v>0.02</v>
      </c>
    </row>
    <row r="8113" spans="19:19" x14ac:dyDescent="0.25">
      <c r="S8113" s="24">
        <f t="shared" si="430"/>
        <v>0.02</v>
      </c>
    </row>
    <row r="8114" spans="19:19" x14ac:dyDescent="0.25">
      <c r="S8114" s="24">
        <f t="shared" si="430"/>
        <v>0.02</v>
      </c>
    </row>
    <row r="8115" spans="19:19" x14ac:dyDescent="0.25">
      <c r="S8115" s="24">
        <f t="shared" si="430"/>
        <v>0.02</v>
      </c>
    </row>
    <row r="8116" spans="19:19" x14ac:dyDescent="0.25">
      <c r="S8116" s="24">
        <f t="shared" si="430"/>
        <v>0.02</v>
      </c>
    </row>
    <row r="8117" spans="19:19" x14ac:dyDescent="0.25">
      <c r="S8117" s="24">
        <f t="shared" si="430"/>
        <v>0.02</v>
      </c>
    </row>
    <row r="8118" spans="19:19" x14ac:dyDescent="0.25">
      <c r="S8118" s="24">
        <f t="shared" si="430"/>
        <v>0.02</v>
      </c>
    </row>
    <row r="8119" spans="19:19" x14ac:dyDescent="0.25">
      <c r="S8119" s="24">
        <f t="shared" si="430"/>
        <v>0.02</v>
      </c>
    </row>
    <row r="8120" spans="19:19" x14ac:dyDescent="0.25">
      <c r="S8120" s="24">
        <f t="shared" si="430"/>
        <v>0.02</v>
      </c>
    </row>
    <row r="8121" spans="19:19" x14ac:dyDescent="0.25">
      <c r="S8121" s="24">
        <f t="shared" si="430"/>
        <v>0.02</v>
      </c>
    </row>
    <row r="8122" spans="19:19" x14ac:dyDescent="0.25">
      <c r="S8122" s="24">
        <f t="shared" si="430"/>
        <v>0.02</v>
      </c>
    </row>
    <row r="8123" spans="19:19" x14ac:dyDescent="0.25">
      <c r="S8123" s="24">
        <f t="shared" si="430"/>
        <v>0.02</v>
      </c>
    </row>
    <row r="8124" spans="19:19" x14ac:dyDescent="0.25">
      <c r="S8124" s="24">
        <f t="shared" si="430"/>
        <v>0.02</v>
      </c>
    </row>
    <row r="8125" spans="19:19" x14ac:dyDescent="0.25">
      <c r="S8125" s="24">
        <f t="shared" si="430"/>
        <v>0.02</v>
      </c>
    </row>
    <row r="8126" spans="19:19" x14ac:dyDescent="0.25">
      <c r="S8126" s="24">
        <f t="shared" si="430"/>
        <v>0.02</v>
      </c>
    </row>
    <row r="8127" spans="19:19" x14ac:dyDescent="0.25">
      <c r="S8127" s="24">
        <f t="shared" si="430"/>
        <v>0.02</v>
      </c>
    </row>
    <row r="8128" spans="19:19" x14ac:dyDescent="0.25">
      <c r="S8128" s="24">
        <f t="shared" si="430"/>
        <v>0.02</v>
      </c>
    </row>
    <row r="8129" spans="19:19" x14ac:dyDescent="0.25">
      <c r="S8129" s="24">
        <f t="shared" si="430"/>
        <v>0.02</v>
      </c>
    </row>
    <row r="8130" spans="19:19" x14ac:dyDescent="0.25">
      <c r="S8130" s="24">
        <f t="shared" si="430"/>
        <v>0.02</v>
      </c>
    </row>
    <row r="8131" spans="19:19" x14ac:dyDescent="0.25">
      <c r="S8131" s="24">
        <f t="shared" si="430"/>
        <v>0.02</v>
      </c>
    </row>
    <row r="8132" spans="19:19" x14ac:dyDescent="0.25">
      <c r="S8132" s="24">
        <f t="shared" si="430"/>
        <v>0.02</v>
      </c>
    </row>
    <row r="8133" spans="19:19" x14ac:dyDescent="0.25">
      <c r="S8133" s="24">
        <f t="shared" si="430"/>
        <v>0.02</v>
      </c>
    </row>
    <row r="8134" spans="19:19" x14ac:dyDescent="0.25">
      <c r="S8134" s="24">
        <f t="shared" si="430"/>
        <v>0.02</v>
      </c>
    </row>
    <row r="8135" spans="19:19" x14ac:dyDescent="0.25">
      <c r="S8135" s="24">
        <f t="shared" si="430"/>
        <v>0.02</v>
      </c>
    </row>
    <row r="8136" spans="19:19" x14ac:dyDescent="0.25">
      <c r="S8136" s="24">
        <f t="shared" si="430"/>
        <v>0.02</v>
      </c>
    </row>
    <row r="8137" spans="19:19" x14ac:dyDescent="0.25">
      <c r="S8137" s="24">
        <f t="shared" si="430"/>
        <v>0.02</v>
      </c>
    </row>
    <row r="8138" spans="19:19" x14ac:dyDescent="0.25">
      <c r="S8138" s="24">
        <f t="shared" si="430"/>
        <v>0.02</v>
      </c>
    </row>
    <row r="8139" spans="19:19" x14ac:dyDescent="0.25">
      <c r="S8139" s="24">
        <f t="shared" ref="S8139:S8202" si="431">VLOOKUP(N8139,$T$1:$U$7,2,TRUE)</f>
        <v>0.02</v>
      </c>
    </row>
    <row r="8140" spans="19:19" x14ac:dyDescent="0.25">
      <c r="S8140" s="24">
        <f t="shared" si="431"/>
        <v>0.02</v>
      </c>
    </row>
    <row r="8141" spans="19:19" x14ac:dyDescent="0.25">
      <c r="S8141" s="24">
        <f t="shared" si="431"/>
        <v>0.02</v>
      </c>
    </row>
    <row r="8142" spans="19:19" x14ac:dyDescent="0.25">
      <c r="S8142" s="24">
        <f t="shared" si="431"/>
        <v>0.02</v>
      </c>
    </row>
    <row r="8143" spans="19:19" x14ac:dyDescent="0.25">
      <c r="S8143" s="24">
        <f t="shared" si="431"/>
        <v>0.02</v>
      </c>
    </row>
    <row r="8144" spans="19:19" x14ac:dyDescent="0.25">
      <c r="S8144" s="24">
        <f t="shared" si="431"/>
        <v>0.02</v>
      </c>
    </row>
    <row r="8145" spans="19:19" x14ac:dyDescent="0.25">
      <c r="S8145" s="24">
        <f t="shared" si="431"/>
        <v>0.02</v>
      </c>
    </row>
    <row r="8146" spans="19:19" x14ac:dyDescent="0.25">
      <c r="S8146" s="24">
        <f t="shared" si="431"/>
        <v>0.02</v>
      </c>
    </row>
    <row r="8147" spans="19:19" x14ac:dyDescent="0.25">
      <c r="S8147" s="24">
        <f t="shared" si="431"/>
        <v>0.02</v>
      </c>
    </row>
    <row r="8148" spans="19:19" x14ac:dyDescent="0.25">
      <c r="S8148" s="24">
        <f t="shared" si="431"/>
        <v>0.02</v>
      </c>
    </row>
    <row r="8149" spans="19:19" x14ac:dyDescent="0.25">
      <c r="S8149" s="24">
        <f t="shared" si="431"/>
        <v>0.02</v>
      </c>
    </row>
    <row r="8150" spans="19:19" x14ac:dyDescent="0.25">
      <c r="S8150" s="24">
        <f t="shared" si="431"/>
        <v>0.02</v>
      </c>
    </row>
    <row r="8151" spans="19:19" x14ac:dyDescent="0.25">
      <c r="S8151" s="24">
        <f t="shared" si="431"/>
        <v>0.02</v>
      </c>
    </row>
    <row r="8152" spans="19:19" x14ac:dyDescent="0.25">
      <c r="S8152" s="24">
        <f t="shared" si="431"/>
        <v>0.02</v>
      </c>
    </row>
    <row r="8153" spans="19:19" x14ac:dyDescent="0.25">
      <c r="S8153" s="24">
        <f t="shared" si="431"/>
        <v>0.02</v>
      </c>
    </row>
    <row r="8154" spans="19:19" x14ac:dyDescent="0.25">
      <c r="S8154" s="24">
        <f t="shared" si="431"/>
        <v>0.02</v>
      </c>
    </row>
    <row r="8155" spans="19:19" x14ac:dyDescent="0.25">
      <c r="S8155" s="24">
        <f t="shared" si="431"/>
        <v>0.02</v>
      </c>
    </row>
    <row r="8156" spans="19:19" x14ac:dyDescent="0.25">
      <c r="S8156" s="24">
        <f t="shared" si="431"/>
        <v>0.02</v>
      </c>
    </row>
    <row r="8157" spans="19:19" x14ac:dyDescent="0.25">
      <c r="S8157" s="24">
        <f t="shared" si="431"/>
        <v>0.02</v>
      </c>
    </row>
    <row r="8158" spans="19:19" x14ac:dyDescent="0.25">
      <c r="S8158" s="24">
        <f t="shared" si="431"/>
        <v>0.02</v>
      </c>
    </row>
    <row r="8159" spans="19:19" x14ac:dyDescent="0.25">
      <c r="S8159" s="24">
        <f t="shared" si="431"/>
        <v>0.02</v>
      </c>
    </row>
    <row r="8160" spans="19:19" x14ac:dyDescent="0.25">
      <c r="S8160" s="24">
        <f t="shared" si="431"/>
        <v>0.02</v>
      </c>
    </row>
    <row r="8161" spans="19:19" x14ac:dyDescent="0.25">
      <c r="S8161" s="24">
        <f t="shared" si="431"/>
        <v>0.02</v>
      </c>
    </row>
    <row r="8162" spans="19:19" x14ac:dyDescent="0.25">
      <c r="S8162" s="24">
        <f t="shared" si="431"/>
        <v>0.02</v>
      </c>
    </row>
    <row r="8163" spans="19:19" x14ac:dyDescent="0.25">
      <c r="S8163" s="24">
        <f t="shared" si="431"/>
        <v>0.02</v>
      </c>
    </row>
    <row r="8164" spans="19:19" x14ac:dyDescent="0.25">
      <c r="S8164" s="24">
        <f t="shared" si="431"/>
        <v>0.02</v>
      </c>
    </row>
    <row r="8165" spans="19:19" x14ac:dyDescent="0.25">
      <c r="S8165" s="24">
        <f t="shared" si="431"/>
        <v>0.02</v>
      </c>
    </row>
    <row r="8166" spans="19:19" x14ac:dyDescent="0.25">
      <c r="S8166" s="24">
        <f t="shared" si="431"/>
        <v>0.02</v>
      </c>
    </row>
    <row r="8167" spans="19:19" x14ac:dyDescent="0.25">
      <c r="S8167" s="24">
        <f t="shared" si="431"/>
        <v>0.02</v>
      </c>
    </row>
    <row r="8168" spans="19:19" x14ac:dyDescent="0.25">
      <c r="S8168" s="24">
        <f t="shared" si="431"/>
        <v>0.02</v>
      </c>
    </row>
    <row r="8169" spans="19:19" x14ac:dyDescent="0.25">
      <c r="S8169" s="24">
        <f t="shared" si="431"/>
        <v>0.02</v>
      </c>
    </row>
    <row r="8170" spans="19:19" x14ac:dyDescent="0.25">
      <c r="S8170" s="24">
        <f t="shared" si="431"/>
        <v>0.02</v>
      </c>
    </row>
    <row r="8171" spans="19:19" x14ac:dyDescent="0.25">
      <c r="S8171" s="24">
        <f t="shared" si="431"/>
        <v>0.02</v>
      </c>
    </row>
    <row r="8172" spans="19:19" x14ac:dyDescent="0.25">
      <c r="S8172" s="24">
        <f t="shared" si="431"/>
        <v>0.02</v>
      </c>
    </row>
    <row r="8173" spans="19:19" x14ac:dyDescent="0.25">
      <c r="S8173" s="24">
        <f t="shared" si="431"/>
        <v>0.02</v>
      </c>
    </row>
    <row r="8174" spans="19:19" x14ac:dyDescent="0.25">
      <c r="S8174" s="24">
        <f t="shared" si="431"/>
        <v>0.02</v>
      </c>
    </row>
    <row r="8175" spans="19:19" x14ac:dyDescent="0.25">
      <c r="S8175" s="24">
        <f t="shared" si="431"/>
        <v>0.02</v>
      </c>
    </row>
    <row r="8176" spans="19:19" x14ac:dyDescent="0.25">
      <c r="S8176" s="24">
        <f t="shared" si="431"/>
        <v>0.02</v>
      </c>
    </row>
    <row r="8177" spans="19:19" x14ac:dyDescent="0.25">
      <c r="S8177" s="24">
        <f t="shared" si="431"/>
        <v>0.02</v>
      </c>
    </row>
    <row r="8178" spans="19:19" x14ac:dyDescent="0.25">
      <c r="S8178" s="24">
        <f t="shared" si="431"/>
        <v>0.02</v>
      </c>
    </row>
    <row r="8179" spans="19:19" x14ac:dyDescent="0.25">
      <c r="S8179" s="24">
        <f t="shared" si="431"/>
        <v>0.02</v>
      </c>
    </row>
    <row r="8180" spans="19:19" x14ac:dyDescent="0.25">
      <c r="S8180" s="24">
        <f t="shared" si="431"/>
        <v>0.02</v>
      </c>
    </row>
    <row r="8181" spans="19:19" x14ac:dyDescent="0.25">
      <c r="S8181" s="24">
        <f t="shared" si="431"/>
        <v>0.02</v>
      </c>
    </row>
    <row r="8182" spans="19:19" x14ac:dyDescent="0.25">
      <c r="S8182" s="24">
        <f t="shared" si="431"/>
        <v>0.02</v>
      </c>
    </row>
    <row r="8183" spans="19:19" x14ac:dyDescent="0.25">
      <c r="S8183" s="24">
        <f t="shared" si="431"/>
        <v>0.02</v>
      </c>
    </row>
    <row r="8184" spans="19:19" x14ac:dyDescent="0.25">
      <c r="S8184" s="24">
        <f t="shared" si="431"/>
        <v>0.02</v>
      </c>
    </row>
    <row r="8185" spans="19:19" x14ac:dyDescent="0.25">
      <c r="S8185" s="24">
        <f t="shared" si="431"/>
        <v>0.02</v>
      </c>
    </row>
    <row r="8186" spans="19:19" x14ac:dyDescent="0.25">
      <c r="S8186" s="24">
        <f t="shared" si="431"/>
        <v>0.02</v>
      </c>
    </row>
    <row r="8187" spans="19:19" x14ac:dyDescent="0.25">
      <c r="S8187" s="24">
        <f t="shared" si="431"/>
        <v>0.02</v>
      </c>
    </row>
    <row r="8188" spans="19:19" x14ac:dyDescent="0.25">
      <c r="S8188" s="24">
        <f t="shared" si="431"/>
        <v>0.02</v>
      </c>
    </row>
    <row r="8189" spans="19:19" x14ac:dyDescent="0.25">
      <c r="S8189" s="24">
        <f t="shared" si="431"/>
        <v>0.02</v>
      </c>
    </row>
    <row r="8190" spans="19:19" x14ac:dyDescent="0.25">
      <c r="S8190" s="24">
        <f t="shared" si="431"/>
        <v>0.02</v>
      </c>
    </row>
    <row r="8191" spans="19:19" x14ac:dyDescent="0.25">
      <c r="S8191" s="24">
        <f t="shared" si="431"/>
        <v>0.02</v>
      </c>
    </row>
    <row r="8192" spans="19:19" x14ac:dyDescent="0.25">
      <c r="S8192" s="24">
        <f t="shared" si="431"/>
        <v>0.02</v>
      </c>
    </row>
    <row r="8193" spans="19:19" x14ac:dyDescent="0.25">
      <c r="S8193" s="24">
        <f t="shared" si="431"/>
        <v>0.02</v>
      </c>
    </row>
    <row r="8194" spans="19:19" x14ac:dyDescent="0.25">
      <c r="S8194" s="24">
        <f t="shared" si="431"/>
        <v>0.02</v>
      </c>
    </row>
    <row r="8195" spans="19:19" x14ac:dyDescent="0.25">
      <c r="S8195" s="24">
        <f t="shared" si="431"/>
        <v>0.02</v>
      </c>
    </row>
    <row r="8196" spans="19:19" x14ac:dyDescent="0.25">
      <c r="S8196" s="24">
        <f t="shared" si="431"/>
        <v>0.02</v>
      </c>
    </row>
    <row r="8197" spans="19:19" x14ac:dyDescent="0.25">
      <c r="S8197" s="24">
        <f t="shared" si="431"/>
        <v>0.02</v>
      </c>
    </row>
    <row r="8198" spans="19:19" x14ac:dyDescent="0.25">
      <c r="S8198" s="24">
        <f t="shared" si="431"/>
        <v>0.02</v>
      </c>
    </row>
    <row r="8199" spans="19:19" x14ac:dyDescent="0.25">
      <c r="S8199" s="24">
        <f t="shared" si="431"/>
        <v>0.02</v>
      </c>
    </row>
    <row r="8200" spans="19:19" x14ac:dyDescent="0.25">
      <c r="S8200" s="24">
        <f t="shared" si="431"/>
        <v>0.02</v>
      </c>
    </row>
    <row r="8201" spans="19:19" x14ac:dyDescent="0.25">
      <c r="S8201" s="24">
        <f t="shared" si="431"/>
        <v>0.02</v>
      </c>
    </row>
    <row r="8202" spans="19:19" x14ac:dyDescent="0.25">
      <c r="S8202" s="24">
        <f t="shared" si="431"/>
        <v>0.02</v>
      </c>
    </row>
    <row r="8203" spans="19:19" x14ac:dyDescent="0.25">
      <c r="S8203" s="24">
        <f t="shared" ref="S8203:S8266" si="432">VLOOKUP(N8203,$T$1:$U$7,2,TRUE)</f>
        <v>0.02</v>
      </c>
    </row>
    <row r="8204" spans="19:19" x14ac:dyDescent="0.25">
      <c r="S8204" s="24">
        <f t="shared" si="432"/>
        <v>0.02</v>
      </c>
    </row>
    <row r="8205" spans="19:19" x14ac:dyDescent="0.25">
      <c r="S8205" s="24">
        <f t="shared" si="432"/>
        <v>0.02</v>
      </c>
    </row>
    <row r="8206" spans="19:19" x14ac:dyDescent="0.25">
      <c r="S8206" s="24">
        <f t="shared" si="432"/>
        <v>0.02</v>
      </c>
    </row>
    <row r="8207" spans="19:19" x14ac:dyDescent="0.25">
      <c r="S8207" s="24">
        <f t="shared" si="432"/>
        <v>0.02</v>
      </c>
    </row>
    <row r="8208" spans="19:19" x14ac:dyDescent="0.25">
      <c r="S8208" s="24">
        <f t="shared" si="432"/>
        <v>0.02</v>
      </c>
    </row>
    <row r="8209" spans="19:19" x14ac:dyDescent="0.25">
      <c r="S8209" s="24">
        <f t="shared" si="432"/>
        <v>0.02</v>
      </c>
    </row>
    <row r="8210" spans="19:19" x14ac:dyDescent="0.25">
      <c r="S8210" s="24">
        <f t="shared" si="432"/>
        <v>0.02</v>
      </c>
    </row>
    <row r="8211" spans="19:19" x14ac:dyDescent="0.25">
      <c r="S8211" s="24">
        <f t="shared" si="432"/>
        <v>0.02</v>
      </c>
    </row>
    <row r="8212" spans="19:19" x14ac:dyDescent="0.25">
      <c r="S8212" s="24">
        <f t="shared" si="432"/>
        <v>0.02</v>
      </c>
    </row>
    <row r="8213" spans="19:19" x14ac:dyDescent="0.25">
      <c r="S8213" s="24">
        <f t="shared" si="432"/>
        <v>0.02</v>
      </c>
    </row>
    <row r="8214" spans="19:19" x14ac:dyDescent="0.25">
      <c r="S8214" s="24">
        <f t="shared" si="432"/>
        <v>0.02</v>
      </c>
    </row>
    <row r="8215" spans="19:19" x14ac:dyDescent="0.25">
      <c r="S8215" s="24">
        <f t="shared" si="432"/>
        <v>0.02</v>
      </c>
    </row>
    <row r="8216" spans="19:19" x14ac:dyDescent="0.25">
      <c r="S8216" s="24">
        <f t="shared" si="432"/>
        <v>0.02</v>
      </c>
    </row>
    <row r="8217" spans="19:19" x14ac:dyDescent="0.25">
      <c r="S8217" s="24">
        <f t="shared" si="432"/>
        <v>0.02</v>
      </c>
    </row>
    <row r="8218" spans="19:19" x14ac:dyDescent="0.25">
      <c r="S8218" s="24">
        <f t="shared" si="432"/>
        <v>0.02</v>
      </c>
    </row>
    <row r="8219" spans="19:19" x14ac:dyDescent="0.25">
      <c r="S8219" s="24">
        <f t="shared" si="432"/>
        <v>0.02</v>
      </c>
    </row>
    <row r="8220" spans="19:19" x14ac:dyDescent="0.25">
      <c r="S8220" s="24">
        <f t="shared" si="432"/>
        <v>0.02</v>
      </c>
    </row>
    <row r="8221" spans="19:19" x14ac:dyDescent="0.25">
      <c r="S8221" s="24">
        <f t="shared" si="432"/>
        <v>0.02</v>
      </c>
    </row>
    <row r="8222" spans="19:19" x14ac:dyDescent="0.25">
      <c r="S8222" s="24">
        <f t="shared" si="432"/>
        <v>0.02</v>
      </c>
    </row>
    <row r="8223" spans="19:19" x14ac:dyDescent="0.25">
      <c r="S8223" s="24">
        <f t="shared" si="432"/>
        <v>0.02</v>
      </c>
    </row>
    <row r="8224" spans="19:19" x14ac:dyDescent="0.25">
      <c r="S8224" s="24">
        <f t="shared" si="432"/>
        <v>0.02</v>
      </c>
    </row>
    <row r="8225" spans="19:19" x14ac:dyDescent="0.25">
      <c r="S8225" s="24">
        <f t="shared" si="432"/>
        <v>0.02</v>
      </c>
    </row>
    <row r="8226" spans="19:19" x14ac:dyDescent="0.25">
      <c r="S8226" s="24">
        <f t="shared" si="432"/>
        <v>0.02</v>
      </c>
    </row>
    <row r="8227" spans="19:19" x14ac:dyDescent="0.25">
      <c r="S8227" s="24">
        <f t="shared" si="432"/>
        <v>0.02</v>
      </c>
    </row>
    <row r="8228" spans="19:19" x14ac:dyDescent="0.25">
      <c r="S8228" s="24">
        <f t="shared" si="432"/>
        <v>0.02</v>
      </c>
    </row>
    <row r="8229" spans="19:19" x14ac:dyDescent="0.25">
      <c r="S8229" s="24">
        <f t="shared" si="432"/>
        <v>0.02</v>
      </c>
    </row>
    <row r="8230" spans="19:19" x14ac:dyDescent="0.25">
      <c r="S8230" s="24">
        <f t="shared" si="432"/>
        <v>0.02</v>
      </c>
    </row>
    <row r="8231" spans="19:19" x14ac:dyDescent="0.25">
      <c r="S8231" s="24">
        <f t="shared" si="432"/>
        <v>0.02</v>
      </c>
    </row>
    <row r="8232" spans="19:19" x14ac:dyDescent="0.25">
      <c r="S8232" s="24">
        <f t="shared" si="432"/>
        <v>0.02</v>
      </c>
    </row>
    <row r="8233" spans="19:19" x14ac:dyDescent="0.25">
      <c r="S8233" s="24">
        <f t="shared" si="432"/>
        <v>0.02</v>
      </c>
    </row>
    <row r="8234" spans="19:19" x14ac:dyDescent="0.25">
      <c r="S8234" s="24">
        <f t="shared" si="432"/>
        <v>0.02</v>
      </c>
    </row>
    <row r="8235" spans="19:19" x14ac:dyDescent="0.25">
      <c r="S8235" s="24">
        <f t="shared" si="432"/>
        <v>0.02</v>
      </c>
    </row>
    <row r="8236" spans="19:19" x14ac:dyDescent="0.25">
      <c r="S8236" s="24">
        <f t="shared" si="432"/>
        <v>0.02</v>
      </c>
    </row>
    <row r="8237" spans="19:19" x14ac:dyDescent="0.25">
      <c r="S8237" s="24">
        <f t="shared" si="432"/>
        <v>0.02</v>
      </c>
    </row>
    <row r="8238" spans="19:19" x14ac:dyDescent="0.25">
      <c r="S8238" s="24">
        <f t="shared" si="432"/>
        <v>0.02</v>
      </c>
    </row>
    <row r="8239" spans="19:19" x14ac:dyDescent="0.25">
      <c r="S8239" s="24">
        <f t="shared" si="432"/>
        <v>0.02</v>
      </c>
    </row>
    <row r="8240" spans="19:19" x14ac:dyDescent="0.25">
      <c r="S8240" s="24">
        <f t="shared" si="432"/>
        <v>0.02</v>
      </c>
    </row>
    <row r="8241" spans="19:19" x14ac:dyDescent="0.25">
      <c r="S8241" s="24">
        <f t="shared" si="432"/>
        <v>0.02</v>
      </c>
    </row>
    <row r="8242" spans="19:19" x14ac:dyDescent="0.25">
      <c r="S8242" s="24">
        <f t="shared" si="432"/>
        <v>0.02</v>
      </c>
    </row>
    <row r="8243" spans="19:19" x14ac:dyDescent="0.25">
      <c r="S8243" s="24">
        <f t="shared" si="432"/>
        <v>0.02</v>
      </c>
    </row>
    <row r="8244" spans="19:19" x14ac:dyDescent="0.25">
      <c r="S8244" s="24">
        <f t="shared" si="432"/>
        <v>0.02</v>
      </c>
    </row>
    <row r="8245" spans="19:19" x14ac:dyDescent="0.25">
      <c r="S8245" s="24">
        <f t="shared" si="432"/>
        <v>0.02</v>
      </c>
    </row>
    <row r="8246" spans="19:19" x14ac:dyDescent="0.25">
      <c r="S8246" s="24">
        <f t="shared" si="432"/>
        <v>0.02</v>
      </c>
    </row>
    <row r="8247" spans="19:19" x14ac:dyDescent="0.25">
      <c r="S8247" s="24">
        <f t="shared" si="432"/>
        <v>0.02</v>
      </c>
    </row>
    <row r="8248" spans="19:19" x14ac:dyDescent="0.25">
      <c r="S8248" s="24">
        <f t="shared" si="432"/>
        <v>0.02</v>
      </c>
    </row>
    <row r="8249" spans="19:19" x14ac:dyDescent="0.25">
      <c r="S8249" s="24">
        <f t="shared" si="432"/>
        <v>0.02</v>
      </c>
    </row>
    <row r="8250" spans="19:19" x14ac:dyDescent="0.25">
      <c r="S8250" s="24">
        <f t="shared" si="432"/>
        <v>0.02</v>
      </c>
    </row>
    <row r="8251" spans="19:19" x14ac:dyDescent="0.25">
      <c r="S8251" s="24">
        <f t="shared" si="432"/>
        <v>0.02</v>
      </c>
    </row>
    <row r="8252" spans="19:19" x14ac:dyDescent="0.25">
      <c r="S8252" s="24">
        <f t="shared" si="432"/>
        <v>0.02</v>
      </c>
    </row>
    <row r="8253" spans="19:19" x14ac:dyDescent="0.25">
      <c r="S8253" s="24">
        <f t="shared" si="432"/>
        <v>0.02</v>
      </c>
    </row>
    <row r="8254" spans="19:19" x14ac:dyDescent="0.25">
      <c r="S8254" s="24">
        <f t="shared" si="432"/>
        <v>0.02</v>
      </c>
    </row>
    <row r="8255" spans="19:19" x14ac:dyDescent="0.25">
      <c r="S8255" s="24">
        <f t="shared" si="432"/>
        <v>0.02</v>
      </c>
    </row>
    <row r="8256" spans="19:19" x14ac:dyDescent="0.25">
      <c r="S8256" s="24">
        <f t="shared" si="432"/>
        <v>0.02</v>
      </c>
    </row>
    <row r="8257" spans="19:19" x14ac:dyDescent="0.25">
      <c r="S8257" s="24">
        <f t="shared" si="432"/>
        <v>0.02</v>
      </c>
    </row>
    <row r="8258" spans="19:19" x14ac:dyDescent="0.25">
      <c r="S8258" s="24">
        <f t="shared" si="432"/>
        <v>0.02</v>
      </c>
    </row>
    <row r="8259" spans="19:19" x14ac:dyDescent="0.25">
      <c r="S8259" s="24">
        <f t="shared" si="432"/>
        <v>0.02</v>
      </c>
    </row>
    <row r="8260" spans="19:19" x14ac:dyDescent="0.25">
      <c r="S8260" s="24">
        <f t="shared" si="432"/>
        <v>0.02</v>
      </c>
    </row>
    <row r="8261" spans="19:19" x14ac:dyDescent="0.25">
      <c r="S8261" s="24">
        <f t="shared" si="432"/>
        <v>0.02</v>
      </c>
    </row>
    <row r="8262" spans="19:19" x14ac:dyDescent="0.25">
      <c r="S8262" s="24">
        <f t="shared" si="432"/>
        <v>0.02</v>
      </c>
    </row>
    <row r="8263" spans="19:19" x14ac:dyDescent="0.25">
      <c r="S8263" s="24">
        <f t="shared" si="432"/>
        <v>0.02</v>
      </c>
    </row>
    <row r="8264" spans="19:19" x14ac:dyDescent="0.25">
      <c r="S8264" s="24">
        <f t="shared" si="432"/>
        <v>0.02</v>
      </c>
    </row>
    <row r="8265" spans="19:19" x14ac:dyDescent="0.25">
      <c r="S8265" s="24">
        <f t="shared" si="432"/>
        <v>0.02</v>
      </c>
    </row>
    <row r="8266" spans="19:19" x14ac:dyDescent="0.25">
      <c r="S8266" s="24">
        <f t="shared" si="432"/>
        <v>0.02</v>
      </c>
    </row>
    <row r="8267" spans="19:19" x14ac:dyDescent="0.25">
      <c r="S8267" s="24">
        <f t="shared" ref="S8267:S8330" si="433">VLOOKUP(N8267,$T$1:$U$7,2,TRUE)</f>
        <v>0.02</v>
      </c>
    </row>
    <row r="8268" spans="19:19" x14ac:dyDescent="0.25">
      <c r="S8268" s="24">
        <f t="shared" si="433"/>
        <v>0.02</v>
      </c>
    </row>
    <row r="8269" spans="19:19" x14ac:dyDescent="0.25">
      <c r="S8269" s="24">
        <f t="shared" si="433"/>
        <v>0.02</v>
      </c>
    </row>
    <row r="8270" spans="19:19" x14ac:dyDescent="0.25">
      <c r="S8270" s="24">
        <f t="shared" si="433"/>
        <v>0.02</v>
      </c>
    </row>
    <row r="8271" spans="19:19" x14ac:dyDescent="0.25">
      <c r="S8271" s="24">
        <f t="shared" si="433"/>
        <v>0.02</v>
      </c>
    </row>
    <row r="8272" spans="19:19" x14ac:dyDescent="0.25">
      <c r="S8272" s="24">
        <f t="shared" si="433"/>
        <v>0.02</v>
      </c>
    </row>
    <row r="8273" spans="19:19" x14ac:dyDescent="0.25">
      <c r="S8273" s="24">
        <f t="shared" si="433"/>
        <v>0.02</v>
      </c>
    </row>
    <row r="8274" spans="19:19" x14ac:dyDescent="0.25">
      <c r="S8274" s="24">
        <f t="shared" si="433"/>
        <v>0.02</v>
      </c>
    </row>
    <row r="8275" spans="19:19" x14ac:dyDescent="0.25">
      <c r="S8275" s="24">
        <f t="shared" si="433"/>
        <v>0.02</v>
      </c>
    </row>
    <row r="8276" spans="19:19" x14ac:dyDescent="0.25">
      <c r="S8276" s="24">
        <f t="shared" si="433"/>
        <v>0.02</v>
      </c>
    </row>
    <row r="8277" spans="19:19" x14ac:dyDescent="0.25">
      <c r="S8277" s="24">
        <f t="shared" si="433"/>
        <v>0.02</v>
      </c>
    </row>
    <row r="8278" spans="19:19" x14ac:dyDescent="0.25">
      <c r="S8278" s="24">
        <f t="shared" si="433"/>
        <v>0.02</v>
      </c>
    </row>
    <row r="8279" spans="19:19" x14ac:dyDescent="0.25">
      <c r="S8279" s="24">
        <f t="shared" si="433"/>
        <v>0.02</v>
      </c>
    </row>
    <row r="8280" spans="19:19" x14ac:dyDescent="0.25">
      <c r="S8280" s="24">
        <f t="shared" si="433"/>
        <v>0.02</v>
      </c>
    </row>
    <row r="8281" spans="19:19" x14ac:dyDescent="0.25">
      <c r="S8281" s="24">
        <f t="shared" si="433"/>
        <v>0.02</v>
      </c>
    </row>
    <row r="8282" spans="19:19" x14ac:dyDescent="0.25">
      <c r="S8282" s="24">
        <f t="shared" si="433"/>
        <v>0.02</v>
      </c>
    </row>
    <row r="8283" spans="19:19" x14ac:dyDescent="0.25">
      <c r="S8283" s="24">
        <f t="shared" si="433"/>
        <v>0.02</v>
      </c>
    </row>
    <row r="8284" spans="19:19" x14ac:dyDescent="0.25">
      <c r="S8284" s="24">
        <f t="shared" si="433"/>
        <v>0.02</v>
      </c>
    </row>
    <row r="8285" spans="19:19" x14ac:dyDescent="0.25">
      <c r="S8285" s="24">
        <f t="shared" si="433"/>
        <v>0.02</v>
      </c>
    </row>
    <row r="8286" spans="19:19" x14ac:dyDescent="0.25">
      <c r="S8286" s="24">
        <f t="shared" si="433"/>
        <v>0.02</v>
      </c>
    </row>
    <row r="8287" spans="19:19" x14ac:dyDescent="0.25">
      <c r="S8287" s="24">
        <f t="shared" si="433"/>
        <v>0.02</v>
      </c>
    </row>
    <row r="8288" spans="19:19" x14ac:dyDescent="0.25">
      <c r="S8288" s="24">
        <f t="shared" si="433"/>
        <v>0.02</v>
      </c>
    </row>
    <row r="8289" spans="19:19" x14ac:dyDescent="0.25">
      <c r="S8289" s="24">
        <f t="shared" si="433"/>
        <v>0.02</v>
      </c>
    </row>
    <row r="8290" spans="19:19" x14ac:dyDescent="0.25">
      <c r="S8290" s="24">
        <f t="shared" si="433"/>
        <v>0.02</v>
      </c>
    </row>
    <row r="8291" spans="19:19" x14ac:dyDescent="0.25">
      <c r="S8291" s="24">
        <f t="shared" si="433"/>
        <v>0.02</v>
      </c>
    </row>
    <row r="8292" spans="19:19" x14ac:dyDescent="0.25">
      <c r="S8292" s="24">
        <f t="shared" si="433"/>
        <v>0.02</v>
      </c>
    </row>
    <row r="8293" spans="19:19" x14ac:dyDescent="0.25">
      <c r="S8293" s="24">
        <f t="shared" si="433"/>
        <v>0.02</v>
      </c>
    </row>
    <row r="8294" spans="19:19" x14ac:dyDescent="0.25">
      <c r="S8294" s="24">
        <f t="shared" si="433"/>
        <v>0.02</v>
      </c>
    </row>
    <row r="8295" spans="19:19" x14ac:dyDescent="0.25">
      <c r="S8295" s="24">
        <f t="shared" si="433"/>
        <v>0.02</v>
      </c>
    </row>
    <row r="8296" spans="19:19" x14ac:dyDescent="0.25">
      <c r="S8296" s="24">
        <f t="shared" si="433"/>
        <v>0.02</v>
      </c>
    </row>
    <row r="8297" spans="19:19" x14ac:dyDescent="0.25">
      <c r="S8297" s="24">
        <f t="shared" si="433"/>
        <v>0.02</v>
      </c>
    </row>
    <row r="8298" spans="19:19" x14ac:dyDescent="0.25">
      <c r="S8298" s="24">
        <f t="shared" si="433"/>
        <v>0.02</v>
      </c>
    </row>
    <row r="8299" spans="19:19" x14ac:dyDescent="0.25">
      <c r="S8299" s="24">
        <f t="shared" si="433"/>
        <v>0.02</v>
      </c>
    </row>
    <row r="8300" spans="19:19" x14ac:dyDescent="0.25">
      <c r="S8300" s="24">
        <f t="shared" si="433"/>
        <v>0.02</v>
      </c>
    </row>
    <row r="8301" spans="19:19" x14ac:dyDescent="0.25">
      <c r="S8301" s="24">
        <f t="shared" si="433"/>
        <v>0.02</v>
      </c>
    </row>
    <row r="8302" spans="19:19" x14ac:dyDescent="0.25">
      <c r="S8302" s="24">
        <f t="shared" si="433"/>
        <v>0.02</v>
      </c>
    </row>
    <row r="8303" spans="19:19" x14ac:dyDescent="0.25">
      <c r="S8303" s="24">
        <f t="shared" si="433"/>
        <v>0.02</v>
      </c>
    </row>
    <row r="8304" spans="19:19" x14ac:dyDescent="0.25">
      <c r="S8304" s="24">
        <f t="shared" si="433"/>
        <v>0.02</v>
      </c>
    </row>
    <row r="8305" spans="19:19" x14ac:dyDescent="0.25">
      <c r="S8305" s="24">
        <f t="shared" si="433"/>
        <v>0.02</v>
      </c>
    </row>
    <row r="8306" spans="19:19" x14ac:dyDescent="0.25">
      <c r="S8306" s="24">
        <f t="shared" si="433"/>
        <v>0.02</v>
      </c>
    </row>
    <row r="8307" spans="19:19" x14ac:dyDescent="0.25">
      <c r="S8307" s="24">
        <f t="shared" si="433"/>
        <v>0.02</v>
      </c>
    </row>
    <row r="8308" spans="19:19" x14ac:dyDescent="0.25">
      <c r="S8308" s="24">
        <f t="shared" si="433"/>
        <v>0.02</v>
      </c>
    </row>
    <row r="8309" spans="19:19" x14ac:dyDescent="0.25">
      <c r="S8309" s="24">
        <f t="shared" si="433"/>
        <v>0.02</v>
      </c>
    </row>
    <row r="8310" spans="19:19" x14ac:dyDescent="0.25">
      <c r="S8310" s="24">
        <f t="shared" si="433"/>
        <v>0.02</v>
      </c>
    </row>
    <row r="8311" spans="19:19" x14ac:dyDescent="0.25">
      <c r="S8311" s="24">
        <f t="shared" si="433"/>
        <v>0.02</v>
      </c>
    </row>
    <row r="8312" spans="19:19" x14ac:dyDescent="0.25">
      <c r="S8312" s="24">
        <f t="shared" si="433"/>
        <v>0.02</v>
      </c>
    </row>
    <row r="8313" spans="19:19" x14ac:dyDescent="0.25">
      <c r="S8313" s="24">
        <f t="shared" si="433"/>
        <v>0.02</v>
      </c>
    </row>
    <row r="8314" spans="19:19" x14ac:dyDescent="0.25">
      <c r="S8314" s="24">
        <f t="shared" si="433"/>
        <v>0.02</v>
      </c>
    </row>
    <row r="8315" spans="19:19" x14ac:dyDescent="0.25">
      <c r="S8315" s="24">
        <f t="shared" si="433"/>
        <v>0.02</v>
      </c>
    </row>
    <row r="8316" spans="19:19" x14ac:dyDescent="0.25">
      <c r="S8316" s="24">
        <f t="shared" si="433"/>
        <v>0.02</v>
      </c>
    </row>
    <row r="8317" spans="19:19" x14ac:dyDescent="0.25">
      <c r="S8317" s="24">
        <f t="shared" si="433"/>
        <v>0.02</v>
      </c>
    </row>
    <row r="8318" spans="19:19" x14ac:dyDescent="0.25">
      <c r="S8318" s="24">
        <f t="shared" si="433"/>
        <v>0.02</v>
      </c>
    </row>
    <row r="8319" spans="19:19" x14ac:dyDescent="0.25">
      <c r="S8319" s="24">
        <f t="shared" si="433"/>
        <v>0.02</v>
      </c>
    </row>
    <row r="8320" spans="19:19" x14ac:dyDescent="0.25">
      <c r="S8320" s="24">
        <f t="shared" si="433"/>
        <v>0.02</v>
      </c>
    </row>
    <row r="8321" spans="19:19" x14ac:dyDescent="0.25">
      <c r="S8321" s="24">
        <f t="shared" si="433"/>
        <v>0.02</v>
      </c>
    </row>
    <row r="8322" spans="19:19" x14ac:dyDescent="0.25">
      <c r="S8322" s="24">
        <f t="shared" si="433"/>
        <v>0.02</v>
      </c>
    </row>
    <row r="8323" spans="19:19" x14ac:dyDescent="0.25">
      <c r="S8323" s="24">
        <f t="shared" si="433"/>
        <v>0.02</v>
      </c>
    </row>
    <row r="8324" spans="19:19" x14ac:dyDescent="0.25">
      <c r="S8324" s="24">
        <f t="shared" si="433"/>
        <v>0.02</v>
      </c>
    </row>
    <row r="8325" spans="19:19" x14ac:dyDescent="0.25">
      <c r="S8325" s="24">
        <f t="shared" si="433"/>
        <v>0.02</v>
      </c>
    </row>
    <row r="8326" spans="19:19" x14ac:dyDescent="0.25">
      <c r="S8326" s="24">
        <f t="shared" si="433"/>
        <v>0.02</v>
      </c>
    </row>
    <row r="8327" spans="19:19" x14ac:dyDescent="0.25">
      <c r="S8327" s="24">
        <f t="shared" si="433"/>
        <v>0.02</v>
      </c>
    </row>
    <row r="8328" spans="19:19" x14ac:dyDescent="0.25">
      <c r="S8328" s="24">
        <f t="shared" si="433"/>
        <v>0.02</v>
      </c>
    </row>
    <row r="8329" spans="19:19" x14ac:dyDescent="0.25">
      <c r="S8329" s="24">
        <f t="shared" si="433"/>
        <v>0.02</v>
      </c>
    </row>
    <row r="8330" spans="19:19" x14ac:dyDescent="0.25">
      <c r="S8330" s="24">
        <f t="shared" si="433"/>
        <v>0.02</v>
      </c>
    </row>
    <row r="8331" spans="19:19" x14ac:dyDescent="0.25">
      <c r="S8331" s="24">
        <f t="shared" ref="S8331:S8394" si="434">VLOOKUP(N8331,$T$1:$U$7,2,TRUE)</f>
        <v>0.02</v>
      </c>
    </row>
    <row r="8332" spans="19:19" x14ac:dyDescent="0.25">
      <c r="S8332" s="24">
        <f t="shared" si="434"/>
        <v>0.02</v>
      </c>
    </row>
    <row r="8333" spans="19:19" x14ac:dyDescent="0.25">
      <c r="S8333" s="24">
        <f t="shared" si="434"/>
        <v>0.02</v>
      </c>
    </row>
    <row r="8334" spans="19:19" x14ac:dyDescent="0.25">
      <c r="S8334" s="24">
        <f t="shared" si="434"/>
        <v>0.02</v>
      </c>
    </row>
    <row r="8335" spans="19:19" x14ac:dyDescent="0.25">
      <c r="S8335" s="24">
        <f t="shared" si="434"/>
        <v>0.02</v>
      </c>
    </row>
    <row r="8336" spans="19:19" x14ac:dyDescent="0.25">
      <c r="S8336" s="24">
        <f t="shared" si="434"/>
        <v>0.02</v>
      </c>
    </row>
    <row r="8337" spans="19:19" x14ac:dyDescent="0.25">
      <c r="S8337" s="24">
        <f t="shared" si="434"/>
        <v>0.02</v>
      </c>
    </row>
    <row r="8338" spans="19:19" x14ac:dyDescent="0.25">
      <c r="S8338" s="24">
        <f t="shared" si="434"/>
        <v>0.02</v>
      </c>
    </row>
    <row r="8339" spans="19:19" x14ac:dyDescent="0.25">
      <c r="S8339" s="24">
        <f t="shared" si="434"/>
        <v>0.02</v>
      </c>
    </row>
    <row r="8340" spans="19:19" x14ac:dyDescent="0.25">
      <c r="S8340" s="24">
        <f t="shared" si="434"/>
        <v>0.02</v>
      </c>
    </row>
    <row r="8341" spans="19:19" x14ac:dyDescent="0.25">
      <c r="S8341" s="24">
        <f t="shared" si="434"/>
        <v>0.02</v>
      </c>
    </row>
    <row r="8342" spans="19:19" x14ac:dyDescent="0.25">
      <c r="S8342" s="24">
        <f t="shared" si="434"/>
        <v>0.02</v>
      </c>
    </row>
    <row r="8343" spans="19:19" x14ac:dyDescent="0.25">
      <c r="S8343" s="24">
        <f t="shared" si="434"/>
        <v>0.02</v>
      </c>
    </row>
    <row r="8344" spans="19:19" x14ac:dyDescent="0.25">
      <c r="S8344" s="24">
        <f t="shared" si="434"/>
        <v>0.02</v>
      </c>
    </row>
    <row r="8345" spans="19:19" x14ac:dyDescent="0.25">
      <c r="S8345" s="24">
        <f t="shared" si="434"/>
        <v>0.02</v>
      </c>
    </row>
    <row r="8346" spans="19:19" x14ac:dyDescent="0.25">
      <c r="S8346" s="24">
        <f t="shared" si="434"/>
        <v>0.02</v>
      </c>
    </row>
    <row r="8347" spans="19:19" x14ac:dyDescent="0.25">
      <c r="S8347" s="24">
        <f t="shared" si="434"/>
        <v>0.02</v>
      </c>
    </row>
    <row r="8348" spans="19:19" x14ac:dyDescent="0.25">
      <c r="S8348" s="24">
        <f t="shared" si="434"/>
        <v>0.02</v>
      </c>
    </row>
    <row r="8349" spans="19:19" x14ac:dyDescent="0.25">
      <c r="S8349" s="24">
        <f t="shared" si="434"/>
        <v>0.02</v>
      </c>
    </row>
    <row r="8350" spans="19:19" x14ac:dyDescent="0.25">
      <c r="S8350" s="24">
        <f t="shared" si="434"/>
        <v>0.02</v>
      </c>
    </row>
    <row r="8351" spans="19:19" x14ac:dyDescent="0.25">
      <c r="S8351" s="24">
        <f t="shared" si="434"/>
        <v>0.02</v>
      </c>
    </row>
    <row r="8352" spans="19:19" x14ac:dyDescent="0.25">
      <c r="S8352" s="24">
        <f t="shared" si="434"/>
        <v>0.02</v>
      </c>
    </row>
    <row r="8353" spans="19:19" x14ac:dyDescent="0.25">
      <c r="S8353" s="24">
        <f t="shared" si="434"/>
        <v>0.02</v>
      </c>
    </row>
    <row r="8354" spans="19:19" x14ac:dyDescent="0.25">
      <c r="S8354" s="24">
        <f t="shared" si="434"/>
        <v>0.02</v>
      </c>
    </row>
    <row r="8355" spans="19:19" x14ac:dyDescent="0.25">
      <c r="S8355" s="24">
        <f t="shared" si="434"/>
        <v>0.02</v>
      </c>
    </row>
    <row r="8356" spans="19:19" x14ac:dyDescent="0.25">
      <c r="S8356" s="24">
        <f t="shared" si="434"/>
        <v>0.02</v>
      </c>
    </row>
    <row r="8357" spans="19:19" x14ac:dyDescent="0.25">
      <c r="S8357" s="24">
        <f t="shared" si="434"/>
        <v>0.02</v>
      </c>
    </row>
    <row r="8358" spans="19:19" x14ac:dyDescent="0.25">
      <c r="S8358" s="24">
        <f t="shared" si="434"/>
        <v>0.02</v>
      </c>
    </row>
    <row r="8359" spans="19:19" x14ac:dyDescent="0.25">
      <c r="S8359" s="24">
        <f t="shared" si="434"/>
        <v>0.02</v>
      </c>
    </row>
    <row r="8360" spans="19:19" x14ac:dyDescent="0.25">
      <c r="S8360" s="24">
        <f t="shared" si="434"/>
        <v>0.02</v>
      </c>
    </row>
    <row r="8361" spans="19:19" x14ac:dyDescent="0.25">
      <c r="S8361" s="24">
        <f t="shared" si="434"/>
        <v>0.02</v>
      </c>
    </row>
    <row r="8362" spans="19:19" x14ac:dyDescent="0.25">
      <c r="S8362" s="24">
        <f t="shared" si="434"/>
        <v>0.02</v>
      </c>
    </row>
    <row r="8363" spans="19:19" x14ac:dyDescent="0.25">
      <c r="S8363" s="24">
        <f t="shared" si="434"/>
        <v>0.02</v>
      </c>
    </row>
    <row r="8364" spans="19:19" x14ac:dyDescent="0.25">
      <c r="S8364" s="24">
        <f t="shared" si="434"/>
        <v>0.02</v>
      </c>
    </row>
    <row r="8365" spans="19:19" x14ac:dyDescent="0.25">
      <c r="S8365" s="24">
        <f t="shared" si="434"/>
        <v>0.02</v>
      </c>
    </row>
    <row r="8366" spans="19:19" x14ac:dyDescent="0.25">
      <c r="S8366" s="24">
        <f t="shared" si="434"/>
        <v>0.02</v>
      </c>
    </row>
    <row r="8367" spans="19:19" x14ac:dyDescent="0.25">
      <c r="S8367" s="24">
        <f t="shared" si="434"/>
        <v>0.02</v>
      </c>
    </row>
    <row r="8368" spans="19:19" x14ac:dyDescent="0.25">
      <c r="S8368" s="24">
        <f t="shared" si="434"/>
        <v>0.02</v>
      </c>
    </row>
    <row r="8369" spans="19:19" x14ac:dyDescent="0.25">
      <c r="S8369" s="24">
        <f t="shared" si="434"/>
        <v>0.02</v>
      </c>
    </row>
    <row r="8370" spans="19:19" x14ac:dyDescent="0.25">
      <c r="S8370" s="24">
        <f t="shared" si="434"/>
        <v>0.02</v>
      </c>
    </row>
    <row r="8371" spans="19:19" x14ac:dyDescent="0.25">
      <c r="S8371" s="24">
        <f t="shared" si="434"/>
        <v>0.02</v>
      </c>
    </row>
    <row r="8372" spans="19:19" x14ac:dyDescent="0.25">
      <c r="S8372" s="24">
        <f t="shared" si="434"/>
        <v>0.02</v>
      </c>
    </row>
    <row r="8373" spans="19:19" x14ac:dyDescent="0.25">
      <c r="S8373" s="24">
        <f t="shared" si="434"/>
        <v>0.02</v>
      </c>
    </row>
    <row r="8374" spans="19:19" x14ac:dyDescent="0.25">
      <c r="S8374" s="24">
        <f t="shared" si="434"/>
        <v>0.02</v>
      </c>
    </row>
    <row r="8375" spans="19:19" x14ac:dyDescent="0.25">
      <c r="S8375" s="24">
        <f t="shared" si="434"/>
        <v>0.02</v>
      </c>
    </row>
    <row r="8376" spans="19:19" x14ac:dyDescent="0.25">
      <c r="S8376" s="24">
        <f t="shared" si="434"/>
        <v>0.02</v>
      </c>
    </row>
    <row r="8377" spans="19:19" x14ac:dyDescent="0.25">
      <c r="S8377" s="24">
        <f t="shared" si="434"/>
        <v>0.02</v>
      </c>
    </row>
    <row r="8378" spans="19:19" x14ac:dyDescent="0.25">
      <c r="S8378" s="24">
        <f t="shared" si="434"/>
        <v>0.02</v>
      </c>
    </row>
    <row r="8379" spans="19:19" x14ac:dyDescent="0.25">
      <c r="S8379" s="24">
        <f t="shared" si="434"/>
        <v>0.02</v>
      </c>
    </row>
    <row r="8380" spans="19:19" x14ac:dyDescent="0.25">
      <c r="S8380" s="24">
        <f t="shared" si="434"/>
        <v>0.02</v>
      </c>
    </row>
    <row r="8381" spans="19:19" x14ac:dyDescent="0.25">
      <c r="S8381" s="24">
        <f t="shared" si="434"/>
        <v>0.02</v>
      </c>
    </row>
    <row r="8382" spans="19:19" x14ac:dyDescent="0.25">
      <c r="S8382" s="24">
        <f t="shared" si="434"/>
        <v>0.02</v>
      </c>
    </row>
    <row r="8383" spans="19:19" x14ac:dyDescent="0.25">
      <c r="S8383" s="24">
        <f t="shared" si="434"/>
        <v>0.02</v>
      </c>
    </row>
    <row r="8384" spans="19:19" x14ac:dyDescent="0.25">
      <c r="S8384" s="24">
        <f t="shared" si="434"/>
        <v>0.02</v>
      </c>
    </row>
    <row r="8385" spans="19:19" x14ac:dyDescent="0.25">
      <c r="S8385" s="24">
        <f t="shared" si="434"/>
        <v>0.02</v>
      </c>
    </row>
    <row r="8386" spans="19:19" x14ac:dyDescent="0.25">
      <c r="S8386" s="24">
        <f t="shared" si="434"/>
        <v>0.02</v>
      </c>
    </row>
    <row r="8387" spans="19:19" x14ac:dyDescent="0.25">
      <c r="S8387" s="24">
        <f t="shared" si="434"/>
        <v>0.02</v>
      </c>
    </row>
    <row r="8388" spans="19:19" x14ac:dyDescent="0.25">
      <c r="S8388" s="24">
        <f t="shared" si="434"/>
        <v>0.02</v>
      </c>
    </row>
    <row r="8389" spans="19:19" x14ac:dyDescent="0.25">
      <c r="S8389" s="24">
        <f t="shared" si="434"/>
        <v>0.02</v>
      </c>
    </row>
    <row r="8390" spans="19:19" x14ac:dyDescent="0.25">
      <c r="S8390" s="24">
        <f t="shared" si="434"/>
        <v>0.02</v>
      </c>
    </row>
    <row r="8391" spans="19:19" x14ac:dyDescent="0.25">
      <c r="S8391" s="24">
        <f t="shared" si="434"/>
        <v>0.02</v>
      </c>
    </row>
    <row r="8392" spans="19:19" x14ac:dyDescent="0.25">
      <c r="S8392" s="24">
        <f t="shared" si="434"/>
        <v>0.02</v>
      </c>
    </row>
    <row r="8393" spans="19:19" x14ac:dyDescent="0.25">
      <c r="S8393" s="24">
        <f t="shared" si="434"/>
        <v>0.02</v>
      </c>
    </row>
    <row r="8394" spans="19:19" x14ac:dyDescent="0.25">
      <c r="S8394" s="24">
        <f t="shared" si="434"/>
        <v>0.02</v>
      </c>
    </row>
    <row r="8395" spans="19:19" x14ac:dyDescent="0.25">
      <c r="S8395" s="24">
        <f t="shared" ref="S8395:S8458" si="435">VLOOKUP(N8395,$T$1:$U$7,2,TRUE)</f>
        <v>0.02</v>
      </c>
    </row>
    <row r="8396" spans="19:19" x14ac:dyDescent="0.25">
      <c r="S8396" s="24">
        <f t="shared" si="435"/>
        <v>0.02</v>
      </c>
    </row>
    <row r="8397" spans="19:19" x14ac:dyDescent="0.25">
      <c r="S8397" s="24">
        <f t="shared" si="435"/>
        <v>0.02</v>
      </c>
    </row>
    <row r="8398" spans="19:19" x14ac:dyDescent="0.25">
      <c r="S8398" s="24">
        <f t="shared" si="435"/>
        <v>0.02</v>
      </c>
    </row>
    <row r="8399" spans="19:19" x14ac:dyDescent="0.25">
      <c r="S8399" s="24">
        <f t="shared" si="435"/>
        <v>0.02</v>
      </c>
    </row>
    <row r="8400" spans="19:19" x14ac:dyDescent="0.25">
      <c r="S8400" s="24">
        <f t="shared" si="435"/>
        <v>0.02</v>
      </c>
    </row>
    <row r="8401" spans="19:19" x14ac:dyDescent="0.25">
      <c r="S8401" s="24">
        <f t="shared" si="435"/>
        <v>0.02</v>
      </c>
    </row>
    <row r="8402" spans="19:19" x14ac:dyDescent="0.25">
      <c r="S8402" s="24">
        <f t="shared" si="435"/>
        <v>0.02</v>
      </c>
    </row>
    <row r="8403" spans="19:19" x14ac:dyDescent="0.25">
      <c r="S8403" s="24">
        <f t="shared" si="435"/>
        <v>0.02</v>
      </c>
    </row>
    <row r="8404" spans="19:19" x14ac:dyDescent="0.25">
      <c r="S8404" s="24">
        <f t="shared" si="435"/>
        <v>0.02</v>
      </c>
    </row>
    <row r="8405" spans="19:19" x14ac:dyDescent="0.25">
      <c r="S8405" s="24">
        <f t="shared" si="435"/>
        <v>0.02</v>
      </c>
    </row>
    <row r="8406" spans="19:19" x14ac:dyDescent="0.25">
      <c r="S8406" s="24">
        <f t="shared" si="435"/>
        <v>0.02</v>
      </c>
    </row>
    <row r="8407" spans="19:19" x14ac:dyDescent="0.25">
      <c r="S8407" s="24">
        <f t="shared" si="435"/>
        <v>0.02</v>
      </c>
    </row>
    <row r="8408" spans="19:19" x14ac:dyDescent="0.25">
      <c r="S8408" s="24">
        <f t="shared" si="435"/>
        <v>0.02</v>
      </c>
    </row>
    <row r="8409" spans="19:19" x14ac:dyDescent="0.25">
      <c r="S8409" s="24">
        <f t="shared" si="435"/>
        <v>0.02</v>
      </c>
    </row>
    <row r="8410" spans="19:19" x14ac:dyDescent="0.25">
      <c r="S8410" s="24">
        <f t="shared" si="435"/>
        <v>0.02</v>
      </c>
    </row>
    <row r="8411" spans="19:19" x14ac:dyDescent="0.25">
      <c r="S8411" s="24">
        <f t="shared" si="435"/>
        <v>0.02</v>
      </c>
    </row>
    <row r="8412" spans="19:19" x14ac:dyDescent="0.25">
      <c r="S8412" s="24">
        <f t="shared" si="435"/>
        <v>0.02</v>
      </c>
    </row>
    <row r="8413" spans="19:19" x14ac:dyDescent="0.25">
      <c r="S8413" s="24">
        <f t="shared" si="435"/>
        <v>0.02</v>
      </c>
    </row>
    <row r="8414" spans="19:19" x14ac:dyDescent="0.25">
      <c r="S8414" s="24">
        <f t="shared" si="435"/>
        <v>0.02</v>
      </c>
    </row>
    <row r="8415" spans="19:19" x14ac:dyDescent="0.25">
      <c r="S8415" s="24">
        <f t="shared" si="435"/>
        <v>0.02</v>
      </c>
    </row>
    <row r="8416" spans="19:19" x14ac:dyDescent="0.25">
      <c r="S8416" s="24">
        <f t="shared" si="435"/>
        <v>0.02</v>
      </c>
    </row>
    <row r="8417" spans="19:19" x14ac:dyDescent="0.25">
      <c r="S8417" s="24">
        <f t="shared" si="435"/>
        <v>0.02</v>
      </c>
    </row>
    <row r="8418" spans="19:19" x14ac:dyDescent="0.25">
      <c r="S8418" s="24">
        <f t="shared" si="435"/>
        <v>0.02</v>
      </c>
    </row>
    <row r="8419" spans="19:19" x14ac:dyDescent="0.25">
      <c r="S8419" s="24">
        <f t="shared" si="435"/>
        <v>0.02</v>
      </c>
    </row>
    <row r="8420" spans="19:19" x14ac:dyDescent="0.25">
      <c r="S8420" s="24">
        <f t="shared" si="435"/>
        <v>0.02</v>
      </c>
    </row>
    <row r="8421" spans="19:19" x14ac:dyDescent="0.25">
      <c r="S8421" s="24">
        <f t="shared" si="435"/>
        <v>0.02</v>
      </c>
    </row>
    <row r="8422" spans="19:19" x14ac:dyDescent="0.25">
      <c r="S8422" s="24">
        <f t="shared" si="435"/>
        <v>0.02</v>
      </c>
    </row>
    <row r="8423" spans="19:19" x14ac:dyDescent="0.25">
      <c r="S8423" s="24">
        <f t="shared" si="435"/>
        <v>0.02</v>
      </c>
    </row>
    <row r="8424" spans="19:19" x14ac:dyDescent="0.25">
      <c r="S8424" s="24">
        <f t="shared" si="435"/>
        <v>0.02</v>
      </c>
    </row>
    <row r="8425" spans="19:19" x14ac:dyDescent="0.25">
      <c r="S8425" s="24">
        <f t="shared" si="435"/>
        <v>0.02</v>
      </c>
    </row>
    <row r="8426" spans="19:19" x14ac:dyDescent="0.25">
      <c r="S8426" s="24">
        <f t="shared" si="435"/>
        <v>0.02</v>
      </c>
    </row>
    <row r="8427" spans="19:19" x14ac:dyDescent="0.25">
      <c r="S8427" s="24">
        <f t="shared" si="435"/>
        <v>0.02</v>
      </c>
    </row>
    <row r="8428" spans="19:19" x14ac:dyDescent="0.25">
      <c r="S8428" s="24">
        <f t="shared" si="435"/>
        <v>0.02</v>
      </c>
    </row>
    <row r="8429" spans="19:19" x14ac:dyDescent="0.25">
      <c r="S8429" s="24">
        <f t="shared" si="435"/>
        <v>0.02</v>
      </c>
    </row>
    <row r="8430" spans="19:19" x14ac:dyDescent="0.25">
      <c r="S8430" s="24">
        <f t="shared" si="435"/>
        <v>0.02</v>
      </c>
    </row>
    <row r="8431" spans="19:19" x14ac:dyDescent="0.25">
      <c r="S8431" s="24">
        <f t="shared" si="435"/>
        <v>0.02</v>
      </c>
    </row>
    <row r="8432" spans="19:19" x14ac:dyDescent="0.25">
      <c r="S8432" s="24">
        <f t="shared" si="435"/>
        <v>0.02</v>
      </c>
    </row>
    <row r="8433" spans="19:19" x14ac:dyDescent="0.25">
      <c r="S8433" s="24">
        <f t="shared" si="435"/>
        <v>0.02</v>
      </c>
    </row>
    <row r="8434" spans="19:19" x14ac:dyDescent="0.25">
      <c r="S8434" s="24">
        <f t="shared" si="435"/>
        <v>0.02</v>
      </c>
    </row>
    <row r="8435" spans="19:19" x14ac:dyDescent="0.25">
      <c r="S8435" s="24">
        <f t="shared" si="435"/>
        <v>0.02</v>
      </c>
    </row>
    <row r="8436" spans="19:19" x14ac:dyDescent="0.25">
      <c r="S8436" s="24">
        <f t="shared" si="435"/>
        <v>0.02</v>
      </c>
    </row>
    <row r="8437" spans="19:19" x14ac:dyDescent="0.25">
      <c r="S8437" s="24">
        <f t="shared" si="435"/>
        <v>0.02</v>
      </c>
    </row>
    <row r="8438" spans="19:19" x14ac:dyDescent="0.25">
      <c r="S8438" s="24">
        <f t="shared" si="435"/>
        <v>0.02</v>
      </c>
    </row>
    <row r="8439" spans="19:19" x14ac:dyDescent="0.25">
      <c r="S8439" s="24">
        <f t="shared" si="435"/>
        <v>0.02</v>
      </c>
    </row>
    <row r="8440" spans="19:19" x14ac:dyDescent="0.25">
      <c r="S8440" s="24">
        <f t="shared" si="435"/>
        <v>0.02</v>
      </c>
    </row>
    <row r="8441" spans="19:19" x14ac:dyDescent="0.25">
      <c r="S8441" s="24">
        <f t="shared" si="435"/>
        <v>0.02</v>
      </c>
    </row>
    <row r="8442" spans="19:19" x14ac:dyDescent="0.25">
      <c r="S8442" s="24">
        <f t="shared" si="435"/>
        <v>0.02</v>
      </c>
    </row>
    <row r="8443" spans="19:19" x14ac:dyDescent="0.25">
      <c r="S8443" s="24">
        <f t="shared" si="435"/>
        <v>0.02</v>
      </c>
    </row>
    <row r="8444" spans="19:19" x14ac:dyDescent="0.25">
      <c r="S8444" s="24">
        <f t="shared" si="435"/>
        <v>0.02</v>
      </c>
    </row>
    <row r="8445" spans="19:19" x14ac:dyDescent="0.25">
      <c r="S8445" s="24">
        <f t="shared" si="435"/>
        <v>0.02</v>
      </c>
    </row>
    <row r="8446" spans="19:19" x14ac:dyDescent="0.25">
      <c r="S8446" s="24">
        <f t="shared" si="435"/>
        <v>0.02</v>
      </c>
    </row>
    <row r="8447" spans="19:19" x14ac:dyDescent="0.25">
      <c r="S8447" s="24">
        <f t="shared" si="435"/>
        <v>0.02</v>
      </c>
    </row>
    <row r="8448" spans="19:19" x14ac:dyDescent="0.25">
      <c r="S8448" s="24">
        <f t="shared" si="435"/>
        <v>0.02</v>
      </c>
    </row>
    <row r="8449" spans="19:19" x14ac:dyDescent="0.25">
      <c r="S8449" s="24">
        <f t="shared" si="435"/>
        <v>0.02</v>
      </c>
    </row>
    <row r="8450" spans="19:19" x14ac:dyDescent="0.25">
      <c r="S8450" s="24">
        <f t="shared" si="435"/>
        <v>0.02</v>
      </c>
    </row>
    <row r="8451" spans="19:19" x14ac:dyDescent="0.25">
      <c r="S8451" s="24">
        <f t="shared" si="435"/>
        <v>0.02</v>
      </c>
    </row>
    <row r="8452" spans="19:19" x14ac:dyDescent="0.25">
      <c r="S8452" s="24">
        <f t="shared" si="435"/>
        <v>0.02</v>
      </c>
    </row>
    <row r="8453" spans="19:19" x14ac:dyDescent="0.25">
      <c r="S8453" s="24">
        <f t="shared" si="435"/>
        <v>0.02</v>
      </c>
    </row>
    <row r="8454" spans="19:19" x14ac:dyDescent="0.25">
      <c r="S8454" s="24">
        <f t="shared" si="435"/>
        <v>0.02</v>
      </c>
    </row>
    <row r="8455" spans="19:19" x14ac:dyDescent="0.25">
      <c r="S8455" s="24">
        <f t="shared" si="435"/>
        <v>0.02</v>
      </c>
    </row>
    <row r="8456" spans="19:19" x14ac:dyDescent="0.25">
      <c r="S8456" s="24">
        <f t="shared" si="435"/>
        <v>0.02</v>
      </c>
    </row>
    <row r="8457" spans="19:19" x14ac:dyDescent="0.25">
      <c r="S8457" s="24">
        <f t="shared" si="435"/>
        <v>0.02</v>
      </c>
    </row>
    <row r="8458" spans="19:19" x14ac:dyDescent="0.25">
      <c r="S8458" s="24">
        <f t="shared" si="435"/>
        <v>0.02</v>
      </c>
    </row>
    <row r="8459" spans="19:19" x14ac:dyDescent="0.25">
      <c r="S8459" s="24">
        <f t="shared" ref="S8459:S8522" si="436">VLOOKUP(N8459,$T$1:$U$7,2,TRUE)</f>
        <v>0.02</v>
      </c>
    </row>
    <row r="8460" spans="19:19" x14ac:dyDescent="0.25">
      <c r="S8460" s="24">
        <f t="shared" si="436"/>
        <v>0.02</v>
      </c>
    </row>
    <row r="8461" spans="19:19" x14ac:dyDescent="0.25">
      <c r="S8461" s="24">
        <f t="shared" si="436"/>
        <v>0.02</v>
      </c>
    </row>
    <row r="8462" spans="19:19" x14ac:dyDescent="0.25">
      <c r="S8462" s="24">
        <f t="shared" si="436"/>
        <v>0.02</v>
      </c>
    </row>
    <row r="8463" spans="19:19" x14ac:dyDescent="0.25">
      <c r="S8463" s="24">
        <f t="shared" si="436"/>
        <v>0.02</v>
      </c>
    </row>
    <row r="8464" spans="19:19" x14ac:dyDescent="0.25">
      <c r="S8464" s="24">
        <f t="shared" si="436"/>
        <v>0.02</v>
      </c>
    </row>
    <row r="8465" spans="19:19" x14ac:dyDescent="0.25">
      <c r="S8465" s="24">
        <f t="shared" si="436"/>
        <v>0.02</v>
      </c>
    </row>
    <row r="8466" spans="19:19" x14ac:dyDescent="0.25">
      <c r="S8466" s="24">
        <f t="shared" si="436"/>
        <v>0.02</v>
      </c>
    </row>
    <row r="8467" spans="19:19" x14ac:dyDescent="0.25">
      <c r="S8467" s="24">
        <f t="shared" si="436"/>
        <v>0.02</v>
      </c>
    </row>
    <row r="8468" spans="19:19" x14ac:dyDescent="0.25">
      <c r="S8468" s="24">
        <f t="shared" si="436"/>
        <v>0.02</v>
      </c>
    </row>
    <row r="8469" spans="19:19" x14ac:dyDescent="0.25">
      <c r="S8469" s="24">
        <f t="shared" si="436"/>
        <v>0.02</v>
      </c>
    </row>
    <row r="8470" spans="19:19" x14ac:dyDescent="0.25">
      <c r="S8470" s="24">
        <f t="shared" si="436"/>
        <v>0.02</v>
      </c>
    </row>
    <row r="8471" spans="19:19" x14ac:dyDescent="0.25">
      <c r="S8471" s="24">
        <f t="shared" si="436"/>
        <v>0.02</v>
      </c>
    </row>
    <row r="8472" spans="19:19" x14ac:dyDescent="0.25">
      <c r="S8472" s="24">
        <f t="shared" si="436"/>
        <v>0.02</v>
      </c>
    </row>
    <row r="8473" spans="19:19" x14ac:dyDescent="0.25">
      <c r="S8473" s="24">
        <f t="shared" si="436"/>
        <v>0.02</v>
      </c>
    </row>
    <row r="8474" spans="19:19" x14ac:dyDescent="0.25">
      <c r="S8474" s="24">
        <f t="shared" si="436"/>
        <v>0.02</v>
      </c>
    </row>
    <row r="8475" spans="19:19" x14ac:dyDescent="0.25">
      <c r="S8475" s="24">
        <f t="shared" si="436"/>
        <v>0.02</v>
      </c>
    </row>
    <row r="8476" spans="19:19" x14ac:dyDescent="0.25">
      <c r="S8476" s="24">
        <f t="shared" si="436"/>
        <v>0.02</v>
      </c>
    </row>
    <row r="8477" spans="19:19" x14ac:dyDescent="0.25">
      <c r="S8477" s="24">
        <f t="shared" si="436"/>
        <v>0.02</v>
      </c>
    </row>
    <row r="8478" spans="19:19" x14ac:dyDescent="0.25">
      <c r="S8478" s="24">
        <f t="shared" si="436"/>
        <v>0.02</v>
      </c>
    </row>
    <row r="8479" spans="19:19" x14ac:dyDescent="0.25">
      <c r="S8479" s="24">
        <f t="shared" si="436"/>
        <v>0.02</v>
      </c>
    </row>
    <row r="8480" spans="19:19" x14ac:dyDescent="0.25">
      <c r="S8480" s="24">
        <f t="shared" si="436"/>
        <v>0.02</v>
      </c>
    </row>
    <row r="8481" spans="19:19" x14ac:dyDescent="0.25">
      <c r="S8481" s="24">
        <f t="shared" si="436"/>
        <v>0.02</v>
      </c>
    </row>
    <row r="8482" spans="19:19" x14ac:dyDescent="0.25">
      <c r="S8482" s="24">
        <f t="shared" si="436"/>
        <v>0.02</v>
      </c>
    </row>
    <row r="8483" spans="19:19" x14ac:dyDescent="0.25">
      <c r="S8483" s="24">
        <f t="shared" si="436"/>
        <v>0.02</v>
      </c>
    </row>
    <row r="8484" spans="19:19" x14ac:dyDescent="0.25">
      <c r="S8484" s="24">
        <f t="shared" si="436"/>
        <v>0.02</v>
      </c>
    </row>
    <row r="8485" spans="19:19" x14ac:dyDescent="0.25">
      <c r="S8485" s="24">
        <f t="shared" si="436"/>
        <v>0.02</v>
      </c>
    </row>
    <row r="8486" spans="19:19" x14ac:dyDescent="0.25">
      <c r="S8486" s="24">
        <f t="shared" si="436"/>
        <v>0.02</v>
      </c>
    </row>
    <row r="8487" spans="19:19" x14ac:dyDescent="0.25">
      <c r="S8487" s="24">
        <f t="shared" si="436"/>
        <v>0.02</v>
      </c>
    </row>
    <row r="8488" spans="19:19" x14ac:dyDescent="0.25">
      <c r="S8488" s="24">
        <f t="shared" si="436"/>
        <v>0.02</v>
      </c>
    </row>
    <row r="8489" spans="19:19" x14ac:dyDescent="0.25">
      <c r="S8489" s="24">
        <f t="shared" si="436"/>
        <v>0.02</v>
      </c>
    </row>
    <row r="8490" spans="19:19" x14ac:dyDescent="0.25">
      <c r="S8490" s="24">
        <f t="shared" si="436"/>
        <v>0.02</v>
      </c>
    </row>
    <row r="8491" spans="19:19" x14ac:dyDescent="0.25">
      <c r="S8491" s="24">
        <f t="shared" si="436"/>
        <v>0.02</v>
      </c>
    </row>
    <row r="8492" spans="19:19" x14ac:dyDescent="0.25">
      <c r="S8492" s="24">
        <f t="shared" si="436"/>
        <v>0.02</v>
      </c>
    </row>
    <row r="8493" spans="19:19" x14ac:dyDescent="0.25">
      <c r="S8493" s="24">
        <f t="shared" si="436"/>
        <v>0.02</v>
      </c>
    </row>
    <row r="8494" spans="19:19" x14ac:dyDescent="0.25">
      <c r="S8494" s="24">
        <f t="shared" si="436"/>
        <v>0.02</v>
      </c>
    </row>
    <row r="8495" spans="19:19" x14ac:dyDescent="0.25">
      <c r="S8495" s="24">
        <f t="shared" si="436"/>
        <v>0.02</v>
      </c>
    </row>
    <row r="8496" spans="19:19" x14ac:dyDescent="0.25">
      <c r="S8496" s="24">
        <f t="shared" si="436"/>
        <v>0.02</v>
      </c>
    </row>
    <row r="8497" spans="19:19" x14ac:dyDescent="0.25">
      <c r="S8497" s="24">
        <f t="shared" si="436"/>
        <v>0.02</v>
      </c>
    </row>
    <row r="8498" spans="19:19" x14ac:dyDescent="0.25">
      <c r="S8498" s="24">
        <f t="shared" si="436"/>
        <v>0.02</v>
      </c>
    </row>
    <row r="8499" spans="19:19" x14ac:dyDescent="0.25">
      <c r="S8499" s="24">
        <f t="shared" si="436"/>
        <v>0.02</v>
      </c>
    </row>
    <row r="8500" spans="19:19" x14ac:dyDescent="0.25">
      <c r="S8500" s="24">
        <f t="shared" si="436"/>
        <v>0.02</v>
      </c>
    </row>
    <row r="8501" spans="19:19" x14ac:dyDescent="0.25">
      <c r="S8501" s="24">
        <f t="shared" si="436"/>
        <v>0.02</v>
      </c>
    </row>
    <row r="8502" spans="19:19" x14ac:dyDescent="0.25">
      <c r="S8502" s="24">
        <f t="shared" si="436"/>
        <v>0.02</v>
      </c>
    </row>
    <row r="8503" spans="19:19" x14ac:dyDescent="0.25">
      <c r="S8503" s="24">
        <f t="shared" si="436"/>
        <v>0.02</v>
      </c>
    </row>
    <row r="8504" spans="19:19" x14ac:dyDescent="0.25">
      <c r="S8504" s="24">
        <f t="shared" si="436"/>
        <v>0.02</v>
      </c>
    </row>
    <row r="8505" spans="19:19" x14ac:dyDescent="0.25">
      <c r="S8505" s="24">
        <f t="shared" si="436"/>
        <v>0.02</v>
      </c>
    </row>
    <row r="8506" spans="19:19" x14ac:dyDescent="0.25">
      <c r="S8506" s="24">
        <f t="shared" si="436"/>
        <v>0.02</v>
      </c>
    </row>
    <row r="8507" spans="19:19" x14ac:dyDescent="0.25">
      <c r="S8507" s="24">
        <f t="shared" si="436"/>
        <v>0.02</v>
      </c>
    </row>
    <row r="8508" spans="19:19" x14ac:dyDescent="0.25">
      <c r="S8508" s="24">
        <f t="shared" si="436"/>
        <v>0.02</v>
      </c>
    </row>
    <row r="8509" spans="19:19" x14ac:dyDescent="0.25">
      <c r="S8509" s="24">
        <f t="shared" si="436"/>
        <v>0.02</v>
      </c>
    </row>
    <row r="8510" spans="19:19" x14ac:dyDescent="0.25">
      <c r="S8510" s="24">
        <f t="shared" si="436"/>
        <v>0.02</v>
      </c>
    </row>
    <row r="8511" spans="19:19" x14ac:dyDescent="0.25">
      <c r="S8511" s="24">
        <f t="shared" si="436"/>
        <v>0.02</v>
      </c>
    </row>
    <row r="8512" spans="19:19" x14ac:dyDescent="0.25">
      <c r="S8512" s="24">
        <f t="shared" si="436"/>
        <v>0.02</v>
      </c>
    </row>
    <row r="8513" spans="19:19" x14ac:dyDescent="0.25">
      <c r="S8513" s="24">
        <f t="shared" si="436"/>
        <v>0.02</v>
      </c>
    </row>
    <row r="8514" spans="19:19" x14ac:dyDescent="0.25">
      <c r="S8514" s="24">
        <f t="shared" si="436"/>
        <v>0.02</v>
      </c>
    </row>
    <row r="8515" spans="19:19" x14ac:dyDescent="0.25">
      <c r="S8515" s="24">
        <f t="shared" si="436"/>
        <v>0.02</v>
      </c>
    </row>
    <row r="8516" spans="19:19" x14ac:dyDescent="0.25">
      <c r="S8516" s="24">
        <f t="shared" si="436"/>
        <v>0.02</v>
      </c>
    </row>
    <row r="8517" spans="19:19" x14ac:dyDescent="0.25">
      <c r="S8517" s="24">
        <f t="shared" si="436"/>
        <v>0.02</v>
      </c>
    </row>
    <row r="8518" spans="19:19" x14ac:dyDescent="0.25">
      <c r="S8518" s="24">
        <f t="shared" si="436"/>
        <v>0.02</v>
      </c>
    </row>
    <row r="8519" spans="19:19" x14ac:dyDescent="0.25">
      <c r="S8519" s="24">
        <f t="shared" si="436"/>
        <v>0.02</v>
      </c>
    </row>
    <row r="8520" spans="19:19" x14ac:dyDescent="0.25">
      <c r="S8520" s="24">
        <f t="shared" si="436"/>
        <v>0.02</v>
      </c>
    </row>
    <row r="8521" spans="19:19" x14ac:dyDescent="0.25">
      <c r="S8521" s="24">
        <f t="shared" si="436"/>
        <v>0.02</v>
      </c>
    </row>
    <row r="8522" spans="19:19" x14ac:dyDescent="0.25">
      <c r="S8522" s="24">
        <f t="shared" si="436"/>
        <v>0.02</v>
      </c>
    </row>
    <row r="8523" spans="19:19" x14ac:dyDescent="0.25">
      <c r="S8523" s="24">
        <f t="shared" ref="S8523:S8586" si="437">VLOOKUP(N8523,$T$1:$U$7,2,TRUE)</f>
        <v>0.02</v>
      </c>
    </row>
    <row r="8524" spans="19:19" x14ac:dyDescent="0.25">
      <c r="S8524" s="24">
        <f t="shared" si="437"/>
        <v>0.02</v>
      </c>
    </row>
    <row r="8525" spans="19:19" x14ac:dyDescent="0.25">
      <c r="S8525" s="24">
        <f t="shared" si="437"/>
        <v>0.02</v>
      </c>
    </row>
    <row r="8526" spans="19:19" x14ac:dyDescent="0.25">
      <c r="S8526" s="24">
        <f t="shared" si="437"/>
        <v>0.02</v>
      </c>
    </row>
    <row r="8527" spans="19:19" x14ac:dyDescent="0.25">
      <c r="S8527" s="24">
        <f t="shared" si="437"/>
        <v>0.02</v>
      </c>
    </row>
    <row r="8528" spans="19:19" x14ac:dyDescent="0.25">
      <c r="S8528" s="24">
        <f t="shared" si="437"/>
        <v>0.02</v>
      </c>
    </row>
    <row r="8529" spans="19:19" x14ac:dyDescent="0.25">
      <c r="S8529" s="24">
        <f t="shared" si="437"/>
        <v>0.02</v>
      </c>
    </row>
    <row r="8530" spans="19:19" x14ac:dyDescent="0.25">
      <c r="S8530" s="24">
        <f t="shared" si="437"/>
        <v>0.02</v>
      </c>
    </row>
    <row r="8531" spans="19:19" x14ac:dyDescent="0.25">
      <c r="S8531" s="24">
        <f t="shared" si="437"/>
        <v>0.02</v>
      </c>
    </row>
    <row r="8532" spans="19:19" x14ac:dyDescent="0.25">
      <c r="S8532" s="24">
        <f t="shared" si="437"/>
        <v>0.02</v>
      </c>
    </row>
    <row r="8533" spans="19:19" x14ac:dyDescent="0.25">
      <c r="S8533" s="24">
        <f t="shared" si="437"/>
        <v>0.02</v>
      </c>
    </row>
    <row r="8534" spans="19:19" x14ac:dyDescent="0.25">
      <c r="S8534" s="24">
        <f t="shared" si="437"/>
        <v>0.02</v>
      </c>
    </row>
    <row r="8535" spans="19:19" x14ac:dyDescent="0.25">
      <c r="S8535" s="24">
        <f t="shared" si="437"/>
        <v>0.02</v>
      </c>
    </row>
    <row r="8536" spans="19:19" x14ac:dyDescent="0.25">
      <c r="S8536" s="24">
        <f t="shared" si="437"/>
        <v>0.02</v>
      </c>
    </row>
    <row r="8537" spans="19:19" x14ac:dyDescent="0.25">
      <c r="S8537" s="24">
        <f t="shared" si="437"/>
        <v>0.02</v>
      </c>
    </row>
    <row r="8538" spans="19:19" x14ac:dyDescent="0.25">
      <c r="S8538" s="24">
        <f t="shared" si="437"/>
        <v>0.02</v>
      </c>
    </row>
    <row r="8539" spans="19:19" x14ac:dyDescent="0.25">
      <c r="S8539" s="24">
        <f t="shared" si="437"/>
        <v>0.02</v>
      </c>
    </row>
    <row r="8540" spans="19:19" x14ac:dyDescent="0.25">
      <c r="S8540" s="24">
        <f t="shared" si="437"/>
        <v>0.02</v>
      </c>
    </row>
    <row r="8541" spans="19:19" x14ac:dyDescent="0.25">
      <c r="S8541" s="24">
        <f t="shared" si="437"/>
        <v>0.02</v>
      </c>
    </row>
    <row r="8542" spans="19:19" x14ac:dyDescent="0.25">
      <c r="S8542" s="24">
        <f t="shared" si="437"/>
        <v>0.02</v>
      </c>
    </row>
    <row r="8543" spans="19:19" x14ac:dyDescent="0.25">
      <c r="S8543" s="24">
        <f t="shared" si="437"/>
        <v>0.02</v>
      </c>
    </row>
    <row r="8544" spans="19:19" x14ac:dyDescent="0.25">
      <c r="S8544" s="24">
        <f t="shared" si="437"/>
        <v>0.02</v>
      </c>
    </row>
    <row r="8545" spans="19:19" x14ac:dyDescent="0.25">
      <c r="S8545" s="24">
        <f t="shared" si="437"/>
        <v>0.02</v>
      </c>
    </row>
    <row r="8546" spans="19:19" x14ac:dyDescent="0.25">
      <c r="S8546" s="24">
        <f t="shared" si="437"/>
        <v>0.02</v>
      </c>
    </row>
    <row r="8547" spans="19:19" x14ac:dyDescent="0.25">
      <c r="S8547" s="24">
        <f t="shared" si="437"/>
        <v>0.02</v>
      </c>
    </row>
    <row r="8548" spans="19:19" x14ac:dyDescent="0.25">
      <c r="S8548" s="24">
        <f t="shared" si="437"/>
        <v>0.02</v>
      </c>
    </row>
    <row r="8549" spans="19:19" x14ac:dyDescent="0.25">
      <c r="S8549" s="24">
        <f t="shared" si="437"/>
        <v>0.02</v>
      </c>
    </row>
    <row r="8550" spans="19:19" x14ac:dyDescent="0.25">
      <c r="S8550" s="24">
        <f t="shared" si="437"/>
        <v>0.02</v>
      </c>
    </row>
    <row r="8551" spans="19:19" x14ac:dyDescent="0.25">
      <c r="S8551" s="24">
        <f t="shared" si="437"/>
        <v>0.02</v>
      </c>
    </row>
    <row r="8552" spans="19:19" x14ac:dyDescent="0.25">
      <c r="S8552" s="24">
        <f t="shared" si="437"/>
        <v>0.02</v>
      </c>
    </row>
    <row r="8553" spans="19:19" x14ac:dyDescent="0.25">
      <c r="S8553" s="24">
        <f t="shared" si="437"/>
        <v>0.02</v>
      </c>
    </row>
    <row r="8554" spans="19:19" x14ac:dyDescent="0.25">
      <c r="S8554" s="24">
        <f t="shared" si="437"/>
        <v>0.02</v>
      </c>
    </row>
    <row r="8555" spans="19:19" x14ac:dyDescent="0.25">
      <c r="S8555" s="24">
        <f t="shared" si="437"/>
        <v>0.02</v>
      </c>
    </row>
    <row r="8556" spans="19:19" x14ac:dyDescent="0.25">
      <c r="S8556" s="24">
        <f t="shared" si="437"/>
        <v>0.02</v>
      </c>
    </row>
    <row r="8557" spans="19:19" x14ac:dyDescent="0.25">
      <c r="S8557" s="24">
        <f t="shared" si="437"/>
        <v>0.02</v>
      </c>
    </row>
    <row r="8558" spans="19:19" x14ac:dyDescent="0.25">
      <c r="S8558" s="24">
        <f t="shared" si="437"/>
        <v>0.02</v>
      </c>
    </row>
    <row r="8559" spans="19:19" x14ac:dyDescent="0.25">
      <c r="S8559" s="24">
        <f t="shared" si="437"/>
        <v>0.02</v>
      </c>
    </row>
    <row r="8560" spans="19:19" x14ac:dyDescent="0.25">
      <c r="S8560" s="24">
        <f t="shared" si="437"/>
        <v>0.02</v>
      </c>
    </row>
    <row r="8561" spans="19:19" x14ac:dyDescent="0.25">
      <c r="S8561" s="24">
        <f t="shared" si="437"/>
        <v>0.02</v>
      </c>
    </row>
    <row r="8562" spans="19:19" x14ac:dyDescent="0.25">
      <c r="S8562" s="24">
        <f t="shared" si="437"/>
        <v>0.02</v>
      </c>
    </row>
    <row r="8563" spans="19:19" x14ac:dyDescent="0.25">
      <c r="S8563" s="24">
        <f t="shared" si="437"/>
        <v>0.02</v>
      </c>
    </row>
    <row r="8564" spans="19:19" x14ac:dyDescent="0.25">
      <c r="S8564" s="24">
        <f t="shared" si="437"/>
        <v>0.02</v>
      </c>
    </row>
    <row r="8565" spans="19:19" x14ac:dyDescent="0.25">
      <c r="S8565" s="24">
        <f t="shared" si="437"/>
        <v>0.02</v>
      </c>
    </row>
    <row r="8566" spans="19:19" x14ac:dyDescent="0.25">
      <c r="S8566" s="24">
        <f t="shared" si="437"/>
        <v>0.02</v>
      </c>
    </row>
    <row r="8567" spans="19:19" x14ac:dyDescent="0.25">
      <c r="S8567" s="24">
        <f t="shared" si="437"/>
        <v>0.02</v>
      </c>
    </row>
    <row r="8568" spans="19:19" x14ac:dyDescent="0.25">
      <c r="S8568" s="24">
        <f t="shared" si="437"/>
        <v>0.02</v>
      </c>
    </row>
    <row r="8569" spans="19:19" x14ac:dyDescent="0.25">
      <c r="S8569" s="24">
        <f t="shared" si="437"/>
        <v>0.02</v>
      </c>
    </row>
    <row r="8570" spans="19:19" x14ac:dyDescent="0.25">
      <c r="S8570" s="24">
        <f t="shared" si="437"/>
        <v>0.02</v>
      </c>
    </row>
    <row r="8571" spans="19:19" x14ac:dyDescent="0.25">
      <c r="S8571" s="24">
        <f t="shared" si="437"/>
        <v>0.02</v>
      </c>
    </row>
    <row r="8572" spans="19:19" x14ac:dyDescent="0.25">
      <c r="S8572" s="24">
        <f t="shared" si="437"/>
        <v>0.02</v>
      </c>
    </row>
    <row r="8573" spans="19:19" x14ac:dyDescent="0.25">
      <c r="S8573" s="24">
        <f t="shared" si="437"/>
        <v>0.02</v>
      </c>
    </row>
    <row r="8574" spans="19:19" x14ac:dyDescent="0.25">
      <c r="S8574" s="24">
        <f t="shared" si="437"/>
        <v>0.02</v>
      </c>
    </row>
    <row r="8575" spans="19:19" x14ac:dyDescent="0.25">
      <c r="S8575" s="24">
        <f t="shared" si="437"/>
        <v>0.02</v>
      </c>
    </row>
    <row r="8576" spans="19:19" x14ac:dyDescent="0.25">
      <c r="S8576" s="24">
        <f t="shared" si="437"/>
        <v>0.02</v>
      </c>
    </row>
    <row r="8577" spans="19:19" x14ac:dyDescent="0.25">
      <c r="S8577" s="24">
        <f t="shared" si="437"/>
        <v>0.02</v>
      </c>
    </row>
    <row r="8578" spans="19:19" x14ac:dyDescent="0.25">
      <c r="S8578" s="24">
        <f t="shared" si="437"/>
        <v>0.02</v>
      </c>
    </row>
    <row r="8579" spans="19:19" x14ac:dyDescent="0.25">
      <c r="S8579" s="24">
        <f t="shared" si="437"/>
        <v>0.02</v>
      </c>
    </row>
    <row r="8580" spans="19:19" x14ac:dyDescent="0.25">
      <c r="S8580" s="24">
        <f t="shared" si="437"/>
        <v>0.02</v>
      </c>
    </row>
    <row r="8581" spans="19:19" x14ac:dyDescent="0.25">
      <c r="S8581" s="24">
        <f t="shared" si="437"/>
        <v>0.02</v>
      </c>
    </row>
    <row r="8582" spans="19:19" x14ac:dyDescent="0.25">
      <c r="S8582" s="24">
        <f t="shared" si="437"/>
        <v>0.02</v>
      </c>
    </row>
    <row r="8583" spans="19:19" x14ac:dyDescent="0.25">
      <c r="S8583" s="24">
        <f t="shared" si="437"/>
        <v>0.02</v>
      </c>
    </row>
    <row r="8584" spans="19:19" x14ac:dyDescent="0.25">
      <c r="S8584" s="24">
        <f t="shared" si="437"/>
        <v>0.02</v>
      </c>
    </row>
    <row r="8585" spans="19:19" x14ac:dyDescent="0.25">
      <c r="S8585" s="24">
        <f t="shared" si="437"/>
        <v>0.02</v>
      </c>
    </row>
    <row r="8586" spans="19:19" x14ac:dyDescent="0.25">
      <c r="S8586" s="24">
        <f t="shared" si="437"/>
        <v>0.02</v>
      </c>
    </row>
    <row r="8587" spans="19:19" x14ac:dyDescent="0.25">
      <c r="S8587" s="24">
        <f t="shared" ref="S8587:S8650" si="438">VLOOKUP(N8587,$T$1:$U$7,2,TRUE)</f>
        <v>0.02</v>
      </c>
    </row>
    <row r="8588" spans="19:19" x14ac:dyDescent="0.25">
      <c r="S8588" s="24">
        <f t="shared" si="438"/>
        <v>0.02</v>
      </c>
    </row>
    <row r="8589" spans="19:19" x14ac:dyDescent="0.25">
      <c r="S8589" s="24">
        <f t="shared" si="438"/>
        <v>0.02</v>
      </c>
    </row>
    <row r="8590" spans="19:19" x14ac:dyDescent="0.25">
      <c r="S8590" s="24">
        <f t="shared" si="438"/>
        <v>0.02</v>
      </c>
    </row>
    <row r="8591" spans="19:19" x14ac:dyDescent="0.25">
      <c r="S8591" s="24">
        <f t="shared" si="438"/>
        <v>0.02</v>
      </c>
    </row>
    <row r="8592" spans="19:19" x14ac:dyDescent="0.25">
      <c r="S8592" s="24">
        <f t="shared" si="438"/>
        <v>0.02</v>
      </c>
    </row>
    <row r="8593" spans="19:19" x14ac:dyDescent="0.25">
      <c r="S8593" s="24">
        <f t="shared" si="438"/>
        <v>0.02</v>
      </c>
    </row>
    <row r="8594" spans="19:19" x14ac:dyDescent="0.25">
      <c r="S8594" s="24">
        <f t="shared" si="438"/>
        <v>0.02</v>
      </c>
    </row>
    <row r="8595" spans="19:19" x14ac:dyDescent="0.25">
      <c r="S8595" s="24">
        <f t="shared" si="438"/>
        <v>0.02</v>
      </c>
    </row>
    <row r="8596" spans="19:19" x14ac:dyDescent="0.25">
      <c r="S8596" s="24">
        <f t="shared" si="438"/>
        <v>0.02</v>
      </c>
    </row>
    <row r="8597" spans="19:19" x14ac:dyDescent="0.25">
      <c r="S8597" s="24">
        <f t="shared" si="438"/>
        <v>0.02</v>
      </c>
    </row>
    <row r="8598" spans="19:19" x14ac:dyDescent="0.25">
      <c r="S8598" s="24">
        <f t="shared" si="438"/>
        <v>0.02</v>
      </c>
    </row>
    <row r="8599" spans="19:19" x14ac:dyDescent="0.25">
      <c r="S8599" s="24">
        <f t="shared" si="438"/>
        <v>0.02</v>
      </c>
    </row>
    <row r="8600" spans="19:19" x14ac:dyDescent="0.25">
      <c r="S8600" s="24">
        <f t="shared" si="438"/>
        <v>0.02</v>
      </c>
    </row>
    <row r="8601" spans="19:19" x14ac:dyDescent="0.25">
      <c r="S8601" s="24">
        <f t="shared" si="438"/>
        <v>0.02</v>
      </c>
    </row>
    <row r="8602" spans="19:19" x14ac:dyDescent="0.25">
      <c r="S8602" s="24">
        <f t="shared" si="438"/>
        <v>0.02</v>
      </c>
    </row>
    <row r="8603" spans="19:19" x14ac:dyDescent="0.25">
      <c r="S8603" s="24">
        <f t="shared" si="438"/>
        <v>0.02</v>
      </c>
    </row>
    <row r="8604" spans="19:19" x14ac:dyDescent="0.25">
      <c r="S8604" s="24">
        <f t="shared" si="438"/>
        <v>0.02</v>
      </c>
    </row>
    <row r="8605" spans="19:19" x14ac:dyDescent="0.25">
      <c r="S8605" s="24">
        <f t="shared" si="438"/>
        <v>0.02</v>
      </c>
    </row>
    <row r="8606" spans="19:19" x14ac:dyDescent="0.25">
      <c r="S8606" s="24">
        <f t="shared" si="438"/>
        <v>0.02</v>
      </c>
    </row>
    <row r="8607" spans="19:19" x14ac:dyDescent="0.25">
      <c r="S8607" s="24">
        <f t="shared" si="438"/>
        <v>0.02</v>
      </c>
    </row>
    <row r="8608" spans="19:19" x14ac:dyDescent="0.25">
      <c r="S8608" s="24">
        <f t="shared" si="438"/>
        <v>0.02</v>
      </c>
    </row>
    <row r="8609" spans="19:19" x14ac:dyDescent="0.25">
      <c r="S8609" s="24">
        <f t="shared" si="438"/>
        <v>0.02</v>
      </c>
    </row>
    <row r="8610" spans="19:19" x14ac:dyDescent="0.25">
      <c r="S8610" s="24">
        <f t="shared" si="438"/>
        <v>0.02</v>
      </c>
    </row>
    <row r="8611" spans="19:19" x14ac:dyDescent="0.25">
      <c r="S8611" s="24">
        <f t="shared" si="438"/>
        <v>0.02</v>
      </c>
    </row>
    <row r="8612" spans="19:19" x14ac:dyDescent="0.25">
      <c r="S8612" s="24">
        <f t="shared" si="438"/>
        <v>0.02</v>
      </c>
    </row>
    <row r="8613" spans="19:19" x14ac:dyDescent="0.25">
      <c r="S8613" s="24">
        <f t="shared" si="438"/>
        <v>0.02</v>
      </c>
    </row>
    <row r="8614" spans="19:19" x14ac:dyDescent="0.25">
      <c r="S8614" s="24">
        <f t="shared" si="438"/>
        <v>0.02</v>
      </c>
    </row>
    <row r="8615" spans="19:19" x14ac:dyDescent="0.25">
      <c r="S8615" s="24">
        <f t="shared" si="438"/>
        <v>0.02</v>
      </c>
    </row>
    <row r="8616" spans="19:19" x14ac:dyDescent="0.25">
      <c r="S8616" s="24">
        <f t="shared" si="438"/>
        <v>0.02</v>
      </c>
    </row>
    <row r="8617" spans="19:19" x14ac:dyDescent="0.25">
      <c r="S8617" s="24">
        <f t="shared" si="438"/>
        <v>0.02</v>
      </c>
    </row>
    <row r="8618" spans="19:19" x14ac:dyDescent="0.25">
      <c r="S8618" s="24">
        <f t="shared" si="438"/>
        <v>0.02</v>
      </c>
    </row>
    <row r="8619" spans="19:19" x14ac:dyDescent="0.25">
      <c r="S8619" s="24">
        <f t="shared" si="438"/>
        <v>0.02</v>
      </c>
    </row>
    <row r="8620" spans="19:19" x14ac:dyDescent="0.25">
      <c r="S8620" s="24">
        <f t="shared" si="438"/>
        <v>0.02</v>
      </c>
    </row>
    <row r="8621" spans="19:19" x14ac:dyDescent="0.25">
      <c r="S8621" s="24">
        <f t="shared" si="438"/>
        <v>0.02</v>
      </c>
    </row>
    <row r="8622" spans="19:19" x14ac:dyDescent="0.25">
      <c r="S8622" s="24">
        <f t="shared" si="438"/>
        <v>0.02</v>
      </c>
    </row>
    <row r="8623" spans="19:19" x14ac:dyDescent="0.25">
      <c r="S8623" s="24">
        <f t="shared" si="438"/>
        <v>0.02</v>
      </c>
    </row>
    <row r="8624" spans="19:19" x14ac:dyDescent="0.25">
      <c r="S8624" s="24">
        <f t="shared" si="438"/>
        <v>0.02</v>
      </c>
    </row>
    <row r="8625" spans="19:19" x14ac:dyDescent="0.25">
      <c r="S8625" s="24">
        <f t="shared" si="438"/>
        <v>0.02</v>
      </c>
    </row>
    <row r="8626" spans="19:19" x14ac:dyDescent="0.25">
      <c r="S8626" s="24">
        <f t="shared" si="438"/>
        <v>0.02</v>
      </c>
    </row>
    <row r="8627" spans="19:19" x14ac:dyDescent="0.25">
      <c r="S8627" s="24">
        <f t="shared" si="438"/>
        <v>0.02</v>
      </c>
    </row>
    <row r="8628" spans="19:19" x14ac:dyDescent="0.25">
      <c r="S8628" s="24">
        <f t="shared" si="438"/>
        <v>0.02</v>
      </c>
    </row>
    <row r="8629" spans="19:19" x14ac:dyDescent="0.25">
      <c r="S8629" s="24">
        <f t="shared" si="438"/>
        <v>0.02</v>
      </c>
    </row>
    <row r="8630" spans="19:19" x14ac:dyDescent="0.25">
      <c r="S8630" s="24">
        <f t="shared" si="438"/>
        <v>0.02</v>
      </c>
    </row>
    <row r="8631" spans="19:19" x14ac:dyDescent="0.25">
      <c r="S8631" s="24">
        <f t="shared" si="438"/>
        <v>0.02</v>
      </c>
    </row>
    <row r="8632" spans="19:19" x14ac:dyDescent="0.25">
      <c r="S8632" s="24">
        <f t="shared" si="438"/>
        <v>0.02</v>
      </c>
    </row>
    <row r="8633" spans="19:19" x14ac:dyDescent="0.25">
      <c r="S8633" s="24">
        <f t="shared" si="438"/>
        <v>0.02</v>
      </c>
    </row>
    <row r="8634" spans="19:19" x14ac:dyDescent="0.25">
      <c r="S8634" s="24">
        <f t="shared" si="438"/>
        <v>0.02</v>
      </c>
    </row>
    <row r="8635" spans="19:19" x14ac:dyDescent="0.25">
      <c r="S8635" s="24">
        <f t="shared" si="438"/>
        <v>0.02</v>
      </c>
    </row>
    <row r="8636" spans="19:19" x14ac:dyDescent="0.25">
      <c r="S8636" s="24">
        <f t="shared" si="438"/>
        <v>0.02</v>
      </c>
    </row>
    <row r="8637" spans="19:19" x14ac:dyDescent="0.25">
      <c r="S8637" s="24">
        <f t="shared" si="438"/>
        <v>0.02</v>
      </c>
    </row>
    <row r="8638" spans="19:19" x14ac:dyDescent="0.25">
      <c r="S8638" s="24">
        <f t="shared" si="438"/>
        <v>0.02</v>
      </c>
    </row>
    <row r="8639" spans="19:19" x14ac:dyDescent="0.25">
      <c r="S8639" s="24">
        <f t="shared" si="438"/>
        <v>0.02</v>
      </c>
    </row>
    <row r="8640" spans="19:19" x14ac:dyDescent="0.25">
      <c r="S8640" s="24">
        <f t="shared" si="438"/>
        <v>0.02</v>
      </c>
    </row>
    <row r="8641" spans="19:19" x14ac:dyDescent="0.25">
      <c r="S8641" s="24">
        <f t="shared" si="438"/>
        <v>0.02</v>
      </c>
    </row>
    <row r="8642" spans="19:19" x14ac:dyDescent="0.25">
      <c r="S8642" s="24">
        <f t="shared" si="438"/>
        <v>0.02</v>
      </c>
    </row>
    <row r="8643" spans="19:19" x14ac:dyDescent="0.25">
      <c r="S8643" s="24">
        <f t="shared" si="438"/>
        <v>0.02</v>
      </c>
    </row>
    <row r="8644" spans="19:19" x14ac:dyDescent="0.25">
      <c r="S8644" s="24">
        <f t="shared" si="438"/>
        <v>0.02</v>
      </c>
    </row>
    <row r="8645" spans="19:19" x14ac:dyDescent="0.25">
      <c r="S8645" s="24">
        <f t="shared" si="438"/>
        <v>0.02</v>
      </c>
    </row>
    <row r="8646" spans="19:19" x14ac:dyDescent="0.25">
      <c r="S8646" s="24">
        <f t="shared" si="438"/>
        <v>0.02</v>
      </c>
    </row>
    <row r="8647" spans="19:19" x14ac:dyDescent="0.25">
      <c r="S8647" s="24">
        <f t="shared" si="438"/>
        <v>0.02</v>
      </c>
    </row>
    <row r="8648" spans="19:19" x14ac:dyDescent="0.25">
      <c r="S8648" s="24">
        <f t="shared" si="438"/>
        <v>0.02</v>
      </c>
    </row>
    <row r="8649" spans="19:19" x14ac:dyDescent="0.25">
      <c r="S8649" s="24">
        <f t="shared" si="438"/>
        <v>0.02</v>
      </c>
    </row>
    <row r="8650" spans="19:19" x14ac:dyDescent="0.25">
      <c r="S8650" s="24">
        <f t="shared" si="438"/>
        <v>0.02</v>
      </c>
    </row>
    <row r="8651" spans="19:19" x14ac:dyDescent="0.25">
      <c r="S8651" s="24">
        <f t="shared" ref="S8651:S8714" si="439">VLOOKUP(N8651,$T$1:$U$7,2,TRUE)</f>
        <v>0.02</v>
      </c>
    </row>
    <row r="8652" spans="19:19" x14ac:dyDescent="0.25">
      <c r="S8652" s="24">
        <f t="shared" si="439"/>
        <v>0.02</v>
      </c>
    </row>
    <row r="8653" spans="19:19" x14ac:dyDescent="0.25">
      <c r="S8653" s="24">
        <f t="shared" si="439"/>
        <v>0.02</v>
      </c>
    </row>
    <row r="8654" spans="19:19" x14ac:dyDescent="0.25">
      <c r="S8654" s="24">
        <f t="shared" si="439"/>
        <v>0.02</v>
      </c>
    </row>
    <row r="8655" spans="19:19" x14ac:dyDescent="0.25">
      <c r="S8655" s="24">
        <f t="shared" si="439"/>
        <v>0.02</v>
      </c>
    </row>
    <row r="8656" spans="19:19" x14ac:dyDescent="0.25">
      <c r="S8656" s="24">
        <f t="shared" si="439"/>
        <v>0.02</v>
      </c>
    </row>
    <row r="8657" spans="19:19" x14ac:dyDescent="0.25">
      <c r="S8657" s="24">
        <f t="shared" si="439"/>
        <v>0.02</v>
      </c>
    </row>
    <row r="8658" spans="19:19" x14ac:dyDescent="0.25">
      <c r="S8658" s="24">
        <f t="shared" si="439"/>
        <v>0.02</v>
      </c>
    </row>
    <row r="8659" spans="19:19" x14ac:dyDescent="0.25">
      <c r="S8659" s="24">
        <f t="shared" si="439"/>
        <v>0.02</v>
      </c>
    </row>
    <row r="8660" spans="19:19" x14ac:dyDescent="0.25">
      <c r="S8660" s="24">
        <f t="shared" si="439"/>
        <v>0.02</v>
      </c>
    </row>
    <row r="8661" spans="19:19" x14ac:dyDescent="0.25">
      <c r="S8661" s="24">
        <f t="shared" si="439"/>
        <v>0.02</v>
      </c>
    </row>
    <row r="8662" spans="19:19" x14ac:dyDescent="0.25">
      <c r="S8662" s="24">
        <f t="shared" si="439"/>
        <v>0.02</v>
      </c>
    </row>
    <row r="8663" spans="19:19" x14ac:dyDescent="0.25">
      <c r="S8663" s="24">
        <f t="shared" si="439"/>
        <v>0.02</v>
      </c>
    </row>
    <row r="8664" spans="19:19" x14ac:dyDescent="0.25">
      <c r="S8664" s="24">
        <f t="shared" si="439"/>
        <v>0.02</v>
      </c>
    </row>
    <row r="8665" spans="19:19" x14ac:dyDescent="0.25">
      <c r="S8665" s="24">
        <f t="shared" si="439"/>
        <v>0.02</v>
      </c>
    </row>
    <row r="8666" spans="19:19" x14ac:dyDescent="0.25">
      <c r="S8666" s="24">
        <f t="shared" si="439"/>
        <v>0.02</v>
      </c>
    </row>
    <row r="8667" spans="19:19" x14ac:dyDescent="0.25">
      <c r="S8667" s="24">
        <f t="shared" si="439"/>
        <v>0.02</v>
      </c>
    </row>
    <row r="8668" spans="19:19" x14ac:dyDescent="0.25">
      <c r="S8668" s="24">
        <f t="shared" si="439"/>
        <v>0.02</v>
      </c>
    </row>
    <row r="8669" spans="19:19" x14ac:dyDescent="0.25">
      <c r="S8669" s="24">
        <f t="shared" si="439"/>
        <v>0.02</v>
      </c>
    </row>
    <row r="8670" spans="19:19" x14ac:dyDescent="0.25">
      <c r="S8670" s="24">
        <f t="shared" si="439"/>
        <v>0.02</v>
      </c>
    </row>
    <row r="8671" spans="19:19" x14ac:dyDescent="0.25">
      <c r="S8671" s="24">
        <f t="shared" si="439"/>
        <v>0.02</v>
      </c>
    </row>
    <row r="8672" spans="19:19" x14ac:dyDescent="0.25">
      <c r="S8672" s="24">
        <f t="shared" si="439"/>
        <v>0.02</v>
      </c>
    </row>
    <row r="8673" spans="19:19" x14ac:dyDescent="0.25">
      <c r="S8673" s="24">
        <f t="shared" si="439"/>
        <v>0.02</v>
      </c>
    </row>
    <row r="8674" spans="19:19" x14ac:dyDescent="0.25">
      <c r="S8674" s="24">
        <f t="shared" si="439"/>
        <v>0.02</v>
      </c>
    </row>
    <row r="8675" spans="19:19" x14ac:dyDescent="0.25">
      <c r="S8675" s="24">
        <f t="shared" si="439"/>
        <v>0.02</v>
      </c>
    </row>
    <row r="8676" spans="19:19" x14ac:dyDescent="0.25">
      <c r="S8676" s="24">
        <f t="shared" si="439"/>
        <v>0.02</v>
      </c>
    </row>
    <row r="8677" spans="19:19" x14ac:dyDescent="0.25">
      <c r="S8677" s="24">
        <f t="shared" si="439"/>
        <v>0.02</v>
      </c>
    </row>
    <row r="8678" spans="19:19" x14ac:dyDescent="0.25">
      <c r="S8678" s="24">
        <f t="shared" si="439"/>
        <v>0.02</v>
      </c>
    </row>
    <row r="8679" spans="19:19" x14ac:dyDescent="0.25">
      <c r="S8679" s="24">
        <f t="shared" si="439"/>
        <v>0.02</v>
      </c>
    </row>
    <row r="8680" spans="19:19" x14ac:dyDescent="0.25">
      <c r="S8680" s="24">
        <f t="shared" si="439"/>
        <v>0.02</v>
      </c>
    </row>
    <row r="8681" spans="19:19" x14ac:dyDescent="0.25">
      <c r="S8681" s="24">
        <f t="shared" si="439"/>
        <v>0.02</v>
      </c>
    </row>
    <row r="8682" spans="19:19" x14ac:dyDescent="0.25">
      <c r="S8682" s="24">
        <f t="shared" si="439"/>
        <v>0.02</v>
      </c>
    </row>
    <row r="8683" spans="19:19" x14ac:dyDescent="0.25">
      <c r="S8683" s="24">
        <f t="shared" si="439"/>
        <v>0.02</v>
      </c>
    </row>
    <row r="8684" spans="19:19" x14ac:dyDescent="0.25">
      <c r="S8684" s="24">
        <f t="shared" si="439"/>
        <v>0.02</v>
      </c>
    </row>
    <row r="8685" spans="19:19" x14ac:dyDescent="0.25">
      <c r="S8685" s="24">
        <f t="shared" si="439"/>
        <v>0.02</v>
      </c>
    </row>
    <row r="8686" spans="19:19" x14ac:dyDescent="0.25">
      <c r="S8686" s="24">
        <f t="shared" si="439"/>
        <v>0.02</v>
      </c>
    </row>
    <row r="8687" spans="19:19" x14ac:dyDescent="0.25">
      <c r="S8687" s="24">
        <f t="shared" si="439"/>
        <v>0.02</v>
      </c>
    </row>
    <row r="8688" spans="19:19" x14ac:dyDescent="0.25">
      <c r="S8688" s="24">
        <f t="shared" si="439"/>
        <v>0.02</v>
      </c>
    </row>
    <row r="8689" spans="19:19" x14ac:dyDescent="0.25">
      <c r="S8689" s="24">
        <f t="shared" si="439"/>
        <v>0.02</v>
      </c>
    </row>
    <row r="8690" spans="19:19" x14ac:dyDescent="0.25">
      <c r="S8690" s="24">
        <f t="shared" si="439"/>
        <v>0.02</v>
      </c>
    </row>
    <row r="8691" spans="19:19" x14ac:dyDescent="0.25">
      <c r="S8691" s="24">
        <f t="shared" si="439"/>
        <v>0.02</v>
      </c>
    </row>
    <row r="8692" spans="19:19" x14ac:dyDescent="0.25">
      <c r="S8692" s="24">
        <f t="shared" si="439"/>
        <v>0.02</v>
      </c>
    </row>
    <row r="8693" spans="19:19" x14ac:dyDescent="0.25">
      <c r="S8693" s="24">
        <f t="shared" si="439"/>
        <v>0.02</v>
      </c>
    </row>
    <row r="8694" spans="19:19" x14ac:dyDescent="0.25">
      <c r="S8694" s="24">
        <f t="shared" si="439"/>
        <v>0.02</v>
      </c>
    </row>
    <row r="8695" spans="19:19" x14ac:dyDescent="0.25">
      <c r="S8695" s="24">
        <f t="shared" si="439"/>
        <v>0.02</v>
      </c>
    </row>
    <row r="8696" spans="19:19" x14ac:dyDescent="0.25">
      <c r="S8696" s="24">
        <f t="shared" si="439"/>
        <v>0.02</v>
      </c>
    </row>
    <row r="8697" spans="19:19" x14ac:dyDescent="0.25">
      <c r="S8697" s="24">
        <f t="shared" si="439"/>
        <v>0.02</v>
      </c>
    </row>
    <row r="8698" spans="19:19" x14ac:dyDescent="0.25">
      <c r="S8698" s="24">
        <f t="shared" si="439"/>
        <v>0.02</v>
      </c>
    </row>
    <row r="8699" spans="19:19" x14ac:dyDescent="0.25">
      <c r="S8699" s="24">
        <f t="shared" si="439"/>
        <v>0.02</v>
      </c>
    </row>
    <row r="8700" spans="19:19" x14ac:dyDescent="0.25">
      <c r="S8700" s="24">
        <f t="shared" si="439"/>
        <v>0.02</v>
      </c>
    </row>
    <row r="8701" spans="19:19" x14ac:dyDescent="0.25">
      <c r="S8701" s="24">
        <f t="shared" si="439"/>
        <v>0.02</v>
      </c>
    </row>
    <row r="8702" spans="19:19" x14ac:dyDescent="0.25">
      <c r="S8702" s="24">
        <f t="shared" si="439"/>
        <v>0.02</v>
      </c>
    </row>
    <row r="8703" spans="19:19" x14ac:dyDescent="0.25">
      <c r="S8703" s="24">
        <f t="shared" si="439"/>
        <v>0.02</v>
      </c>
    </row>
    <row r="8704" spans="19:19" x14ac:dyDescent="0.25">
      <c r="S8704" s="24">
        <f t="shared" si="439"/>
        <v>0.02</v>
      </c>
    </row>
    <row r="8705" spans="19:19" x14ac:dyDescent="0.25">
      <c r="S8705" s="24">
        <f t="shared" si="439"/>
        <v>0.02</v>
      </c>
    </row>
    <row r="8706" spans="19:19" x14ac:dyDescent="0.25">
      <c r="S8706" s="24">
        <f t="shared" si="439"/>
        <v>0.02</v>
      </c>
    </row>
    <row r="8707" spans="19:19" x14ac:dyDescent="0.25">
      <c r="S8707" s="24">
        <f t="shared" si="439"/>
        <v>0.02</v>
      </c>
    </row>
    <row r="8708" spans="19:19" x14ac:dyDescent="0.25">
      <c r="S8708" s="24">
        <f t="shared" si="439"/>
        <v>0.02</v>
      </c>
    </row>
    <row r="8709" spans="19:19" x14ac:dyDescent="0.25">
      <c r="S8709" s="24">
        <f t="shared" si="439"/>
        <v>0.02</v>
      </c>
    </row>
    <row r="8710" spans="19:19" x14ac:dyDescent="0.25">
      <c r="S8710" s="24">
        <f t="shared" si="439"/>
        <v>0.02</v>
      </c>
    </row>
    <row r="8711" spans="19:19" x14ac:dyDescent="0.25">
      <c r="S8711" s="24">
        <f t="shared" si="439"/>
        <v>0.02</v>
      </c>
    </row>
    <row r="8712" spans="19:19" x14ac:dyDescent="0.25">
      <c r="S8712" s="24">
        <f t="shared" si="439"/>
        <v>0.02</v>
      </c>
    </row>
    <row r="8713" spans="19:19" x14ac:dyDescent="0.25">
      <c r="S8713" s="24">
        <f t="shared" si="439"/>
        <v>0.02</v>
      </c>
    </row>
    <row r="8714" spans="19:19" x14ac:dyDescent="0.25">
      <c r="S8714" s="24">
        <f t="shared" si="439"/>
        <v>0.02</v>
      </c>
    </row>
    <row r="8715" spans="19:19" x14ac:dyDescent="0.25">
      <c r="S8715" s="24">
        <f t="shared" ref="S8715:S8778" si="440">VLOOKUP(N8715,$T$1:$U$7,2,TRUE)</f>
        <v>0.02</v>
      </c>
    </row>
    <row r="8716" spans="19:19" x14ac:dyDescent="0.25">
      <c r="S8716" s="24">
        <f t="shared" si="440"/>
        <v>0.02</v>
      </c>
    </row>
    <row r="8717" spans="19:19" x14ac:dyDescent="0.25">
      <c r="S8717" s="24">
        <f t="shared" si="440"/>
        <v>0.02</v>
      </c>
    </row>
    <row r="8718" spans="19:19" x14ac:dyDescent="0.25">
      <c r="S8718" s="24">
        <f t="shared" si="440"/>
        <v>0.02</v>
      </c>
    </row>
    <row r="8719" spans="19:19" x14ac:dyDescent="0.25">
      <c r="S8719" s="24">
        <f t="shared" si="440"/>
        <v>0.02</v>
      </c>
    </row>
    <row r="8720" spans="19:19" x14ac:dyDescent="0.25">
      <c r="S8720" s="24">
        <f t="shared" si="440"/>
        <v>0.02</v>
      </c>
    </row>
    <row r="8721" spans="19:19" x14ac:dyDescent="0.25">
      <c r="S8721" s="24">
        <f t="shared" si="440"/>
        <v>0.02</v>
      </c>
    </row>
    <row r="8722" spans="19:19" x14ac:dyDescent="0.25">
      <c r="S8722" s="24">
        <f t="shared" si="440"/>
        <v>0.02</v>
      </c>
    </row>
    <row r="8723" spans="19:19" x14ac:dyDescent="0.25">
      <c r="S8723" s="24">
        <f t="shared" si="440"/>
        <v>0.02</v>
      </c>
    </row>
    <row r="8724" spans="19:19" x14ac:dyDescent="0.25">
      <c r="S8724" s="24">
        <f t="shared" si="440"/>
        <v>0.02</v>
      </c>
    </row>
    <row r="8725" spans="19:19" x14ac:dyDescent="0.25">
      <c r="S8725" s="24">
        <f t="shared" si="440"/>
        <v>0.02</v>
      </c>
    </row>
    <row r="8726" spans="19:19" x14ac:dyDescent="0.25">
      <c r="S8726" s="24">
        <f t="shared" si="440"/>
        <v>0.02</v>
      </c>
    </row>
    <row r="8727" spans="19:19" x14ac:dyDescent="0.25">
      <c r="S8727" s="24">
        <f t="shared" si="440"/>
        <v>0.02</v>
      </c>
    </row>
    <row r="8728" spans="19:19" x14ac:dyDescent="0.25">
      <c r="S8728" s="24">
        <f t="shared" si="440"/>
        <v>0.02</v>
      </c>
    </row>
    <row r="8729" spans="19:19" x14ac:dyDescent="0.25">
      <c r="S8729" s="24">
        <f t="shared" si="440"/>
        <v>0.02</v>
      </c>
    </row>
    <row r="8730" spans="19:19" x14ac:dyDescent="0.25">
      <c r="S8730" s="24">
        <f t="shared" si="440"/>
        <v>0.02</v>
      </c>
    </row>
    <row r="8731" spans="19:19" x14ac:dyDescent="0.25">
      <c r="S8731" s="24">
        <f t="shared" si="440"/>
        <v>0.02</v>
      </c>
    </row>
    <row r="8732" spans="19:19" x14ac:dyDescent="0.25">
      <c r="S8732" s="24">
        <f t="shared" si="440"/>
        <v>0.02</v>
      </c>
    </row>
    <row r="8733" spans="19:19" x14ac:dyDescent="0.25">
      <c r="S8733" s="24">
        <f t="shared" si="440"/>
        <v>0.02</v>
      </c>
    </row>
    <row r="8734" spans="19:19" x14ac:dyDescent="0.25">
      <c r="S8734" s="24">
        <f t="shared" si="440"/>
        <v>0.02</v>
      </c>
    </row>
    <row r="8735" spans="19:19" x14ac:dyDescent="0.25">
      <c r="S8735" s="24">
        <f t="shared" si="440"/>
        <v>0.02</v>
      </c>
    </row>
    <row r="8736" spans="19:19" x14ac:dyDescent="0.25">
      <c r="S8736" s="24">
        <f t="shared" si="440"/>
        <v>0.02</v>
      </c>
    </row>
    <row r="8737" spans="19:19" x14ac:dyDescent="0.25">
      <c r="S8737" s="24">
        <f t="shared" si="440"/>
        <v>0.02</v>
      </c>
    </row>
    <row r="8738" spans="19:19" x14ac:dyDescent="0.25">
      <c r="S8738" s="24">
        <f t="shared" si="440"/>
        <v>0.02</v>
      </c>
    </row>
    <row r="8739" spans="19:19" x14ac:dyDescent="0.25">
      <c r="S8739" s="24">
        <f t="shared" si="440"/>
        <v>0.02</v>
      </c>
    </row>
    <row r="8740" spans="19:19" x14ac:dyDescent="0.25">
      <c r="S8740" s="24">
        <f t="shared" si="440"/>
        <v>0.02</v>
      </c>
    </row>
    <row r="8741" spans="19:19" x14ac:dyDescent="0.25">
      <c r="S8741" s="24">
        <f t="shared" si="440"/>
        <v>0.02</v>
      </c>
    </row>
    <row r="8742" spans="19:19" x14ac:dyDescent="0.25">
      <c r="S8742" s="24">
        <f t="shared" si="440"/>
        <v>0.02</v>
      </c>
    </row>
    <row r="8743" spans="19:19" x14ac:dyDescent="0.25">
      <c r="S8743" s="24">
        <f t="shared" si="440"/>
        <v>0.02</v>
      </c>
    </row>
    <row r="8744" spans="19:19" x14ac:dyDescent="0.25">
      <c r="S8744" s="24">
        <f t="shared" si="440"/>
        <v>0.02</v>
      </c>
    </row>
    <row r="8745" spans="19:19" x14ac:dyDescent="0.25">
      <c r="S8745" s="24">
        <f t="shared" si="440"/>
        <v>0.02</v>
      </c>
    </row>
    <row r="8746" spans="19:19" x14ac:dyDescent="0.25">
      <c r="S8746" s="24">
        <f t="shared" si="440"/>
        <v>0.02</v>
      </c>
    </row>
    <row r="8747" spans="19:19" x14ac:dyDescent="0.25">
      <c r="S8747" s="24">
        <f t="shared" si="440"/>
        <v>0.02</v>
      </c>
    </row>
    <row r="8748" spans="19:19" x14ac:dyDescent="0.25">
      <c r="S8748" s="24">
        <f t="shared" si="440"/>
        <v>0.02</v>
      </c>
    </row>
    <row r="8749" spans="19:19" x14ac:dyDescent="0.25">
      <c r="S8749" s="24">
        <f t="shared" si="440"/>
        <v>0.02</v>
      </c>
    </row>
    <row r="8750" spans="19:19" x14ac:dyDescent="0.25">
      <c r="S8750" s="24">
        <f t="shared" si="440"/>
        <v>0.02</v>
      </c>
    </row>
    <row r="8751" spans="19:19" x14ac:dyDescent="0.25">
      <c r="S8751" s="24">
        <f t="shared" si="440"/>
        <v>0.02</v>
      </c>
    </row>
    <row r="8752" spans="19:19" x14ac:dyDescent="0.25">
      <c r="S8752" s="24">
        <f t="shared" si="440"/>
        <v>0.02</v>
      </c>
    </row>
    <row r="8753" spans="19:19" x14ac:dyDescent="0.25">
      <c r="S8753" s="24">
        <f t="shared" si="440"/>
        <v>0.02</v>
      </c>
    </row>
    <row r="8754" spans="19:19" x14ac:dyDescent="0.25">
      <c r="S8754" s="24">
        <f t="shared" si="440"/>
        <v>0.02</v>
      </c>
    </row>
    <row r="8755" spans="19:19" x14ac:dyDescent="0.25">
      <c r="S8755" s="24">
        <f t="shared" si="440"/>
        <v>0.02</v>
      </c>
    </row>
    <row r="8756" spans="19:19" x14ac:dyDescent="0.25">
      <c r="S8756" s="24">
        <f t="shared" si="440"/>
        <v>0.02</v>
      </c>
    </row>
    <row r="8757" spans="19:19" x14ac:dyDescent="0.25">
      <c r="S8757" s="24">
        <f t="shared" si="440"/>
        <v>0.02</v>
      </c>
    </row>
    <row r="8758" spans="19:19" x14ac:dyDescent="0.25">
      <c r="S8758" s="24">
        <f t="shared" si="440"/>
        <v>0.02</v>
      </c>
    </row>
    <row r="8759" spans="19:19" x14ac:dyDescent="0.25">
      <c r="S8759" s="24">
        <f t="shared" si="440"/>
        <v>0.02</v>
      </c>
    </row>
    <row r="8760" spans="19:19" x14ac:dyDescent="0.25">
      <c r="S8760" s="24">
        <f t="shared" si="440"/>
        <v>0.02</v>
      </c>
    </row>
    <row r="8761" spans="19:19" x14ac:dyDescent="0.25">
      <c r="S8761" s="24">
        <f t="shared" si="440"/>
        <v>0.02</v>
      </c>
    </row>
    <row r="8762" spans="19:19" x14ac:dyDescent="0.25">
      <c r="S8762" s="24">
        <f t="shared" si="440"/>
        <v>0.02</v>
      </c>
    </row>
    <row r="8763" spans="19:19" x14ac:dyDescent="0.25">
      <c r="S8763" s="24">
        <f t="shared" si="440"/>
        <v>0.02</v>
      </c>
    </row>
    <row r="8764" spans="19:19" x14ac:dyDescent="0.25">
      <c r="S8764" s="24">
        <f t="shared" si="440"/>
        <v>0.02</v>
      </c>
    </row>
    <row r="8765" spans="19:19" x14ac:dyDescent="0.25">
      <c r="S8765" s="24">
        <f t="shared" si="440"/>
        <v>0.02</v>
      </c>
    </row>
    <row r="8766" spans="19:19" x14ac:dyDescent="0.25">
      <c r="S8766" s="24">
        <f t="shared" si="440"/>
        <v>0.02</v>
      </c>
    </row>
    <row r="8767" spans="19:19" x14ac:dyDescent="0.25">
      <c r="S8767" s="24">
        <f t="shared" si="440"/>
        <v>0.02</v>
      </c>
    </row>
    <row r="8768" spans="19:19" x14ac:dyDescent="0.25">
      <c r="S8768" s="24">
        <f t="shared" si="440"/>
        <v>0.02</v>
      </c>
    </row>
    <row r="8769" spans="19:19" x14ac:dyDescent="0.25">
      <c r="S8769" s="24">
        <f t="shared" si="440"/>
        <v>0.02</v>
      </c>
    </row>
    <row r="8770" spans="19:19" x14ac:dyDescent="0.25">
      <c r="S8770" s="24">
        <f t="shared" si="440"/>
        <v>0.02</v>
      </c>
    </row>
    <row r="8771" spans="19:19" x14ac:dyDescent="0.25">
      <c r="S8771" s="24">
        <f t="shared" si="440"/>
        <v>0.02</v>
      </c>
    </row>
    <row r="8772" spans="19:19" x14ac:dyDescent="0.25">
      <c r="S8772" s="24">
        <f t="shared" si="440"/>
        <v>0.02</v>
      </c>
    </row>
    <row r="8773" spans="19:19" x14ac:dyDescent="0.25">
      <c r="S8773" s="24">
        <f t="shared" si="440"/>
        <v>0.02</v>
      </c>
    </row>
    <row r="8774" spans="19:19" x14ac:dyDescent="0.25">
      <c r="S8774" s="24">
        <f t="shared" si="440"/>
        <v>0.02</v>
      </c>
    </row>
    <row r="8775" spans="19:19" x14ac:dyDescent="0.25">
      <c r="S8775" s="24">
        <f t="shared" si="440"/>
        <v>0.02</v>
      </c>
    </row>
    <row r="8776" spans="19:19" x14ac:dyDescent="0.25">
      <c r="S8776" s="24">
        <f t="shared" si="440"/>
        <v>0.02</v>
      </c>
    </row>
    <row r="8777" spans="19:19" x14ac:dyDescent="0.25">
      <c r="S8777" s="24">
        <f t="shared" si="440"/>
        <v>0.02</v>
      </c>
    </row>
    <row r="8778" spans="19:19" x14ac:dyDescent="0.25">
      <c r="S8778" s="24">
        <f t="shared" si="440"/>
        <v>0.02</v>
      </c>
    </row>
    <row r="8779" spans="19:19" x14ac:dyDescent="0.25">
      <c r="S8779" s="24">
        <f t="shared" ref="S8779:S8842" si="441">VLOOKUP(N8779,$T$1:$U$7,2,TRUE)</f>
        <v>0.02</v>
      </c>
    </row>
    <row r="8780" spans="19:19" x14ac:dyDescent="0.25">
      <c r="S8780" s="24">
        <f t="shared" si="441"/>
        <v>0.02</v>
      </c>
    </row>
    <row r="8781" spans="19:19" x14ac:dyDescent="0.25">
      <c r="S8781" s="24">
        <f t="shared" si="441"/>
        <v>0.02</v>
      </c>
    </row>
    <row r="8782" spans="19:19" x14ac:dyDescent="0.25">
      <c r="S8782" s="24">
        <f t="shared" si="441"/>
        <v>0.02</v>
      </c>
    </row>
    <row r="8783" spans="19:19" x14ac:dyDescent="0.25">
      <c r="S8783" s="24">
        <f t="shared" si="441"/>
        <v>0.02</v>
      </c>
    </row>
    <row r="8784" spans="19:19" x14ac:dyDescent="0.25">
      <c r="S8784" s="24">
        <f t="shared" si="441"/>
        <v>0.02</v>
      </c>
    </row>
    <row r="8785" spans="19:19" x14ac:dyDescent="0.25">
      <c r="S8785" s="24">
        <f t="shared" si="441"/>
        <v>0.02</v>
      </c>
    </row>
    <row r="8786" spans="19:19" x14ac:dyDescent="0.25">
      <c r="S8786" s="24">
        <f t="shared" si="441"/>
        <v>0.02</v>
      </c>
    </row>
    <row r="8787" spans="19:19" x14ac:dyDescent="0.25">
      <c r="S8787" s="24">
        <f t="shared" si="441"/>
        <v>0.02</v>
      </c>
    </row>
    <row r="8788" spans="19:19" x14ac:dyDescent="0.25">
      <c r="S8788" s="24">
        <f t="shared" si="441"/>
        <v>0.02</v>
      </c>
    </row>
    <row r="8789" spans="19:19" x14ac:dyDescent="0.25">
      <c r="S8789" s="24">
        <f t="shared" si="441"/>
        <v>0.02</v>
      </c>
    </row>
    <row r="8790" spans="19:19" x14ac:dyDescent="0.25">
      <c r="S8790" s="24">
        <f t="shared" si="441"/>
        <v>0.02</v>
      </c>
    </row>
    <row r="8791" spans="19:19" x14ac:dyDescent="0.25">
      <c r="S8791" s="24">
        <f t="shared" si="441"/>
        <v>0.02</v>
      </c>
    </row>
    <row r="8792" spans="19:19" x14ac:dyDescent="0.25">
      <c r="S8792" s="24">
        <f t="shared" si="441"/>
        <v>0.02</v>
      </c>
    </row>
    <row r="8793" spans="19:19" x14ac:dyDescent="0.25">
      <c r="S8793" s="24">
        <f t="shared" si="441"/>
        <v>0.02</v>
      </c>
    </row>
    <row r="8794" spans="19:19" x14ac:dyDescent="0.25">
      <c r="S8794" s="24">
        <f t="shared" si="441"/>
        <v>0.02</v>
      </c>
    </row>
    <row r="8795" spans="19:19" x14ac:dyDescent="0.25">
      <c r="S8795" s="24">
        <f t="shared" si="441"/>
        <v>0.02</v>
      </c>
    </row>
    <row r="8796" spans="19:19" x14ac:dyDescent="0.25">
      <c r="S8796" s="24">
        <f t="shared" si="441"/>
        <v>0.02</v>
      </c>
    </row>
    <row r="8797" spans="19:19" x14ac:dyDescent="0.25">
      <c r="S8797" s="24">
        <f t="shared" si="441"/>
        <v>0.02</v>
      </c>
    </row>
    <row r="8798" spans="19:19" x14ac:dyDescent="0.25">
      <c r="S8798" s="24">
        <f t="shared" si="441"/>
        <v>0.02</v>
      </c>
    </row>
    <row r="8799" spans="19:19" x14ac:dyDescent="0.25">
      <c r="S8799" s="24">
        <f t="shared" si="441"/>
        <v>0.02</v>
      </c>
    </row>
    <row r="8800" spans="19:19" x14ac:dyDescent="0.25">
      <c r="S8800" s="24">
        <f t="shared" si="441"/>
        <v>0.02</v>
      </c>
    </row>
    <row r="8801" spans="19:19" x14ac:dyDescent="0.25">
      <c r="S8801" s="24">
        <f t="shared" si="441"/>
        <v>0.02</v>
      </c>
    </row>
    <row r="8802" spans="19:19" x14ac:dyDescent="0.25">
      <c r="S8802" s="24">
        <f t="shared" si="441"/>
        <v>0.02</v>
      </c>
    </row>
    <row r="8803" spans="19:19" x14ac:dyDescent="0.25">
      <c r="S8803" s="24">
        <f t="shared" si="441"/>
        <v>0.02</v>
      </c>
    </row>
    <row r="8804" spans="19:19" x14ac:dyDescent="0.25">
      <c r="S8804" s="24">
        <f t="shared" si="441"/>
        <v>0.02</v>
      </c>
    </row>
    <row r="8805" spans="19:19" x14ac:dyDescent="0.25">
      <c r="S8805" s="24">
        <f t="shared" si="441"/>
        <v>0.02</v>
      </c>
    </row>
    <row r="8806" spans="19:19" x14ac:dyDescent="0.25">
      <c r="S8806" s="24">
        <f t="shared" si="441"/>
        <v>0.02</v>
      </c>
    </row>
    <row r="8807" spans="19:19" x14ac:dyDescent="0.25">
      <c r="S8807" s="24">
        <f t="shared" si="441"/>
        <v>0.02</v>
      </c>
    </row>
    <row r="8808" spans="19:19" x14ac:dyDescent="0.25">
      <c r="S8808" s="24">
        <f t="shared" si="441"/>
        <v>0.02</v>
      </c>
    </row>
    <row r="8809" spans="19:19" x14ac:dyDescent="0.25">
      <c r="S8809" s="24">
        <f t="shared" si="441"/>
        <v>0.02</v>
      </c>
    </row>
    <row r="8810" spans="19:19" x14ac:dyDescent="0.25">
      <c r="S8810" s="24">
        <f t="shared" si="441"/>
        <v>0.02</v>
      </c>
    </row>
    <row r="8811" spans="19:19" x14ac:dyDescent="0.25">
      <c r="S8811" s="24">
        <f t="shared" si="441"/>
        <v>0.02</v>
      </c>
    </row>
    <row r="8812" spans="19:19" x14ac:dyDescent="0.25">
      <c r="S8812" s="24">
        <f t="shared" si="441"/>
        <v>0.02</v>
      </c>
    </row>
    <row r="8813" spans="19:19" x14ac:dyDescent="0.25">
      <c r="S8813" s="24">
        <f t="shared" si="441"/>
        <v>0.02</v>
      </c>
    </row>
    <row r="8814" spans="19:19" x14ac:dyDescent="0.25">
      <c r="S8814" s="24">
        <f t="shared" si="441"/>
        <v>0.02</v>
      </c>
    </row>
    <row r="8815" spans="19:19" x14ac:dyDescent="0.25">
      <c r="S8815" s="24">
        <f t="shared" si="441"/>
        <v>0.02</v>
      </c>
    </row>
    <row r="8816" spans="19:19" x14ac:dyDescent="0.25">
      <c r="S8816" s="24">
        <f t="shared" si="441"/>
        <v>0.02</v>
      </c>
    </row>
    <row r="8817" spans="19:19" x14ac:dyDescent="0.25">
      <c r="S8817" s="24">
        <f t="shared" si="441"/>
        <v>0.02</v>
      </c>
    </row>
    <row r="8818" spans="19:19" x14ac:dyDescent="0.25">
      <c r="S8818" s="24">
        <f t="shared" si="441"/>
        <v>0.02</v>
      </c>
    </row>
    <row r="8819" spans="19:19" x14ac:dyDescent="0.25">
      <c r="S8819" s="24">
        <f t="shared" si="441"/>
        <v>0.02</v>
      </c>
    </row>
    <row r="8820" spans="19:19" x14ac:dyDescent="0.25">
      <c r="S8820" s="24">
        <f t="shared" si="441"/>
        <v>0.02</v>
      </c>
    </row>
    <row r="8821" spans="19:19" x14ac:dyDescent="0.25">
      <c r="S8821" s="24">
        <f t="shared" si="441"/>
        <v>0.02</v>
      </c>
    </row>
    <row r="8822" spans="19:19" x14ac:dyDescent="0.25">
      <c r="S8822" s="24">
        <f t="shared" si="441"/>
        <v>0.02</v>
      </c>
    </row>
    <row r="8823" spans="19:19" x14ac:dyDescent="0.25">
      <c r="S8823" s="24">
        <f t="shared" si="441"/>
        <v>0.02</v>
      </c>
    </row>
    <row r="8824" spans="19:19" x14ac:dyDescent="0.25">
      <c r="S8824" s="24">
        <f t="shared" si="441"/>
        <v>0.02</v>
      </c>
    </row>
    <row r="8825" spans="19:19" x14ac:dyDescent="0.25">
      <c r="S8825" s="24">
        <f t="shared" si="441"/>
        <v>0.02</v>
      </c>
    </row>
    <row r="8826" spans="19:19" x14ac:dyDescent="0.25">
      <c r="S8826" s="24">
        <f t="shared" si="441"/>
        <v>0.02</v>
      </c>
    </row>
    <row r="8827" spans="19:19" x14ac:dyDescent="0.25">
      <c r="S8827" s="24">
        <f t="shared" si="441"/>
        <v>0.02</v>
      </c>
    </row>
    <row r="8828" spans="19:19" x14ac:dyDescent="0.25">
      <c r="S8828" s="24">
        <f t="shared" si="441"/>
        <v>0.02</v>
      </c>
    </row>
    <row r="8829" spans="19:19" x14ac:dyDescent="0.25">
      <c r="S8829" s="24">
        <f t="shared" si="441"/>
        <v>0.02</v>
      </c>
    </row>
    <row r="8830" spans="19:19" x14ac:dyDescent="0.25">
      <c r="S8830" s="24">
        <f t="shared" si="441"/>
        <v>0.02</v>
      </c>
    </row>
    <row r="8831" spans="19:19" x14ac:dyDescent="0.25">
      <c r="S8831" s="24">
        <f t="shared" si="441"/>
        <v>0.02</v>
      </c>
    </row>
    <row r="8832" spans="19:19" x14ac:dyDescent="0.25">
      <c r="S8832" s="24">
        <f t="shared" si="441"/>
        <v>0.02</v>
      </c>
    </row>
    <row r="8833" spans="19:19" x14ac:dyDescent="0.25">
      <c r="S8833" s="24">
        <f t="shared" si="441"/>
        <v>0.02</v>
      </c>
    </row>
    <row r="8834" spans="19:19" x14ac:dyDescent="0.25">
      <c r="S8834" s="24">
        <f t="shared" si="441"/>
        <v>0.02</v>
      </c>
    </row>
    <row r="8835" spans="19:19" x14ac:dyDescent="0.25">
      <c r="S8835" s="24">
        <f t="shared" si="441"/>
        <v>0.02</v>
      </c>
    </row>
    <row r="8836" spans="19:19" x14ac:dyDescent="0.25">
      <c r="S8836" s="24">
        <f t="shared" si="441"/>
        <v>0.02</v>
      </c>
    </row>
    <row r="8837" spans="19:19" x14ac:dyDescent="0.25">
      <c r="S8837" s="24">
        <f t="shared" si="441"/>
        <v>0.02</v>
      </c>
    </row>
    <row r="8838" spans="19:19" x14ac:dyDescent="0.25">
      <c r="S8838" s="24">
        <f t="shared" si="441"/>
        <v>0.02</v>
      </c>
    </row>
    <row r="8839" spans="19:19" x14ac:dyDescent="0.25">
      <c r="S8839" s="24">
        <f t="shared" si="441"/>
        <v>0.02</v>
      </c>
    </row>
    <row r="8840" spans="19:19" x14ac:dyDescent="0.25">
      <c r="S8840" s="24">
        <f t="shared" si="441"/>
        <v>0.02</v>
      </c>
    </row>
    <row r="8841" spans="19:19" x14ac:dyDescent="0.25">
      <c r="S8841" s="24">
        <f t="shared" si="441"/>
        <v>0.02</v>
      </c>
    </row>
    <row r="8842" spans="19:19" x14ac:dyDescent="0.25">
      <c r="S8842" s="24">
        <f t="shared" si="441"/>
        <v>0.02</v>
      </c>
    </row>
    <row r="8843" spans="19:19" x14ac:dyDescent="0.25">
      <c r="S8843" s="24">
        <f t="shared" ref="S8843:S8906" si="442">VLOOKUP(N8843,$T$1:$U$7,2,TRUE)</f>
        <v>0.02</v>
      </c>
    </row>
    <row r="8844" spans="19:19" x14ac:dyDescent="0.25">
      <c r="S8844" s="24">
        <f t="shared" si="442"/>
        <v>0.02</v>
      </c>
    </row>
    <row r="8845" spans="19:19" x14ac:dyDescent="0.25">
      <c r="S8845" s="24">
        <f t="shared" si="442"/>
        <v>0.02</v>
      </c>
    </row>
    <row r="8846" spans="19:19" x14ac:dyDescent="0.25">
      <c r="S8846" s="24">
        <f t="shared" si="442"/>
        <v>0.02</v>
      </c>
    </row>
    <row r="8847" spans="19:19" x14ac:dyDescent="0.25">
      <c r="S8847" s="24">
        <f t="shared" si="442"/>
        <v>0.02</v>
      </c>
    </row>
    <row r="8848" spans="19:19" x14ac:dyDescent="0.25">
      <c r="S8848" s="24">
        <f t="shared" si="442"/>
        <v>0.02</v>
      </c>
    </row>
    <row r="8849" spans="19:19" x14ac:dyDescent="0.25">
      <c r="S8849" s="24">
        <f t="shared" si="442"/>
        <v>0.02</v>
      </c>
    </row>
    <row r="8850" spans="19:19" x14ac:dyDescent="0.25">
      <c r="S8850" s="24">
        <f t="shared" si="442"/>
        <v>0.02</v>
      </c>
    </row>
    <row r="8851" spans="19:19" x14ac:dyDescent="0.25">
      <c r="S8851" s="24">
        <f t="shared" si="442"/>
        <v>0.02</v>
      </c>
    </row>
    <row r="8852" spans="19:19" x14ac:dyDescent="0.25">
      <c r="S8852" s="24">
        <f t="shared" si="442"/>
        <v>0.02</v>
      </c>
    </row>
    <row r="8853" spans="19:19" x14ac:dyDescent="0.25">
      <c r="S8853" s="24">
        <f t="shared" si="442"/>
        <v>0.02</v>
      </c>
    </row>
    <row r="8854" spans="19:19" x14ac:dyDescent="0.25">
      <c r="S8854" s="24">
        <f t="shared" si="442"/>
        <v>0.02</v>
      </c>
    </row>
    <row r="8855" spans="19:19" x14ac:dyDescent="0.25">
      <c r="S8855" s="24">
        <f t="shared" si="442"/>
        <v>0.02</v>
      </c>
    </row>
    <row r="8856" spans="19:19" x14ac:dyDescent="0.25">
      <c r="S8856" s="24">
        <f t="shared" si="442"/>
        <v>0.02</v>
      </c>
    </row>
    <row r="8857" spans="19:19" x14ac:dyDescent="0.25">
      <c r="S8857" s="24">
        <f t="shared" si="442"/>
        <v>0.02</v>
      </c>
    </row>
    <row r="8858" spans="19:19" x14ac:dyDescent="0.25">
      <c r="S8858" s="24">
        <f t="shared" si="442"/>
        <v>0.02</v>
      </c>
    </row>
    <row r="8859" spans="19:19" x14ac:dyDescent="0.25">
      <c r="S8859" s="24">
        <f t="shared" si="442"/>
        <v>0.02</v>
      </c>
    </row>
    <row r="8860" spans="19:19" x14ac:dyDescent="0.25">
      <c r="S8860" s="24">
        <f t="shared" si="442"/>
        <v>0.02</v>
      </c>
    </row>
    <row r="8861" spans="19:19" x14ac:dyDescent="0.25">
      <c r="S8861" s="24">
        <f t="shared" si="442"/>
        <v>0.02</v>
      </c>
    </row>
    <row r="8862" spans="19:19" x14ac:dyDescent="0.25">
      <c r="S8862" s="24">
        <f t="shared" si="442"/>
        <v>0.02</v>
      </c>
    </row>
    <row r="8863" spans="19:19" x14ac:dyDescent="0.25">
      <c r="S8863" s="24">
        <f t="shared" si="442"/>
        <v>0.02</v>
      </c>
    </row>
    <row r="8864" spans="19:19" x14ac:dyDescent="0.25">
      <c r="S8864" s="24">
        <f t="shared" si="442"/>
        <v>0.02</v>
      </c>
    </row>
    <row r="8865" spans="19:19" x14ac:dyDescent="0.25">
      <c r="S8865" s="24">
        <f t="shared" si="442"/>
        <v>0.02</v>
      </c>
    </row>
    <row r="8866" spans="19:19" x14ac:dyDescent="0.25">
      <c r="S8866" s="24">
        <f t="shared" si="442"/>
        <v>0.02</v>
      </c>
    </row>
    <row r="8867" spans="19:19" x14ac:dyDescent="0.25">
      <c r="S8867" s="24">
        <f t="shared" si="442"/>
        <v>0.02</v>
      </c>
    </row>
    <row r="8868" spans="19:19" x14ac:dyDescent="0.25">
      <c r="S8868" s="24">
        <f t="shared" si="442"/>
        <v>0.02</v>
      </c>
    </row>
    <row r="8869" spans="19:19" x14ac:dyDescent="0.25">
      <c r="S8869" s="24">
        <f t="shared" si="442"/>
        <v>0.02</v>
      </c>
    </row>
    <row r="8870" spans="19:19" x14ac:dyDescent="0.25">
      <c r="S8870" s="24">
        <f t="shared" si="442"/>
        <v>0.02</v>
      </c>
    </row>
    <row r="8871" spans="19:19" x14ac:dyDescent="0.25">
      <c r="S8871" s="24">
        <f t="shared" si="442"/>
        <v>0.02</v>
      </c>
    </row>
    <row r="8872" spans="19:19" x14ac:dyDescent="0.25">
      <c r="S8872" s="24">
        <f t="shared" si="442"/>
        <v>0.02</v>
      </c>
    </row>
    <row r="8873" spans="19:19" x14ac:dyDescent="0.25">
      <c r="S8873" s="24">
        <f t="shared" si="442"/>
        <v>0.02</v>
      </c>
    </row>
    <row r="8874" spans="19:19" x14ac:dyDescent="0.25">
      <c r="S8874" s="24">
        <f t="shared" si="442"/>
        <v>0.02</v>
      </c>
    </row>
    <row r="8875" spans="19:19" x14ac:dyDescent="0.25">
      <c r="S8875" s="24">
        <f t="shared" si="442"/>
        <v>0.02</v>
      </c>
    </row>
    <row r="8876" spans="19:19" x14ac:dyDescent="0.25">
      <c r="S8876" s="24">
        <f t="shared" si="442"/>
        <v>0.02</v>
      </c>
    </row>
    <row r="8877" spans="19:19" x14ac:dyDescent="0.25">
      <c r="S8877" s="24">
        <f t="shared" si="442"/>
        <v>0.02</v>
      </c>
    </row>
    <row r="8878" spans="19:19" x14ac:dyDescent="0.25">
      <c r="S8878" s="24">
        <f t="shared" si="442"/>
        <v>0.02</v>
      </c>
    </row>
    <row r="8879" spans="19:19" x14ac:dyDescent="0.25">
      <c r="S8879" s="24">
        <f t="shared" si="442"/>
        <v>0.02</v>
      </c>
    </row>
    <row r="8880" spans="19:19" x14ac:dyDescent="0.25">
      <c r="S8880" s="24">
        <f t="shared" si="442"/>
        <v>0.02</v>
      </c>
    </row>
    <row r="8881" spans="19:19" x14ac:dyDescent="0.25">
      <c r="S8881" s="24">
        <f t="shared" si="442"/>
        <v>0.02</v>
      </c>
    </row>
    <row r="8882" spans="19:19" x14ac:dyDescent="0.25">
      <c r="S8882" s="24">
        <f t="shared" si="442"/>
        <v>0.02</v>
      </c>
    </row>
    <row r="8883" spans="19:19" x14ac:dyDescent="0.25">
      <c r="S8883" s="24">
        <f t="shared" si="442"/>
        <v>0.02</v>
      </c>
    </row>
    <row r="8884" spans="19:19" x14ac:dyDescent="0.25">
      <c r="S8884" s="24">
        <f t="shared" si="442"/>
        <v>0.02</v>
      </c>
    </row>
    <row r="8885" spans="19:19" x14ac:dyDescent="0.25">
      <c r="S8885" s="24">
        <f t="shared" si="442"/>
        <v>0.02</v>
      </c>
    </row>
    <row r="8886" spans="19:19" x14ac:dyDescent="0.25">
      <c r="S8886" s="24">
        <f t="shared" si="442"/>
        <v>0.02</v>
      </c>
    </row>
    <row r="8887" spans="19:19" x14ac:dyDescent="0.25">
      <c r="S8887" s="24">
        <f t="shared" si="442"/>
        <v>0.02</v>
      </c>
    </row>
    <row r="8888" spans="19:19" x14ac:dyDescent="0.25">
      <c r="S8888" s="24">
        <f t="shared" si="442"/>
        <v>0.02</v>
      </c>
    </row>
    <row r="8889" spans="19:19" x14ac:dyDescent="0.25">
      <c r="S8889" s="24">
        <f t="shared" si="442"/>
        <v>0.02</v>
      </c>
    </row>
    <row r="8890" spans="19:19" x14ac:dyDescent="0.25">
      <c r="S8890" s="24">
        <f t="shared" si="442"/>
        <v>0.02</v>
      </c>
    </row>
    <row r="8891" spans="19:19" x14ac:dyDescent="0.25">
      <c r="S8891" s="24">
        <f t="shared" si="442"/>
        <v>0.02</v>
      </c>
    </row>
    <row r="8892" spans="19:19" x14ac:dyDescent="0.25">
      <c r="S8892" s="24">
        <f t="shared" si="442"/>
        <v>0.02</v>
      </c>
    </row>
    <row r="8893" spans="19:19" x14ac:dyDescent="0.25">
      <c r="S8893" s="24">
        <f t="shared" si="442"/>
        <v>0.02</v>
      </c>
    </row>
    <row r="8894" spans="19:19" x14ac:dyDescent="0.25">
      <c r="S8894" s="24">
        <f t="shared" si="442"/>
        <v>0.02</v>
      </c>
    </row>
    <row r="8895" spans="19:19" x14ac:dyDescent="0.25">
      <c r="S8895" s="24">
        <f t="shared" si="442"/>
        <v>0.02</v>
      </c>
    </row>
    <row r="8896" spans="19:19" x14ac:dyDescent="0.25">
      <c r="S8896" s="24">
        <f t="shared" si="442"/>
        <v>0.02</v>
      </c>
    </row>
    <row r="8897" spans="19:19" x14ac:dyDescent="0.25">
      <c r="S8897" s="24">
        <f t="shared" si="442"/>
        <v>0.02</v>
      </c>
    </row>
    <row r="8898" spans="19:19" x14ac:dyDescent="0.25">
      <c r="S8898" s="24">
        <f t="shared" si="442"/>
        <v>0.02</v>
      </c>
    </row>
    <row r="8899" spans="19:19" x14ac:dyDescent="0.25">
      <c r="S8899" s="24">
        <f t="shared" si="442"/>
        <v>0.02</v>
      </c>
    </row>
    <row r="8900" spans="19:19" x14ac:dyDescent="0.25">
      <c r="S8900" s="24">
        <f t="shared" si="442"/>
        <v>0.02</v>
      </c>
    </row>
    <row r="8901" spans="19:19" x14ac:dyDescent="0.25">
      <c r="S8901" s="24">
        <f t="shared" si="442"/>
        <v>0.02</v>
      </c>
    </row>
    <row r="8902" spans="19:19" x14ac:dyDescent="0.25">
      <c r="S8902" s="24">
        <f t="shared" si="442"/>
        <v>0.02</v>
      </c>
    </row>
    <row r="8903" spans="19:19" x14ac:dyDescent="0.25">
      <c r="S8903" s="24">
        <f t="shared" si="442"/>
        <v>0.02</v>
      </c>
    </row>
    <row r="8904" spans="19:19" x14ac:dyDescent="0.25">
      <c r="S8904" s="24">
        <f t="shared" si="442"/>
        <v>0.02</v>
      </c>
    </row>
    <row r="8905" spans="19:19" x14ac:dyDescent="0.25">
      <c r="S8905" s="24">
        <f t="shared" si="442"/>
        <v>0.02</v>
      </c>
    </row>
    <row r="8906" spans="19:19" x14ac:dyDescent="0.25">
      <c r="S8906" s="24">
        <f t="shared" si="442"/>
        <v>0.02</v>
      </c>
    </row>
    <row r="8907" spans="19:19" x14ac:dyDescent="0.25">
      <c r="S8907" s="24">
        <f t="shared" ref="S8907:S8970" si="443">VLOOKUP(N8907,$T$1:$U$7,2,TRUE)</f>
        <v>0.02</v>
      </c>
    </row>
    <row r="8908" spans="19:19" x14ac:dyDescent="0.25">
      <c r="S8908" s="24">
        <f t="shared" si="443"/>
        <v>0.02</v>
      </c>
    </row>
    <row r="8909" spans="19:19" x14ac:dyDescent="0.25">
      <c r="S8909" s="24">
        <f t="shared" si="443"/>
        <v>0.02</v>
      </c>
    </row>
    <row r="8910" spans="19:19" x14ac:dyDescent="0.25">
      <c r="S8910" s="24">
        <f t="shared" si="443"/>
        <v>0.02</v>
      </c>
    </row>
    <row r="8911" spans="19:19" x14ac:dyDescent="0.25">
      <c r="S8911" s="24">
        <f t="shared" si="443"/>
        <v>0.02</v>
      </c>
    </row>
    <row r="8912" spans="19:19" x14ac:dyDescent="0.25">
      <c r="S8912" s="24">
        <f t="shared" si="443"/>
        <v>0.02</v>
      </c>
    </row>
    <row r="8913" spans="19:19" x14ac:dyDescent="0.25">
      <c r="S8913" s="24">
        <f t="shared" si="443"/>
        <v>0.02</v>
      </c>
    </row>
    <row r="8914" spans="19:19" x14ac:dyDescent="0.25">
      <c r="S8914" s="24">
        <f t="shared" si="443"/>
        <v>0.02</v>
      </c>
    </row>
    <row r="8915" spans="19:19" x14ac:dyDescent="0.25">
      <c r="S8915" s="24">
        <f t="shared" si="443"/>
        <v>0.02</v>
      </c>
    </row>
    <row r="8916" spans="19:19" x14ac:dyDescent="0.25">
      <c r="S8916" s="24">
        <f t="shared" si="443"/>
        <v>0.02</v>
      </c>
    </row>
    <row r="8917" spans="19:19" x14ac:dyDescent="0.25">
      <c r="S8917" s="24">
        <f t="shared" si="443"/>
        <v>0.02</v>
      </c>
    </row>
    <row r="8918" spans="19:19" x14ac:dyDescent="0.25">
      <c r="S8918" s="24">
        <f t="shared" si="443"/>
        <v>0.02</v>
      </c>
    </row>
    <row r="8919" spans="19:19" x14ac:dyDescent="0.25">
      <c r="S8919" s="24">
        <f t="shared" si="443"/>
        <v>0.02</v>
      </c>
    </row>
    <row r="8920" spans="19:19" x14ac:dyDescent="0.25">
      <c r="S8920" s="24">
        <f t="shared" si="443"/>
        <v>0.02</v>
      </c>
    </row>
    <row r="8921" spans="19:19" x14ac:dyDescent="0.25">
      <c r="S8921" s="24">
        <f t="shared" si="443"/>
        <v>0.02</v>
      </c>
    </row>
    <row r="8922" spans="19:19" x14ac:dyDescent="0.25">
      <c r="S8922" s="24">
        <f t="shared" si="443"/>
        <v>0.02</v>
      </c>
    </row>
    <row r="8923" spans="19:19" x14ac:dyDescent="0.25">
      <c r="S8923" s="24">
        <f t="shared" si="443"/>
        <v>0.02</v>
      </c>
    </row>
    <row r="8924" spans="19:19" x14ac:dyDescent="0.25">
      <c r="S8924" s="24">
        <f t="shared" si="443"/>
        <v>0.02</v>
      </c>
    </row>
    <row r="8925" spans="19:19" x14ac:dyDescent="0.25">
      <c r="S8925" s="24">
        <f t="shared" si="443"/>
        <v>0.02</v>
      </c>
    </row>
    <row r="8926" spans="19:19" x14ac:dyDescent="0.25">
      <c r="S8926" s="24">
        <f t="shared" si="443"/>
        <v>0.02</v>
      </c>
    </row>
    <row r="8927" spans="19:19" x14ac:dyDescent="0.25">
      <c r="S8927" s="24">
        <f t="shared" si="443"/>
        <v>0.02</v>
      </c>
    </row>
    <row r="8928" spans="19:19" x14ac:dyDescent="0.25">
      <c r="S8928" s="24">
        <f t="shared" si="443"/>
        <v>0.02</v>
      </c>
    </row>
    <row r="8929" spans="19:19" x14ac:dyDescent="0.25">
      <c r="S8929" s="24">
        <f t="shared" si="443"/>
        <v>0.02</v>
      </c>
    </row>
    <row r="8930" spans="19:19" x14ac:dyDescent="0.25">
      <c r="S8930" s="24">
        <f t="shared" si="443"/>
        <v>0.02</v>
      </c>
    </row>
    <row r="8931" spans="19:19" x14ac:dyDescent="0.25">
      <c r="S8931" s="24">
        <f t="shared" si="443"/>
        <v>0.02</v>
      </c>
    </row>
    <row r="8932" spans="19:19" x14ac:dyDescent="0.25">
      <c r="S8932" s="24">
        <f t="shared" si="443"/>
        <v>0.02</v>
      </c>
    </row>
    <row r="8933" spans="19:19" x14ac:dyDescent="0.25">
      <c r="S8933" s="24">
        <f t="shared" si="443"/>
        <v>0.02</v>
      </c>
    </row>
    <row r="8934" spans="19:19" x14ac:dyDescent="0.25">
      <c r="S8934" s="24">
        <f t="shared" si="443"/>
        <v>0.02</v>
      </c>
    </row>
    <row r="8935" spans="19:19" x14ac:dyDescent="0.25">
      <c r="S8935" s="24">
        <f t="shared" si="443"/>
        <v>0.02</v>
      </c>
    </row>
    <row r="8936" spans="19:19" x14ac:dyDescent="0.25">
      <c r="S8936" s="24">
        <f t="shared" si="443"/>
        <v>0.02</v>
      </c>
    </row>
    <row r="8937" spans="19:19" x14ac:dyDescent="0.25">
      <c r="S8937" s="24">
        <f t="shared" si="443"/>
        <v>0.02</v>
      </c>
    </row>
    <row r="8938" spans="19:19" x14ac:dyDescent="0.25">
      <c r="S8938" s="24">
        <f t="shared" si="443"/>
        <v>0.02</v>
      </c>
    </row>
    <row r="8939" spans="19:19" x14ac:dyDescent="0.25">
      <c r="S8939" s="24">
        <f t="shared" si="443"/>
        <v>0.02</v>
      </c>
    </row>
    <row r="8940" spans="19:19" x14ac:dyDescent="0.25">
      <c r="S8940" s="24">
        <f t="shared" si="443"/>
        <v>0.02</v>
      </c>
    </row>
    <row r="8941" spans="19:19" x14ac:dyDescent="0.25">
      <c r="S8941" s="24">
        <f t="shared" si="443"/>
        <v>0.02</v>
      </c>
    </row>
    <row r="8942" spans="19:19" x14ac:dyDescent="0.25">
      <c r="S8942" s="24">
        <f t="shared" si="443"/>
        <v>0.02</v>
      </c>
    </row>
    <row r="8943" spans="19:19" x14ac:dyDescent="0.25">
      <c r="S8943" s="24">
        <f t="shared" si="443"/>
        <v>0.02</v>
      </c>
    </row>
    <row r="8944" spans="19:19" x14ac:dyDescent="0.25">
      <c r="S8944" s="24">
        <f t="shared" si="443"/>
        <v>0.02</v>
      </c>
    </row>
    <row r="8945" spans="19:19" x14ac:dyDescent="0.25">
      <c r="S8945" s="24">
        <f t="shared" si="443"/>
        <v>0.02</v>
      </c>
    </row>
    <row r="8946" spans="19:19" x14ac:dyDescent="0.25">
      <c r="S8946" s="24">
        <f t="shared" si="443"/>
        <v>0.02</v>
      </c>
    </row>
    <row r="8947" spans="19:19" x14ac:dyDescent="0.25">
      <c r="S8947" s="24">
        <f t="shared" si="443"/>
        <v>0.02</v>
      </c>
    </row>
    <row r="8948" spans="19:19" x14ac:dyDescent="0.25">
      <c r="S8948" s="24">
        <f t="shared" si="443"/>
        <v>0.02</v>
      </c>
    </row>
    <row r="8949" spans="19:19" x14ac:dyDescent="0.25">
      <c r="S8949" s="24">
        <f t="shared" si="443"/>
        <v>0.02</v>
      </c>
    </row>
    <row r="8950" spans="19:19" x14ac:dyDescent="0.25">
      <c r="S8950" s="24">
        <f t="shared" si="443"/>
        <v>0.02</v>
      </c>
    </row>
    <row r="8951" spans="19:19" x14ac:dyDescent="0.25">
      <c r="S8951" s="24">
        <f t="shared" si="443"/>
        <v>0.02</v>
      </c>
    </row>
    <row r="8952" spans="19:19" x14ac:dyDescent="0.25">
      <c r="S8952" s="24">
        <f t="shared" si="443"/>
        <v>0.02</v>
      </c>
    </row>
    <row r="8953" spans="19:19" x14ac:dyDescent="0.25">
      <c r="S8953" s="24">
        <f t="shared" si="443"/>
        <v>0.02</v>
      </c>
    </row>
    <row r="8954" spans="19:19" x14ac:dyDescent="0.25">
      <c r="S8954" s="24">
        <f t="shared" si="443"/>
        <v>0.02</v>
      </c>
    </row>
    <row r="8955" spans="19:19" x14ac:dyDescent="0.25">
      <c r="S8955" s="24">
        <f t="shared" si="443"/>
        <v>0.02</v>
      </c>
    </row>
    <row r="8956" spans="19:19" x14ac:dyDescent="0.25">
      <c r="S8956" s="24">
        <f t="shared" si="443"/>
        <v>0.02</v>
      </c>
    </row>
    <row r="8957" spans="19:19" x14ac:dyDescent="0.25">
      <c r="S8957" s="24">
        <f t="shared" si="443"/>
        <v>0.02</v>
      </c>
    </row>
    <row r="8958" spans="19:19" x14ac:dyDescent="0.25">
      <c r="S8958" s="24">
        <f t="shared" si="443"/>
        <v>0.02</v>
      </c>
    </row>
    <row r="8959" spans="19:19" x14ac:dyDescent="0.25">
      <c r="S8959" s="24">
        <f t="shared" si="443"/>
        <v>0.02</v>
      </c>
    </row>
    <row r="8960" spans="19:19" x14ac:dyDescent="0.25">
      <c r="S8960" s="24">
        <f t="shared" si="443"/>
        <v>0.02</v>
      </c>
    </row>
    <row r="8961" spans="19:19" x14ac:dyDescent="0.25">
      <c r="S8961" s="24">
        <f t="shared" si="443"/>
        <v>0.02</v>
      </c>
    </row>
    <row r="8962" spans="19:19" x14ac:dyDescent="0.25">
      <c r="S8962" s="24">
        <f t="shared" si="443"/>
        <v>0.02</v>
      </c>
    </row>
    <row r="8963" spans="19:19" x14ac:dyDescent="0.25">
      <c r="S8963" s="24">
        <f t="shared" si="443"/>
        <v>0.02</v>
      </c>
    </row>
    <row r="8964" spans="19:19" x14ac:dyDescent="0.25">
      <c r="S8964" s="24">
        <f t="shared" si="443"/>
        <v>0.02</v>
      </c>
    </row>
    <row r="8965" spans="19:19" x14ac:dyDescent="0.25">
      <c r="S8965" s="24">
        <f t="shared" si="443"/>
        <v>0.02</v>
      </c>
    </row>
    <row r="8966" spans="19:19" x14ac:dyDescent="0.25">
      <c r="S8966" s="24">
        <f t="shared" si="443"/>
        <v>0.02</v>
      </c>
    </row>
    <row r="8967" spans="19:19" x14ac:dyDescent="0.25">
      <c r="S8967" s="24">
        <f t="shared" si="443"/>
        <v>0.02</v>
      </c>
    </row>
    <row r="8968" spans="19:19" x14ac:dyDescent="0.25">
      <c r="S8968" s="24">
        <f t="shared" si="443"/>
        <v>0.02</v>
      </c>
    </row>
    <row r="8969" spans="19:19" x14ac:dyDescent="0.25">
      <c r="S8969" s="24">
        <f t="shared" si="443"/>
        <v>0.02</v>
      </c>
    </row>
    <row r="8970" spans="19:19" x14ac:dyDescent="0.25">
      <c r="S8970" s="24">
        <f t="shared" si="443"/>
        <v>0.02</v>
      </c>
    </row>
    <row r="8971" spans="19:19" x14ac:dyDescent="0.25">
      <c r="S8971" s="24">
        <f t="shared" ref="S8971:S9034" si="444">VLOOKUP(N8971,$T$1:$U$7,2,TRUE)</f>
        <v>0.02</v>
      </c>
    </row>
    <row r="8972" spans="19:19" x14ac:dyDescent="0.25">
      <c r="S8972" s="24">
        <f t="shared" si="444"/>
        <v>0.02</v>
      </c>
    </row>
    <row r="8973" spans="19:19" x14ac:dyDescent="0.25">
      <c r="S8973" s="24">
        <f t="shared" si="444"/>
        <v>0.02</v>
      </c>
    </row>
    <row r="8974" spans="19:19" x14ac:dyDescent="0.25">
      <c r="S8974" s="24">
        <f t="shared" si="444"/>
        <v>0.02</v>
      </c>
    </row>
    <row r="8975" spans="19:19" x14ac:dyDescent="0.25">
      <c r="S8975" s="24">
        <f t="shared" si="444"/>
        <v>0.02</v>
      </c>
    </row>
    <row r="8976" spans="19:19" x14ac:dyDescent="0.25">
      <c r="S8976" s="24">
        <f t="shared" si="444"/>
        <v>0.02</v>
      </c>
    </row>
    <row r="8977" spans="19:19" x14ac:dyDescent="0.25">
      <c r="S8977" s="24">
        <f t="shared" si="444"/>
        <v>0.02</v>
      </c>
    </row>
    <row r="8978" spans="19:19" x14ac:dyDescent="0.25">
      <c r="S8978" s="24">
        <f t="shared" si="444"/>
        <v>0.02</v>
      </c>
    </row>
    <row r="8979" spans="19:19" x14ac:dyDescent="0.25">
      <c r="S8979" s="24">
        <f t="shared" si="444"/>
        <v>0.02</v>
      </c>
    </row>
    <row r="8980" spans="19:19" x14ac:dyDescent="0.25">
      <c r="S8980" s="24">
        <f t="shared" si="444"/>
        <v>0.02</v>
      </c>
    </row>
    <row r="8981" spans="19:19" x14ac:dyDescent="0.25">
      <c r="S8981" s="24">
        <f t="shared" si="444"/>
        <v>0.02</v>
      </c>
    </row>
    <row r="8982" spans="19:19" x14ac:dyDescent="0.25">
      <c r="S8982" s="24">
        <f t="shared" si="444"/>
        <v>0.02</v>
      </c>
    </row>
    <row r="8983" spans="19:19" x14ac:dyDescent="0.25">
      <c r="S8983" s="24">
        <f t="shared" si="444"/>
        <v>0.02</v>
      </c>
    </row>
    <row r="8984" spans="19:19" x14ac:dyDescent="0.25">
      <c r="S8984" s="24">
        <f t="shared" si="444"/>
        <v>0.02</v>
      </c>
    </row>
    <row r="8985" spans="19:19" x14ac:dyDescent="0.25">
      <c r="S8985" s="24">
        <f t="shared" si="444"/>
        <v>0.02</v>
      </c>
    </row>
    <row r="8986" spans="19:19" x14ac:dyDescent="0.25">
      <c r="S8986" s="24">
        <f t="shared" si="444"/>
        <v>0.02</v>
      </c>
    </row>
    <row r="8987" spans="19:19" x14ac:dyDescent="0.25">
      <c r="S8987" s="24">
        <f t="shared" si="444"/>
        <v>0.02</v>
      </c>
    </row>
    <row r="8988" spans="19:19" x14ac:dyDescent="0.25">
      <c r="S8988" s="24">
        <f t="shared" si="444"/>
        <v>0.02</v>
      </c>
    </row>
    <row r="8989" spans="19:19" x14ac:dyDescent="0.25">
      <c r="S8989" s="24">
        <f t="shared" si="444"/>
        <v>0.02</v>
      </c>
    </row>
    <row r="8990" spans="19:19" x14ac:dyDescent="0.25">
      <c r="S8990" s="24">
        <f t="shared" si="444"/>
        <v>0.02</v>
      </c>
    </row>
    <row r="8991" spans="19:19" x14ac:dyDescent="0.25">
      <c r="S8991" s="24">
        <f t="shared" si="444"/>
        <v>0.02</v>
      </c>
    </row>
    <row r="8992" spans="19:19" x14ac:dyDescent="0.25">
      <c r="S8992" s="24">
        <f t="shared" si="444"/>
        <v>0.02</v>
      </c>
    </row>
    <row r="8993" spans="19:19" x14ac:dyDescent="0.25">
      <c r="S8993" s="24">
        <f t="shared" si="444"/>
        <v>0.02</v>
      </c>
    </row>
    <row r="8994" spans="19:19" x14ac:dyDescent="0.25">
      <c r="S8994" s="24">
        <f t="shared" si="444"/>
        <v>0.02</v>
      </c>
    </row>
    <row r="8995" spans="19:19" x14ac:dyDescent="0.25">
      <c r="S8995" s="24">
        <f t="shared" si="444"/>
        <v>0.02</v>
      </c>
    </row>
    <row r="8996" spans="19:19" x14ac:dyDescent="0.25">
      <c r="S8996" s="24">
        <f t="shared" si="444"/>
        <v>0.02</v>
      </c>
    </row>
    <row r="8997" spans="19:19" x14ac:dyDescent="0.25">
      <c r="S8997" s="24">
        <f t="shared" si="444"/>
        <v>0.02</v>
      </c>
    </row>
    <row r="8998" spans="19:19" x14ac:dyDescent="0.25">
      <c r="S8998" s="24">
        <f t="shared" si="444"/>
        <v>0.02</v>
      </c>
    </row>
    <row r="8999" spans="19:19" x14ac:dyDescent="0.25">
      <c r="S8999" s="24">
        <f t="shared" si="444"/>
        <v>0.02</v>
      </c>
    </row>
    <row r="9000" spans="19:19" x14ac:dyDescent="0.25">
      <c r="S9000" s="24">
        <f t="shared" si="444"/>
        <v>0.02</v>
      </c>
    </row>
    <row r="9001" spans="19:19" x14ac:dyDescent="0.25">
      <c r="S9001" s="24">
        <f t="shared" si="444"/>
        <v>0.02</v>
      </c>
    </row>
    <row r="9002" spans="19:19" x14ac:dyDescent="0.25">
      <c r="S9002" s="24">
        <f t="shared" si="444"/>
        <v>0.02</v>
      </c>
    </row>
    <row r="9003" spans="19:19" x14ac:dyDescent="0.25">
      <c r="S9003" s="24">
        <f t="shared" si="444"/>
        <v>0.02</v>
      </c>
    </row>
    <row r="9004" spans="19:19" x14ac:dyDescent="0.25">
      <c r="S9004" s="24">
        <f t="shared" si="444"/>
        <v>0.02</v>
      </c>
    </row>
    <row r="9005" spans="19:19" x14ac:dyDescent="0.25">
      <c r="S9005" s="24">
        <f t="shared" si="444"/>
        <v>0.02</v>
      </c>
    </row>
    <row r="9006" spans="19:19" x14ac:dyDescent="0.25">
      <c r="S9006" s="24">
        <f t="shared" si="444"/>
        <v>0.02</v>
      </c>
    </row>
    <row r="9007" spans="19:19" x14ac:dyDescent="0.25">
      <c r="S9007" s="24">
        <f t="shared" si="444"/>
        <v>0.02</v>
      </c>
    </row>
    <row r="9008" spans="19:19" x14ac:dyDescent="0.25">
      <c r="S9008" s="24">
        <f t="shared" si="444"/>
        <v>0.02</v>
      </c>
    </row>
    <row r="9009" spans="19:19" x14ac:dyDescent="0.25">
      <c r="S9009" s="24">
        <f t="shared" si="444"/>
        <v>0.02</v>
      </c>
    </row>
    <row r="9010" spans="19:19" x14ac:dyDescent="0.25">
      <c r="S9010" s="24">
        <f t="shared" si="444"/>
        <v>0.02</v>
      </c>
    </row>
    <row r="9011" spans="19:19" x14ac:dyDescent="0.25">
      <c r="S9011" s="24">
        <f t="shared" si="444"/>
        <v>0.02</v>
      </c>
    </row>
    <row r="9012" spans="19:19" x14ac:dyDescent="0.25">
      <c r="S9012" s="24">
        <f t="shared" si="444"/>
        <v>0.02</v>
      </c>
    </row>
    <row r="9013" spans="19:19" x14ac:dyDescent="0.25">
      <c r="S9013" s="24">
        <f t="shared" si="444"/>
        <v>0.02</v>
      </c>
    </row>
    <row r="9014" spans="19:19" x14ac:dyDescent="0.25">
      <c r="S9014" s="24">
        <f t="shared" si="444"/>
        <v>0.02</v>
      </c>
    </row>
    <row r="9015" spans="19:19" x14ac:dyDescent="0.25">
      <c r="S9015" s="24">
        <f t="shared" si="444"/>
        <v>0.02</v>
      </c>
    </row>
    <row r="9016" spans="19:19" x14ac:dyDescent="0.25">
      <c r="S9016" s="24">
        <f t="shared" si="444"/>
        <v>0.02</v>
      </c>
    </row>
    <row r="9017" spans="19:19" x14ac:dyDescent="0.25">
      <c r="S9017" s="24">
        <f t="shared" si="444"/>
        <v>0.02</v>
      </c>
    </row>
    <row r="9018" spans="19:19" x14ac:dyDescent="0.25">
      <c r="S9018" s="24">
        <f t="shared" si="444"/>
        <v>0.02</v>
      </c>
    </row>
    <row r="9019" spans="19:19" x14ac:dyDescent="0.25">
      <c r="S9019" s="24">
        <f t="shared" si="444"/>
        <v>0.02</v>
      </c>
    </row>
    <row r="9020" spans="19:19" x14ac:dyDescent="0.25">
      <c r="S9020" s="24">
        <f t="shared" si="444"/>
        <v>0.02</v>
      </c>
    </row>
    <row r="9021" spans="19:19" x14ac:dyDescent="0.25">
      <c r="S9021" s="24">
        <f t="shared" si="444"/>
        <v>0.02</v>
      </c>
    </row>
    <row r="9022" spans="19:19" x14ac:dyDescent="0.25">
      <c r="S9022" s="24">
        <f t="shared" si="444"/>
        <v>0.02</v>
      </c>
    </row>
    <row r="9023" spans="19:19" x14ac:dyDescent="0.25">
      <c r="S9023" s="24">
        <f t="shared" si="444"/>
        <v>0.02</v>
      </c>
    </row>
    <row r="9024" spans="19:19" x14ac:dyDescent="0.25">
      <c r="S9024" s="24">
        <f t="shared" si="444"/>
        <v>0.02</v>
      </c>
    </row>
    <row r="9025" spans="19:19" x14ac:dyDescent="0.25">
      <c r="S9025" s="24">
        <f t="shared" si="444"/>
        <v>0.02</v>
      </c>
    </row>
    <row r="9026" spans="19:19" x14ac:dyDescent="0.25">
      <c r="S9026" s="24">
        <f t="shared" si="444"/>
        <v>0.02</v>
      </c>
    </row>
    <row r="9027" spans="19:19" x14ac:dyDescent="0.25">
      <c r="S9027" s="24">
        <f t="shared" si="444"/>
        <v>0.02</v>
      </c>
    </row>
    <row r="9028" spans="19:19" x14ac:dyDescent="0.25">
      <c r="S9028" s="24">
        <f t="shared" si="444"/>
        <v>0.02</v>
      </c>
    </row>
    <row r="9029" spans="19:19" x14ac:dyDescent="0.25">
      <c r="S9029" s="24">
        <f t="shared" si="444"/>
        <v>0.02</v>
      </c>
    </row>
    <row r="9030" spans="19:19" x14ac:dyDescent="0.25">
      <c r="S9030" s="24">
        <f t="shared" si="444"/>
        <v>0.02</v>
      </c>
    </row>
    <row r="9031" spans="19:19" x14ac:dyDescent="0.25">
      <c r="S9031" s="24">
        <f t="shared" si="444"/>
        <v>0.02</v>
      </c>
    </row>
    <row r="9032" spans="19:19" x14ac:dyDescent="0.25">
      <c r="S9032" s="24">
        <f t="shared" si="444"/>
        <v>0.02</v>
      </c>
    </row>
    <row r="9033" spans="19:19" x14ac:dyDescent="0.25">
      <c r="S9033" s="24">
        <f t="shared" si="444"/>
        <v>0.02</v>
      </c>
    </row>
    <row r="9034" spans="19:19" x14ac:dyDescent="0.25">
      <c r="S9034" s="24">
        <f t="shared" si="444"/>
        <v>0.02</v>
      </c>
    </row>
    <row r="9035" spans="19:19" x14ac:dyDescent="0.25">
      <c r="S9035" s="24">
        <f t="shared" ref="S9035:S9098" si="445">VLOOKUP(N9035,$T$1:$U$7,2,TRUE)</f>
        <v>0.02</v>
      </c>
    </row>
    <row r="9036" spans="19:19" x14ac:dyDescent="0.25">
      <c r="S9036" s="24">
        <f t="shared" si="445"/>
        <v>0.02</v>
      </c>
    </row>
    <row r="9037" spans="19:19" x14ac:dyDescent="0.25">
      <c r="S9037" s="24">
        <f t="shared" si="445"/>
        <v>0.02</v>
      </c>
    </row>
    <row r="9038" spans="19:19" x14ac:dyDescent="0.25">
      <c r="S9038" s="24">
        <f t="shared" si="445"/>
        <v>0.02</v>
      </c>
    </row>
    <row r="9039" spans="19:19" x14ac:dyDescent="0.25">
      <c r="S9039" s="24">
        <f t="shared" si="445"/>
        <v>0.02</v>
      </c>
    </row>
    <row r="9040" spans="19:19" x14ac:dyDescent="0.25">
      <c r="S9040" s="24">
        <f t="shared" si="445"/>
        <v>0.02</v>
      </c>
    </row>
    <row r="9041" spans="19:19" x14ac:dyDescent="0.25">
      <c r="S9041" s="24">
        <f t="shared" si="445"/>
        <v>0.02</v>
      </c>
    </row>
    <row r="9042" spans="19:19" x14ac:dyDescent="0.25">
      <c r="S9042" s="24">
        <f t="shared" si="445"/>
        <v>0.02</v>
      </c>
    </row>
    <row r="9043" spans="19:19" x14ac:dyDescent="0.25">
      <c r="S9043" s="24">
        <f t="shared" si="445"/>
        <v>0.02</v>
      </c>
    </row>
    <row r="9044" spans="19:19" x14ac:dyDescent="0.25">
      <c r="S9044" s="24">
        <f t="shared" si="445"/>
        <v>0.02</v>
      </c>
    </row>
    <row r="9045" spans="19:19" x14ac:dyDescent="0.25">
      <c r="S9045" s="24">
        <f t="shared" si="445"/>
        <v>0.02</v>
      </c>
    </row>
    <row r="9046" spans="19:19" x14ac:dyDescent="0.25">
      <c r="S9046" s="24">
        <f t="shared" si="445"/>
        <v>0.02</v>
      </c>
    </row>
    <row r="9047" spans="19:19" x14ac:dyDescent="0.25">
      <c r="S9047" s="24">
        <f t="shared" si="445"/>
        <v>0.02</v>
      </c>
    </row>
    <row r="9048" spans="19:19" x14ac:dyDescent="0.25">
      <c r="S9048" s="24">
        <f t="shared" si="445"/>
        <v>0.02</v>
      </c>
    </row>
    <row r="9049" spans="19:19" x14ac:dyDescent="0.25">
      <c r="S9049" s="24">
        <f t="shared" si="445"/>
        <v>0.02</v>
      </c>
    </row>
    <row r="9050" spans="19:19" x14ac:dyDescent="0.25">
      <c r="S9050" s="24">
        <f t="shared" si="445"/>
        <v>0.02</v>
      </c>
    </row>
    <row r="9051" spans="19:19" x14ac:dyDescent="0.25">
      <c r="S9051" s="24">
        <f t="shared" si="445"/>
        <v>0.02</v>
      </c>
    </row>
    <row r="9052" spans="19:19" x14ac:dyDescent="0.25">
      <c r="S9052" s="24">
        <f t="shared" si="445"/>
        <v>0.02</v>
      </c>
    </row>
    <row r="9053" spans="19:19" x14ac:dyDescent="0.25">
      <c r="S9053" s="24">
        <f t="shared" si="445"/>
        <v>0.02</v>
      </c>
    </row>
    <row r="9054" spans="19:19" x14ac:dyDescent="0.25">
      <c r="S9054" s="24">
        <f t="shared" si="445"/>
        <v>0.02</v>
      </c>
    </row>
    <row r="9055" spans="19:19" x14ac:dyDescent="0.25">
      <c r="S9055" s="24">
        <f t="shared" si="445"/>
        <v>0.02</v>
      </c>
    </row>
    <row r="9056" spans="19:19" x14ac:dyDescent="0.25">
      <c r="S9056" s="24">
        <f t="shared" si="445"/>
        <v>0.02</v>
      </c>
    </row>
    <row r="9057" spans="19:19" x14ac:dyDescent="0.25">
      <c r="S9057" s="24">
        <f t="shared" si="445"/>
        <v>0.02</v>
      </c>
    </row>
    <row r="9058" spans="19:19" x14ac:dyDescent="0.25">
      <c r="S9058" s="24">
        <f t="shared" si="445"/>
        <v>0.02</v>
      </c>
    </row>
    <row r="9059" spans="19:19" x14ac:dyDescent="0.25">
      <c r="S9059" s="24">
        <f t="shared" si="445"/>
        <v>0.02</v>
      </c>
    </row>
    <row r="9060" spans="19:19" x14ac:dyDescent="0.25">
      <c r="S9060" s="24">
        <f t="shared" si="445"/>
        <v>0.02</v>
      </c>
    </row>
    <row r="9061" spans="19:19" x14ac:dyDescent="0.25">
      <c r="S9061" s="24">
        <f t="shared" si="445"/>
        <v>0.02</v>
      </c>
    </row>
    <row r="9062" spans="19:19" x14ac:dyDescent="0.25">
      <c r="S9062" s="24">
        <f t="shared" si="445"/>
        <v>0.02</v>
      </c>
    </row>
    <row r="9063" spans="19:19" x14ac:dyDescent="0.25">
      <c r="S9063" s="24">
        <f t="shared" si="445"/>
        <v>0.02</v>
      </c>
    </row>
    <row r="9064" spans="19:19" x14ac:dyDescent="0.25">
      <c r="S9064" s="24">
        <f t="shared" si="445"/>
        <v>0.02</v>
      </c>
    </row>
    <row r="9065" spans="19:19" x14ac:dyDescent="0.25">
      <c r="S9065" s="24">
        <f t="shared" si="445"/>
        <v>0.02</v>
      </c>
    </row>
    <row r="9066" spans="19:19" x14ac:dyDescent="0.25">
      <c r="S9066" s="24">
        <f t="shared" si="445"/>
        <v>0.02</v>
      </c>
    </row>
    <row r="9067" spans="19:19" x14ac:dyDescent="0.25">
      <c r="S9067" s="24">
        <f t="shared" si="445"/>
        <v>0.02</v>
      </c>
    </row>
    <row r="9068" spans="19:19" x14ac:dyDescent="0.25">
      <c r="S9068" s="24">
        <f t="shared" si="445"/>
        <v>0.02</v>
      </c>
    </row>
    <row r="9069" spans="19:19" x14ac:dyDescent="0.25">
      <c r="S9069" s="24">
        <f t="shared" si="445"/>
        <v>0.02</v>
      </c>
    </row>
    <row r="9070" spans="19:19" x14ac:dyDescent="0.25">
      <c r="S9070" s="24">
        <f t="shared" si="445"/>
        <v>0.02</v>
      </c>
    </row>
    <row r="9071" spans="19:19" x14ac:dyDescent="0.25">
      <c r="S9071" s="24">
        <f t="shared" si="445"/>
        <v>0.02</v>
      </c>
    </row>
    <row r="9072" spans="19:19" x14ac:dyDescent="0.25">
      <c r="S9072" s="24">
        <f t="shared" si="445"/>
        <v>0.02</v>
      </c>
    </row>
    <row r="9073" spans="19:19" x14ac:dyDescent="0.25">
      <c r="S9073" s="24">
        <f t="shared" si="445"/>
        <v>0.02</v>
      </c>
    </row>
    <row r="9074" spans="19:19" x14ac:dyDescent="0.25">
      <c r="S9074" s="24">
        <f t="shared" si="445"/>
        <v>0.02</v>
      </c>
    </row>
    <row r="9075" spans="19:19" x14ac:dyDescent="0.25">
      <c r="S9075" s="24">
        <f t="shared" si="445"/>
        <v>0.02</v>
      </c>
    </row>
    <row r="9076" spans="19:19" x14ac:dyDescent="0.25">
      <c r="S9076" s="24">
        <f t="shared" si="445"/>
        <v>0.02</v>
      </c>
    </row>
    <row r="9077" spans="19:19" x14ac:dyDescent="0.25">
      <c r="S9077" s="24">
        <f t="shared" si="445"/>
        <v>0.02</v>
      </c>
    </row>
    <row r="9078" spans="19:19" x14ac:dyDescent="0.25">
      <c r="S9078" s="24">
        <f t="shared" si="445"/>
        <v>0.02</v>
      </c>
    </row>
    <row r="9079" spans="19:19" x14ac:dyDescent="0.25">
      <c r="S9079" s="24">
        <f t="shared" si="445"/>
        <v>0.02</v>
      </c>
    </row>
    <row r="9080" spans="19:19" x14ac:dyDescent="0.25">
      <c r="S9080" s="24">
        <f t="shared" si="445"/>
        <v>0.02</v>
      </c>
    </row>
    <row r="9081" spans="19:19" x14ac:dyDescent="0.25">
      <c r="S9081" s="24">
        <f t="shared" si="445"/>
        <v>0.02</v>
      </c>
    </row>
    <row r="9082" spans="19:19" x14ac:dyDescent="0.25">
      <c r="S9082" s="24">
        <f t="shared" si="445"/>
        <v>0.02</v>
      </c>
    </row>
    <row r="9083" spans="19:19" x14ac:dyDescent="0.25">
      <c r="S9083" s="24">
        <f t="shared" si="445"/>
        <v>0.02</v>
      </c>
    </row>
    <row r="9084" spans="19:19" x14ac:dyDescent="0.25">
      <c r="S9084" s="24">
        <f t="shared" si="445"/>
        <v>0.02</v>
      </c>
    </row>
    <row r="9085" spans="19:19" x14ac:dyDescent="0.25">
      <c r="S9085" s="24">
        <f t="shared" si="445"/>
        <v>0.02</v>
      </c>
    </row>
    <row r="9086" spans="19:19" x14ac:dyDescent="0.25">
      <c r="S9086" s="24">
        <f t="shared" si="445"/>
        <v>0.02</v>
      </c>
    </row>
    <row r="9087" spans="19:19" x14ac:dyDescent="0.25">
      <c r="S9087" s="24">
        <f t="shared" si="445"/>
        <v>0.02</v>
      </c>
    </row>
    <row r="9088" spans="19:19" x14ac:dyDescent="0.25">
      <c r="S9088" s="24">
        <f t="shared" si="445"/>
        <v>0.02</v>
      </c>
    </row>
    <row r="9089" spans="19:19" x14ac:dyDescent="0.25">
      <c r="S9089" s="24">
        <f t="shared" si="445"/>
        <v>0.02</v>
      </c>
    </row>
    <row r="9090" spans="19:19" x14ac:dyDescent="0.25">
      <c r="S9090" s="24">
        <f t="shared" si="445"/>
        <v>0.02</v>
      </c>
    </row>
    <row r="9091" spans="19:19" x14ac:dyDescent="0.25">
      <c r="S9091" s="24">
        <f t="shared" si="445"/>
        <v>0.02</v>
      </c>
    </row>
    <row r="9092" spans="19:19" x14ac:dyDescent="0.25">
      <c r="S9092" s="24">
        <f t="shared" si="445"/>
        <v>0.02</v>
      </c>
    </row>
    <row r="9093" spans="19:19" x14ac:dyDescent="0.25">
      <c r="S9093" s="24">
        <f t="shared" si="445"/>
        <v>0.02</v>
      </c>
    </row>
    <row r="9094" spans="19:19" x14ac:dyDescent="0.25">
      <c r="S9094" s="24">
        <f t="shared" si="445"/>
        <v>0.02</v>
      </c>
    </row>
    <row r="9095" spans="19:19" x14ac:dyDescent="0.25">
      <c r="S9095" s="24">
        <f t="shared" si="445"/>
        <v>0.02</v>
      </c>
    </row>
    <row r="9096" spans="19:19" x14ac:dyDescent="0.25">
      <c r="S9096" s="24">
        <f t="shared" si="445"/>
        <v>0.02</v>
      </c>
    </row>
    <row r="9097" spans="19:19" x14ac:dyDescent="0.25">
      <c r="S9097" s="24">
        <f t="shared" si="445"/>
        <v>0.02</v>
      </c>
    </row>
    <row r="9098" spans="19:19" x14ac:dyDescent="0.25">
      <c r="S9098" s="24">
        <f t="shared" si="445"/>
        <v>0.02</v>
      </c>
    </row>
    <row r="9099" spans="19:19" x14ac:dyDescent="0.25">
      <c r="S9099" s="24">
        <f t="shared" ref="S9099:S9162" si="446">VLOOKUP(N9099,$T$1:$U$7,2,TRUE)</f>
        <v>0.02</v>
      </c>
    </row>
    <row r="9100" spans="19:19" x14ac:dyDescent="0.25">
      <c r="S9100" s="24">
        <f t="shared" si="446"/>
        <v>0.02</v>
      </c>
    </row>
    <row r="9101" spans="19:19" x14ac:dyDescent="0.25">
      <c r="S9101" s="24">
        <f t="shared" si="446"/>
        <v>0.02</v>
      </c>
    </row>
    <row r="9102" spans="19:19" x14ac:dyDescent="0.25">
      <c r="S9102" s="24">
        <f t="shared" si="446"/>
        <v>0.02</v>
      </c>
    </row>
    <row r="9103" spans="19:19" x14ac:dyDescent="0.25">
      <c r="S9103" s="24">
        <f t="shared" si="446"/>
        <v>0.02</v>
      </c>
    </row>
    <row r="9104" spans="19:19" x14ac:dyDescent="0.25">
      <c r="S9104" s="24">
        <f t="shared" si="446"/>
        <v>0.02</v>
      </c>
    </row>
    <row r="9105" spans="19:19" x14ac:dyDescent="0.25">
      <c r="S9105" s="24">
        <f t="shared" si="446"/>
        <v>0.02</v>
      </c>
    </row>
    <row r="9106" spans="19:19" x14ac:dyDescent="0.25">
      <c r="S9106" s="24">
        <f t="shared" si="446"/>
        <v>0.02</v>
      </c>
    </row>
    <row r="9107" spans="19:19" x14ac:dyDescent="0.25">
      <c r="S9107" s="24">
        <f t="shared" si="446"/>
        <v>0.02</v>
      </c>
    </row>
    <row r="9108" spans="19:19" x14ac:dyDescent="0.25">
      <c r="S9108" s="24">
        <f t="shared" si="446"/>
        <v>0.02</v>
      </c>
    </row>
    <row r="9109" spans="19:19" x14ac:dyDescent="0.25">
      <c r="S9109" s="24">
        <f t="shared" si="446"/>
        <v>0.02</v>
      </c>
    </row>
    <row r="9110" spans="19:19" x14ac:dyDescent="0.25">
      <c r="S9110" s="24">
        <f t="shared" si="446"/>
        <v>0.02</v>
      </c>
    </row>
    <row r="9111" spans="19:19" x14ac:dyDescent="0.25">
      <c r="S9111" s="24">
        <f t="shared" si="446"/>
        <v>0.02</v>
      </c>
    </row>
    <row r="9112" spans="19:19" x14ac:dyDescent="0.25">
      <c r="S9112" s="24">
        <f t="shared" si="446"/>
        <v>0.02</v>
      </c>
    </row>
    <row r="9113" spans="19:19" x14ac:dyDescent="0.25">
      <c r="S9113" s="24">
        <f t="shared" si="446"/>
        <v>0.02</v>
      </c>
    </row>
    <row r="9114" spans="19:19" x14ac:dyDescent="0.25">
      <c r="S9114" s="24">
        <f t="shared" si="446"/>
        <v>0.02</v>
      </c>
    </row>
    <row r="9115" spans="19:19" x14ac:dyDescent="0.25">
      <c r="S9115" s="24">
        <f t="shared" si="446"/>
        <v>0.02</v>
      </c>
    </row>
    <row r="9116" spans="19:19" x14ac:dyDescent="0.25">
      <c r="S9116" s="24">
        <f t="shared" si="446"/>
        <v>0.02</v>
      </c>
    </row>
    <row r="9117" spans="19:19" x14ac:dyDescent="0.25">
      <c r="S9117" s="24">
        <f t="shared" si="446"/>
        <v>0.02</v>
      </c>
    </row>
    <row r="9118" spans="19:19" x14ac:dyDescent="0.25">
      <c r="S9118" s="24">
        <f t="shared" si="446"/>
        <v>0.02</v>
      </c>
    </row>
    <row r="9119" spans="19:19" x14ac:dyDescent="0.25">
      <c r="S9119" s="24">
        <f t="shared" si="446"/>
        <v>0.02</v>
      </c>
    </row>
    <row r="9120" spans="19:19" x14ac:dyDescent="0.25">
      <c r="S9120" s="24">
        <f t="shared" si="446"/>
        <v>0.02</v>
      </c>
    </row>
    <row r="9121" spans="19:19" x14ac:dyDescent="0.25">
      <c r="S9121" s="24">
        <f t="shared" si="446"/>
        <v>0.02</v>
      </c>
    </row>
    <row r="9122" spans="19:19" x14ac:dyDescent="0.25">
      <c r="S9122" s="24">
        <f t="shared" si="446"/>
        <v>0.02</v>
      </c>
    </row>
    <row r="9123" spans="19:19" x14ac:dyDescent="0.25">
      <c r="S9123" s="24">
        <f t="shared" si="446"/>
        <v>0.02</v>
      </c>
    </row>
    <row r="9124" spans="19:19" x14ac:dyDescent="0.25">
      <c r="S9124" s="24">
        <f t="shared" si="446"/>
        <v>0.02</v>
      </c>
    </row>
    <row r="9125" spans="19:19" x14ac:dyDescent="0.25">
      <c r="S9125" s="24">
        <f t="shared" si="446"/>
        <v>0.02</v>
      </c>
    </row>
    <row r="9126" spans="19:19" x14ac:dyDescent="0.25">
      <c r="S9126" s="24">
        <f t="shared" si="446"/>
        <v>0.02</v>
      </c>
    </row>
    <row r="9127" spans="19:19" x14ac:dyDescent="0.25">
      <c r="S9127" s="24">
        <f t="shared" si="446"/>
        <v>0.02</v>
      </c>
    </row>
    <row r="9128" spans="19:19" x14ac:dyDescent="0.25">
      <c r="S9128" s="24">
        <f t="shared" si="446"/>
        <v>0.02</v>
      </c>
    </row>
    <row r="9129" spans="19:19" x14ac:dyDescent="0.25">
      <c r="S9129" s="24">
        <f t="shared" si="446"/>
        <v>0.02</v>
      </c>
    </row>
    <row r="9130" spans="19:19" x14ac:dyDescent="0.25">
      <c r="S9130" s="24">
        <f t="shared" si="446"/>
        <v>0.02</v>
      </c>
    </row>
    <row r="9131" spans="19:19" x14ac:dyDescent="0.25">
      <c r="S9131" s="24">
        <f t="shared" si="446"/>
        <v>0.02</v>
      </c>
    </row>
    <row r="9132" spans="19:19" x14ac:dyDescent="0.25">
      <c r="S9132" s="24">
        <f t="shared" si="446"/>
        <v>0.02</v>
      </c>
    </row>
    <row r="9133" spans="19:19" x14ac:dyDescent="0.25">
      <c r="S9133" s="24">
        <f t="shared" si="446"/>
        <v>0.02</v>
      </c>
    </row>
    <row r="9134" spans="19:19" x14ac:dyDescent="0.25">
      <c r="S9134" s="24">
        <f t="shared" si="446"/>
        <v>0.02</v>
      </c>
    </row>
    <row r="9135" spans="19:19" x14ac:dyDescent="0.25">
      <c r="S9135" s="24">
        <f t="shared" si="446"/>
        <v>0.02</v>
      </c>
    </row>
    <row r="9136" spans="19:19" x14ac:dyDescent="0.25">
      <c r="S9136" s="24">
        <f t="shared" si="446"/>
        <v>0.02</v>
      </c>
    </row>
    <row r="9137" spans="19:19" x14ac:dyDescent="0.25">
      <c r="S9137" s="24">
        <f t="shared" si="446"/>
        <v>0.02</v>
      </c>
    </row>
    <row r="9138" spans="19:19" x14ac:dyDescent="0.25">
      <c r="S9138" s="24">
        <f t="shared" si="446"/>
        <v>0.02</v>
      </c>
    </row>
    <row r="9139" spans="19:19" x14ac:dyDescent="0.25">
      <c r="S9139" s="24">
        <f t="shared" si="446"/>
        <v>0.02</v>
      </c>
    </row>
    <row r="9140" spans="19:19" x14ac:dyDescent="0.25">
      <c r="S9140" s="24">
        <f t="shared" si="446"/>
        <v>0.02</v>
      </c>
    </row>
    <row r="9141" spans="19:19" x14ac:dyDescent="0.25">
      <c r="S9141" s="24">
        <f t="shared" si="446"/>
        <v>0.02</v>
      </c>
    </row>
    <row r="9142" spans="19:19" x14ac:dyDescent="0.25">
      <c r="S9142" s="24">
        <f t="shared" si="446"/>
        <v>0.02</v>
      </c>
    </row>
    <row r="9143" spans="19:19" x14ac:dyDescent="0.25">
      <c r="S9143" s="24">
        <f t="shared" si="446"/>
        <v>0.02</v>
      </c>
    </row>
    <row r="9144" spans="19:19" x14ac:dyDescent="0.25">
      <c r="S9144" s="24">
        <f t="shared" si="446"/>
        <v>0.02</v>
      </c>
    </row>
    <row r="9145" spans="19:19" x14ac:dyDescent="0.25">
      <c r="S9145" s="24">
        <f t="shared" si="446"/>
        <v>0.02</v>
      </c>
    </row>
    <row r="9146" spans="19:19" x14ac:dyDescent="0.25">
      <c r="S9146" s="24">
        <f t="shared" si="446"/>
        <v>0.02</v>
      </c>
    </row>
    <row r="9147" spans="19:19" x14ac:dyDescent="0.25">
      <c r="S9147" s="24">
        <f t="shared" si="446"/>
        <v>0.02</v>
      </c>
    </row>
    <row r="9148" spans="19:19" x14ac:dyDescent="0.25">
      <c r="S9148" s="24">
        <f t="shared" si="446"/>
        <v>0.02</v>
      </c>
    </row>
    <row r="9149" spans="19:19" x14ac:dyDescent="0.25">
      <c r="S9149" s="24">
        <f t="shared" si="446"/>
        <v>0.02</v>
      </c>
    </row>
    <row r="9150" spans="19:19" x14ac:dyDescent="0.25">
      <c r="S9150" s="24">
        <f t="shared" si="446"/>
        <v>0.02</v>
      </c>
    </row>
    <row r="9151" spans="19:19" x14ac:dyDescent="0.25">
      <c r="S9151" s="24">
        <f t="shared" si="446"/>
        <v>0.02</v>
      </c>
    </row>
    <row r="9152" spans="19:19" x14ac:dyDescent="0.25">
      <c r="S9152" s="24">
        <f t="shared" si="446"/>
        <v>0.02</v>
      </c>
    </row>
    <row r="9153" spans="19:19" x14ac:dyDescent="0.25">
      <c r="S9153" s="24">
        <f t="shared" si="446"/>
        <v>0.02</v>
      </c>
    </row>
    <row r="9154" spans="19:19" x14ac:dyDescent="0.25">
      <c r="S9154" s="24">
        <f t="shared" si="446"/>
        <v>0.02</v>
      </c>
    </row>
    <row r="9155" spans="19:19" x14ac:dyDescent="0.25">
      <c r="S9155" s="24">
        <f t="shared" si="446"/>
        <v>0.02</v>
      </c>
    </row>
    <row r="9156" spans="19:19" x14ac:dyDescent="0.25">
      <c r="S9156" s="24">
        <f t="shared" si="446"/>
        <v>0.02</v>
      </c>
    </row>
    <row r="9157" spans="19:19" x14ac:dyDescent="0.25">
      <c r="S9157" s="24">
        <f t="shared" si="446"/>
        <v>0.02</v>
      </c>
    </row>
    <row r="9158" spans="19:19" x14ac:dyDescent="0.25">
      <c r="S9158" s="24">
        <f t="shared" si="446"/>
        <v>0.02</v>
      </c>
    </row>
    <row r="9159" spans="19:19" x14ac:dyDescent="0.25">
      <c r="S9159" s="24">
        <f t="shared" si="446"/>
        <v>0.02</v>
      </c>
    </row>
    <row r="9160" spans="19:19" x14ac:dyDescent="0.25">
      <c r="S9160" s="24">
        <f t="shared" si="446"/>
        <v>0.02</v>
      </c>
    </row>
    <row r="9161" spans="19:19" x14ac:dyDescent="0.25">
      <c r="S9161" s="24">
        <f t="shared" si="446"/>
        <v>0.02</v>
      </c>
    </row>
    <row r="9162" spans="19:19" x14ac:dyDescent="0.25">
      <c r="S9162" s="24">
        <f t="shared" si="446"/>
        <v>0.02</v>
      </c>
    </row>
    <row r="9163" spans="19:19" x14ac:dyDescent="0.25">
      <c r="S9163" s="24">
        <f t="shared" ref="S9163:S9226" si="447">VLOOKUP(N9163,$T$1:$U$7,2,TRUE)</f>
        <v>0.02</v>
      </c>
    </row>
    <row r="9164" spans="19:19" x14ac:dyDescent="0.25">
      <c r="S9164" s="24">
        <f t="shared" si="447"/>
        <v>0.02</v>
      </c>
    </row>
    <row r="9165" spans="19:19" x14ac:dyDescent="0.25">
      <c r="S9165" s="24">
        <f t="shared" si="447"/>
        <v>0.02</v>
      </c>
    </row>
    <row r="9166" spans="19:19" x14ac:dyDescent="0.25">
      <c r="S9166" s="24">
        <f t="shared" si="447"/>
        <v>0.02</v>
      </c>
    </row>
    <row r="9167" spans="19:19" x14ac:dyDescent="0.25">
      <c r="S9167" s="24">
        <f t="shared" si="447"/>
        <v>0.02</v>
      </c>
    </row>
    <row r="9168" spans="19:19" x14ac:dyDescent="0.25">
      <c r="S9168" s="24">
        <f t="shared" si="447"/>
        <v>0.02</v>
      </c>
    </row>
    <row r="9169" spans="19:19" x14ac:dyDescent="0.25">
      <c r="S9169" s="24">
        <f t="shared" si="447"/>
        <v>0.02</v>
      </c>
    </row>
    <row r="9170" spans="19:19" x14ac:dyDescent="0.25">
      <c r="S9170" s="24">
        <f t="shared" si="447"/>
        <v>0.02</v>
      </c>
    </row>
    <row r="9171" spans="19:19" x14ac:dyDescent="0.25">
      <c r="S9171" s="24">
        <f t="shared" si="447"/>
        <v>0.02</v>
      </c>
    </row>
    <row r="9172" spans="19:19" x14ac:dyDescent="0.25">
      <c r="S9172" s="24">
        <f t="shared" si="447"/>
        <v>0.02</v>
      </c>
    </row>
    <row r="9173" spans="19:19" x14ac:dyDescent="0.25">
      <c r="S9173" s="24">
        <f t="shared" si="447"/>
        <v>0.02</v>
      </c>
    </row>
    <row r="9174" spans="19:19" x14ac:dyDescent="0.25">
      <c r="S9174" s="24">
        <f t="shared" si="447"/>
        <v>0.02</v>
      </c>
    </row>
    <row r="9175" spans="19:19" x14ac:dyDescent="0.25">
      <c r="S9175" s="24">
        <f t="shared" si="447"/>
        <v>0.02</v>
      </c>
    </row>
    <row r="9176" spans="19:19" x14ac:dyDescent="0.25">
      <c r="S9176" s="24">
        <f t="shared" si="447"/>
        <v>0.02</v>
      </c>
    </row>
    <row r="9177" spans="19:19" x14ac:dyDescent="0.25">
      <c r="S9177" s="24">
        <f t="shared" si="447"/>
        <v>0.02</v>
      </c>
    </row>
    <row r="9178" spans="19:19" x14ac:dyDescent="0.25">
      <c r="S9178" s="24">
        <f t="shared" si="447"/>
        <v>0.02</v>
      </c>
    </row>
    <row r="9179" spans="19:19" x14ac:dyDescent="0.25">
      <c r="S9179" s="24">
        <f t="shared" si="447"/>
        <v>0.02</v>
      </c>
    </row>
    <row r="9180" spans="19:19" x14ac:dyDescent="0.25">
      <c r="S9180" s="24">
        <f t="shared" si="447"/>
        <v>0.02</v>
      </c>
    </row>
    <row r="9181" spans="19:19" x14ac:dyDescent="0.25">
      <c r="S9181" s="24">
        <f t="shared" si="447"/>
        <v>0.02</v>
      </c>
    </row>
    <row r="9182" spans="19:19" x14ac:dyDescent="0.25">
      <c r="S9182" s="24">
        <f t="shared" si="447"/>
        <v>0.02</v>
      </c>
    </row>
    <row r="9183" spans="19:19" x14ac:dyDescent="0.25">
      <c r="S9183" s="24">
        <f t="shared" si="447"/>
        <v>0.02</v>
      </c>
    </row>
    <row r="9184" spans="19:19" x14ac:dyDescent="0.25">
      <c r="S9184" s="24">
        <f t="shared" si="447"/>
        <v>0.02</v>
      </c>
    </row>
    <row r="9185" spans="19:19" x14ac:dyDescent="0.25">
      <c r="S9185" s="24">
        <f t="shared" si="447"/>
        <v>0.02</v>
      </c>
    </row>
    <row r="9186" spans="19:19" x14ac:dyDescent="0.25">
      <c r="S9186" s="24">
        <f t="shared" si="447"/>
        <v>0.02</v>
      </c>
    </row>
    <row r="9187" spans="19:19" x14ac:dyDescent="0.25">
      <c r="S9187" s="24">
        <f t="shared" si="447"/>
        <v>0.02</v>
      </c>
    </row>
    <row r="9188" spans="19:19" x14ac:dyDescent="0.25">
      <c r="S9188" s="24">
        <f t="shared" si="447"/>
        <v>0.02</v>
      </c>
    </row>
    <row r="9189" spans="19:19" x14ac:dyDescent="0.25">
      <c r="S9189" s="24">
        <f t="shared" si="447"/>
        <v>0.02</v>
      </c>
    </row>
    <row r="9190" spans="19:19" x14ac:dyDescent="0.25">
      <c r="S9190" s="24">
        <f t="shared" si="447"/>
        <v>0.02</v>
      </c>
    </row>
    <row r="9191" spans="19:19" x14ac:dyDescent="0.25">
      <c r="S9191" s="24">
        <f t="shared" si="447"/>
        <v>0.02</v>
      </c>
    </row>
    <row r="9192" spans="19:19" x14ac:dyDescent="0.25">
      <c r="S9192" s="24">
        <f t="shared" si="447"/>
        <v>0.02</v>
      </c>
    </row>
    <row r="9193" spans="19:19" x14ac:dyDescent="0.25">
      <c r="S9193" s="24">
        <f t="shared" si="447"/>
        <v>0.02</v>
      </c>
    </row>
    <row r="9194" spans="19:19" x14ac:dyDescent="0.25">
      <c r="S9194" s="24">
        <f t="shared" si="447"/>
        <v>0.02</v>
      </c>
    </row>
    <row r="9195" spans="19:19" x14ac:dyDescent="0.25">
      <c r="S9195" s="24">
        <f t="shared" si="447"/>
        <v>0.02</v>
      </c>
    </row>
    <row r="9196" spans="19:19" x14ac:dyDescent="0.25">
      <c r="S9196" s="24">
        <f t="shared" si="447"/>
        <v>0.02</v>
      </c>
    </row>
    <row r="9197" spans="19:19" x14ac:dyDescent="0.25">
      <c r="S9197" s="24">
        <f t="shared" si="447"/>
        <v>0.02</v>
      </c>
    </row>
    <row r="9198" spans="19:19" x14ac:dyDescent="0.25">
      <c r="S9198" s="24">
        <f t="shared" si="447"/>
        <v>0.02</v>
      </c>
    </row>
    <row r="9199" spans="19:19" x14ac:dyDescent="0.25">
      <c r="S9199" s="24">
        <f t="shared" si="447"/>
        <v>0.02</v>
      </c>
    </row>
    <row r="9200" spans="19:19" x14ac:dyDescent="0.25">
      <c r="S9200" s="24">
        <f t="shared" si="447"/>
        <v>0.02</v>
      </c>
    </row>
    <row r="9201" spans="19:19" x14ac:dyDescent="0.25">
      <c r="S9201" s="24">
        <f t="shared" si="447"/>
        <v>0.02</v>
      </c>
    </row>
    <row r="9202" spans="19:19" x14ac:dyDescent="0.25">
      <c r="S9202" s="24">
        <f t="shared" si="447"/>
        <v>0.02</v>
      </c>
    </row>
    <row r="9203" spans="19:19" x14ac:dyDescent="0.25">
      <c r="S9203" s="24">
        <f t="shared" si="447"/>
        <v>0.02</v>
      </c>
    </row>
    <row r="9204" spans="19:19" x14ac:dyDescent="0.25">
      <c r="S9204" s="24">
        <f t="shared" si="447"/>
        <v>0.02</v>
      </c>
    </row>
    <row r="9205" spans="19:19" x14ac:dyDescent="0.25">
      <c r="S9205" s="24">
        <f t="shared" si="447"/>
        <v>0.02</v>
      </c>
    </row>
    <row r="9206" spans="19:19" x14ac:dyDescent="0.25">
      <c r="S9206" s="24">
        <f t="shared" si="447"/>
        <v>0.02</v>
      </c>
    </row>
    <row r="9207" spans="19:19" x14ac:dyDescent="0.25">
      <c r="S9207" s="24">
        <f t="shared" si="447"/>
        <v>0.02</v>
      </c>
    </row>
    <row r="9208" spans="19:19" x14ac:dyDescent="0.25">
      <c r="S9208" s="24">
        <f t="shared" si="447"/>
        <v>0.02</v>
      </c>
    </row>
    <row r="9209" spans="19:19" x14ac:dyDescent="0.25">
      <c r="S9209" s="24">
        <f t="shared" si="447"/>
        <v>0.02</v>
      </c>
    </row>
    <row r="9210" spans="19:19" x14ac:dyDescent="0.25">
      <c r="S9210" s="24">
        <f t="shared" si="447"/>
        <v>0.02</v>
      </c>
    </row>
    <row r="9211" spans="19:19" x14ac:dyDescent="0.25">
      <c r="S9211" s="24">
        <f t="shared" si="447"/>
        <v>0.02</v>
      </c>
    </row>
    <row r="9212" spans="19:19" x14ac:dyDescent="0.25">
      <c r="S9212" s="24">
        <f t="shared" si="447"/>
        <v>0.02</v>
      </c>
    </row>
    <row r="9213" spans="19:19" x14ac:dyDescent="0.25">
      <c r="S9213" s="24">
        <f t="shared" si="447"/>
        <v>0.02</v>
      </c>
    </row>
    <row r="9214" spans="19:19" x14ac:dyDescent="0.25">
      <c r="S9214" s="24">
        <f t="shared" si="447"/>
        <v>0.02</v>
      </c>
    </row>
    <row r="9215" spans="19:19" x14ac:dyDescent="0.25">
      <c r="S9215" s="24">
        <f t="shared" si="447"/>
        <v>0.02</v>
      </c>
    </row>
    <row r="9216" spans="19:19" x14ac:dyDescent="0.25">
      <c r="S9216" s="24">
        <f t="shared" si="447"/>
        <v>0.02</v>
      </c>
    </row>
    <row r="9217" spans="19:19" x14ac:dyDescent="0.25">
      <c r="S9217" s="24">
        <f t="shared" si="447"/>
        <v>0.02</v>
      </c>
    </row>
    <row r="9218" spans="19:19" x14ac:dyDescent="0.25">
      <c r="S9218" s="24">
        <f t="shared" si="447"/>
        <v>0.02</v>
      </c>
    </row>
    <row r="9219" spans="19:19" x14ac:dyDescent="0.25">
      <c r="S9219" s="24">
        <f t="shared" si="447"/>
        <v>0.02</v>
      </c>
    </row>
    <row r="9220" spans="19:19" x14ac:dyDescent="0.25">
      <c r="S9220" s="24">
        <f t="shared" si="447"/>
        <v>0.02</v>
      </c>
    </row>
    <row r="9221" spans="19:19" x14ac:dyDescent="0.25">
      <c r="S9221" s="24">
        <f t="shared" si="447"/>
        <v>0.02</v>
      </c>
    </row>
    <row r="9222" spans="19:19" x14ac:dyDescent="0.25">
      <c r="S9222" s="24">
        <f t="shared" si="447"/>
        <v>0.02</v>
      </c>
    </row>
    <row r="9223" spans="19:19" x14ac:dyDescent="0.25">
      <c r="S9223" s="24">
        <f t="shared" si="447"/>
        <v>0.02</v>
      </c>
    </row>
    <row r="9224" spans="19:19" x14ac:dyDescent="0.25">
      <c r="S9224" s="24">
        <f t="shared" si="447"/>
        <v>0.02</v>
      </c>
    </row>
    <row r="9225" spans="19:19" x14ac:dyDescent="0.25">
      <c r="S9225" s="24">
        <f t="shared" si="447"/>
        <v>0.02</v>
      </c>
    </row>
    <row r="9226" spans="19:19" x14ac:dyDescent="0.25">
      <c r="S9226" s="24">
        <f t="shared" si="447"/>
        <v>0.02</v>
      </c>
    </row>
    <row r="9227" spans="19:19" x14ac:dyDescent="0.25">
      <c r="S9227" s="24">
        <f t="shared" ref="S9227:S9290" si="448">VLOOKUP(N9227,$T$1:$U$7,2,TRUE)</f>
        <v>0.02</v>
      </c>
    </row>
    <row r="9228" spans="19:19" x14ac:dyDescent="0.25">
      <c r="S9228" s="24">
        <f t="shared" si="448"/>
        <v>0.02</v>
      </c>
    </row>
    <row r="9229" spans="19:19" x14ac:dyDescent="0.25">
      <c r="S9229" s="24">
        <f t="shared" si="448"/>
        <v>0.02</v>
      </c>
    </row>
    <row r="9230" spans="19:19" x14ac:dyDescent="0.25">
      <c r="S9230" s="24">
        <f t="shared" si="448"/>
        <v>0.02</v>
      </c>
    </row>
    <row r="9231" spans="19:19" x14ac:dyDescent="0.25">
      <c r="S9231" s="24">
        <f t="shared" si="448"/>
        <v>0.02</v>
      </c>
    </row>
    <row r="9232" spans="19:19" x14ac:dyDescent="0.25">
      <c r="S9232" s="24">
        <f t="shared" si="448"/>
        <v>0.02</v>
      </c>
    </row>
    <row r="9233" spans="19:19" x14ac:dyDescent="0.25">
      <c r="S9233" s="24">
        <f t="shared" si="448"/>
        <v>0.02</v>
      </c>
    </row>
    <row r="9234" spans="19:19" x14ac:dyDescent="0.25">
      <c r="S9234" s="24">
        <f t="shared" si="448"/>
        <v>0.02</v>
      </c>
    </row>
    <row r="9235" spans="19:19" x14ac:dyDescent="0.25">
      <c r="S9235" s="24">
        <f t="shared" si="448"/>
        <v>0.02</v>
      </c>
    </row>
    <row r="9236" spans="19:19" x14ac:dyDescent="0.25">
      <c r="S9236" s="24">
        <f t="shared" si="448"/>
        <v>0.02</v>
      </c>
    </row>
    <row r="9237" spans="19:19" x14ac:dyDescent="0.25">
      <c r="S9237" s="24">
        <f t="shared" si="448"/>
        <v>0.02</v>
      </c>
    </row>
    <row r="9238" spans="19:19" x14ac:dyDescent="0.25">
      <c r="S9238" s="24">
        <f t="shared" si="448"/>
        <v>0.02</v>
      </c>
    </row>
    <row r="9239" spans="19:19" x14ac:dyDescent="0.25">
      <c r="S9239" s="24">
        <f t="shared" si="448"/>
        <v>0.02</v>
      </c>
    </row>
    <row r="9240" spans="19:19" x14ac:dyDescent="0.25">
      <c r="S9240" s="24">
        <f t="shared" si="448"/>
        <v>0.02</v>
      </c>
    </row>
    <row r="9241" spans="19:19" x14ac:dyDescent="0.25">
      <c r="S9241" s="24">
        <f t="shared" si="448"/>
        <v>0.02</v>
      </c>
    </row>
    <row r="9242" spans="19:19" x14ac:dyDescent="0.25">
      <c r="S9242" s="24">
        <f t="shared" si="448"/>
        <v>0.02</v>
      </c>
    </row>
    <row r="9243" spans="19:19" x14ac:dyDescent="0.25">
      <c r="S9243" s="24">
        <f t="shared" si="448"/>
        <v>0.02</v>
      </c>
    </row>
    <row r="9244" spans="19:19" x14ac:dyDescent="0.25">
      <c r="S9244" s="24">
        <f t="shared" si="448"/>
        <v>0.02</v>
      </c>
    </row>
    <row r="9245" spans="19:19" x14ac:dyDescent="0.25">
      <c r="S9245" s="24">
        <f t="shared" si="448"/>
        <v>0.02</v>
      </c>
    </row>
    <row r="9246" spans="19:19" x14ac:dyDescent="0.25">
      <c r="S9246" s="24">
        <f t="shared" si="448"/>
        <v>0.02</v>
      </c>
    </row>
    <row r="9247" spans="19:19" x14ac:dyDescent="0.25">
      <c r="S9247" s="24">
        <f t="shared" si="448"/>
        <v>0.02</v>
      </c>
    </row>
    <row r="9248" spans="19:19" x14ac:dyDescent="0.25">
      <c r="S9248" s="24">
        <f t="shared" si="448"/>
        <v>0.02</v>
      </c>
    </row>
    <row r="9249" spans="19:19" x14ac:dyDescent="0.25">
      <c r="S9249" s="24">
        <f t="shared" si="448"/>
        <v>0.02</v>
      </c>
    </row>
    <row r="9250" spans="19:19" x14ac:dyDescent="0.25">
      <c r="S9250" s="24">
        <f t="shared" si="448"/>
        <v>0.02</v>
      </c>
    </row>
    <row r="9251" spans="19:19" x14ac:dyDescent="0.25">
      <c r="S9251" s="24">
        <f t="shared" si="448"/>
        <v>0.02</v>
      </c>
    </row>
    <row r="9252" spans="19:19" x14ac:dyDescent="0.25">
      <c r="S9252" s="24">
        <f t="shared" si="448"/>
        <v>0.02</v>
      </c>
    </row>
    <row r="9253" spans="19:19" x14ac:dyDescent="0.25">
      <c r="S9253" s="24">
        <f t="shared" si="448"/>
        <v>0.02</v>
      </c>
    </row>
    <row r="9254" spans="19:19" x14ac:dyDescent="0.25">
      <c r="S9254" s="24">
        <f t="shared" si="448"/>
        <v>0.02</v>
      </c>
    </row>
    <row r="9255" spans="19:19" x14ac:dyDescent="0.25">
      <c r="S9255" s="24">
        <f t="shared" si="448"/>
        <v>0.02</v>
      </c>
    </row>
    <row r="9256" spans="19:19" x14ac:dyDescent="0.25">
      <c r="S9256" s="24">
        <f t="shared" si="448"/>
        <v>0.02</v>
      </c>
    </row>
    <row r="9257" spans="19:19" x14ac:dyDescent="0.25">
      <c r="S9257" s="24">
        <f t="shared" si="448"/>
        <v>0.02</v>
      </c>
    </row>
    <row r="9258" spans="19:19" x14ac:dyDescent="0.25">
      <c r="S9258" s="24">
        <f t="shared" si="448"/>
        <v>0.02</v>
      </c>
    </row>
    <row r="9259" spans="19:19" x14ac:dyDescent="0.25">
      <c r="S9259" s="24">
        <f t="shared" si="448"/>
        <v>0.02</v>
      </c>
    </row>
    <row r="9260" spans="19:19" x14ac:dyDescent="0.25">
      <c r="S9260" s="24">
        <f t="shared" si="448"/>
        <v>0.02</v>
      </c>
    </row>
    <row r="9261" spans="19:19" x14ac:dyDescent="0.25">
      <c r="S9261" s="24">
        <f t="shared" si="448"/>
        <v>0.02</v>
      </c>
    </row>
    <row r="9262" spans="19:19" x14ac:dyDescent="0.25">
      <c r="S9262" s="24">
        <f t="shared" si="448"/>
        <v>0.02</v>
      </c>
    </row>
    <row r="9263" spans="19:19" x14ac:dyDescent="0.25">
      <c r="S9263" s="24">
        <f t="shared" si="448"/>
        <v>0.02</v>
      </c>
    </row>
    <row r="9264" spans="19:19" x14ac:dyDescent="0.25">
      <c r="S9264" s="24">
        <f t="shared" si="448"/>
        <v>0.02</v>
      </c>
    </row>
    <row r="9265" spans="19:19" x14ac:dyDescent="0.25">
      <c r="S9265" s="24">
        <f t="shared" si="448"/>
        <v>0.02</v>
      </c>
    </row>
    <row r="9266" spans="19:19" x14ac:dyDescent="0.25">
      <c r="S9266" s="24">
        <f t="shared" si="448"/>
        <v>0.02</v>
      </c>
    </row>
    <row r="9267" spans="19:19" x14ac:dyDescent="0.25">
      <c r="S9267" s="24">
        <f t="shared" si="448"/>
        <v>0.02</v>
      </c>
    </row>
    <row r="9268" spans="19:19" x14ac:dyDescent="0.25">
      <c r="S9268" s="24">
        <f t="shared" si="448"/>
        <v>0.02</v>
      </c>
    </row>
    <row r="9269" spans="19:19" x14ac:dyDescent="0.25">
      <c r="S9269" s="24">
        <f t="shared" si="448"/>
        <v>0.02</v>
      </c>
    </row>
    <row r="9270" spans="19:19" x14ac:dyDescent="0.25">
      <c r="S9270" s="24">
        <f t="shared" si="448"/>
        <v>0.02</v>
      </c>
    </row>
    <row r="9271" spans="19:19" x14ac:dyDescent="0.25">
      <c r="S9271" s="24">
        <f t="shared" si="448"/>
        <v>0.02</v>
      </c>
    </row>
    <row r="9272" spans="19:19" x14ac:dyDescent="0.25">
      <c r="S9272" s="24">
        <f t="shared" si="448"/>
        <v>0.02</v>
      </c>
    </row>
    <row r="9273" spans="19:19" x14ac:dyDescent="0.25">
      <c r="S9273" s="24">
        <f t="shared" si="448"/>
        <v>0.02</v>
      </c>
    </row>
    <row r="9274" spans="19:19" x14ac:dyDescent="0.25">
      <c r="S9274" s="24">
        <f t="shared" si="448"/>
        <v>0.02</v>
      </c>
    </row>
    <row r="9275" spans="19:19" x14ac:dyDescent="0.25">
      <c r="S9275" s="24">
        <f t="shared" si="448"/>
        <v>0.02</v>
      </c>
    </row>
    <row r="9276" spans="19:19" x14ac:dyDescent="0.25">
      <c r="S9276" s="24">
        <f t="shared" si="448"/>
        <v>0.02</v>
      </c>
    </row>
    <row r="9277" spans="19:19" x14ac:dyDescent="0.25">
      <c r="S9277" s="24">
        <f t="shared" si="448"/>
        <v>0.02</v>
      </c>
    </row>
    <row r="9278" spans="19:19" x14ac:dyDescent="0.25">
      <c r="S9278" s="24">
        <f t="shared" si="448"/>
        <v>0.02</v>
      </c>
    </row>
    <row r="9279" spans="19:19" x14ac:dyDescent="0.25">
      <c r="S9279" s="24">
        <f t="shared" si="448"/>
        <v>0.02</v>
      </c>
    </row>
    <row r="9280" spans="19:19" x14ac:dyDescent="0.25">
      <c r="S9280" s="24">
        <f t="shared" si="448"/>
        <v>0.02</v>
      </c>
    </row>
    <row r="9281" spans="19:19" x14ac:dyDescent="0.25">
      <c r="S9281" s="24">
        <f t="shared" si="448"/>
        <v>0.02</v>
      </c>
    </row>
    <row r="9282" spans="19:19" x14ac:dyDescent="0.25">
      <c r="S9282" s="24">
        <f t="shared" si="448"/>
        <v>0.02</v>
      </c>
    </row>
    <row r="9283" spans="19:19" x14ac:dyDescent="0.25">
      <c r="S9283" s="24">
        <f t="shared" si="448"/>
        <v>0.02</v>
      </c>
    </row>
    <row r="9284" spans="19:19" x14ac:dyDescent="0.25">
      <c r="S9284" s="24">
        <f t="shared" si="448"/>
        <v>0.02</v>
      </c>
    </row>
    <row r="9285" spans="19:19" x14ac:dyDescent="0.25">
      <c r="S9285" s="24">
        <f t="shared" si="448"/>
        <v>0.02</v>
      </c>
    </row>
    <row r="9286" spans="19:19" x14ac:dyDescent="0.25">
      <c r="S9286" s="24">
        <f t="shared" si="448"/>
        <v>0.02</v>
      </c>
    </row>
    <row r="9287" spans="19:19" x14ac:dyDescent="0.25">
      <c r="S9287" s="24">
        <f t="shared" si="448"/>
        <v>0.02</v>
      </c>
    </row>
    <row r="9288" spans="19:19" x14ac:dyDescent="0.25">
      <c r="S9288" s="24">
        <f t="shared" si="448"/>
        <v>0.02</v>
      </c>
    </row>
    <row r="9289" spans="19:19" x14ac:dyDescent="0.25">
      <c r="S9289" s="24">
        <f t="shared" si="448"/>
        <v>0.02</v>
      </c>
    </row>
    <row r="9290" spans="19:19" x14ac:dyDescent="0.25">
      <c r="S9290" s="24">
        <f t="shared" si="448"/>
        <v>0.02</v>
      </c>
    </row>
    <row r="9291" spans="19:19" x14ac:dyDescent="0.25">
      <c r="S9291" s="24">
        <f t="shared" ref="S9291:S9354" si="449">VLOOKUP(N9291,$T$1:$U$7,2,TRUE)</f>
        <v>0.02</v>
      </c>
    </row>
    <row r="9292" spans="19:19" x14ac:dyDescent="0.25">
      <c r="S9292" s="24">
        <f t="shared" si="449"/>
        <v>0.02</v>
      </c>
    </row>
    <row r="9293" spans="19:19" x14ac:dyDescent="0.25">
      <c r="S9293" s="24">
        <f t="shared" si="449"/>
        <v>0.02</v>
      </c>
    </row>
    <row r="9294" spans="19:19" x14ac:dyDescent="0.25">
      <c r="S9294" s="24">
        <f t="shared" si="449"/>
        <v>0.02</v>
      </c>
    </row>
    <row r="9295" spans="19:19" x14ac:dyDescent="0.25">
      <c r="S9295" s="24">
        <f t="shared" si="449"/>
        <v>0.02</v>
      </c>
    </row>
    <row r="9296" spans="19:19" x14ac:dyDescent="0.25">
      <c r="S9296" s="24">
        <f t="shared" si="449"/>
        <v>0.02</v>
      </c>
    </row>
    <row r="9297" spans="19:19" x14ac:dyDescent="0.25">
      <c r="S9297" s="24">
        <f t="shared" si="449"/>
        <v>0.02</v>
      </c>
    </row>
    <row r="9298" spans="19:19" x14ac:dyDescent="0.25">
      <c r="S9298" s="24">
        <f t="shared" si="449"/>
        <v>0.02</v>
      </c>
    </row>
    <row r="9299" spans="19:19" x14ac:dyDescent="0.25">
      <c r="S9299" s="24">
        <f t="shared" si="449"/>
        <v>0.02</v>
      </c>
    </row>
    <row r="9300" spans="19:19" x14ac:dyDescent="0.25">
      <c r="S9300" s="24">
        <f t="shared" si="449"/>
        <v>0.02</v>
      </c>
    </row>
    <row r="9301" spans="19:19" x14ac:dyDescent="0.25">
      <c r="S9301" s="24">
        <f t="shared" si="449"/>
        <v>0.02</v>
      </c>
    </row>
    <row r="9302" spans="19:19" x14ac:dyDescent="0.25">
      <c r="S9302" s="24">
        <f t="shared" si="449"/>
        <v>0.02</v>
      </c>
    </row>
    <row r="9303" spans="19:19" x14ac:dyDescent="0.25">
      <c r="S9303" s="24">
        <f t="shared" si="449"/>
        <v>0.02</v>
      </c>
    </row>
    <row r="9304" spans="19:19" x14ac:dyDescent="0.25">
      <c r="S9304" s="24">
        <f t="shared" si="449"/>
        <v>0.02</v>
      </c>
    </row>
    <row r="9305" spans="19:19" x14ac:dyDescent="0.25">
      <c r="S9305" s="24">
        <f t="shared" si="449"/>
        <v>0.02</v>
      </c>
    </row>
    <row r="9306" spans="19:19" x14ac:dyDescent="0.25">
      <c r="S9306" s="24">
        <f t="shared" si="449"/>
        <v>0.02</v>
      </c>
    </row>
    <row r="9307" spans="19:19" x14ac:dyDescent="0.25">
      <c r="S9307" s="24">
        <f t="shared" si="449"/>
        <v>0.02</v>
      </c>
    </row>
    <row r="9308" spans="19:19" x14ac:dyDescent="0.25">
      <c r="S9308" s="24">
        <f t="shared" si="449"/>
        <v>0.02</v>
      </c>
    </row>
    <row r="9309" spans="19:19" x14ac:dyDescent="0.25">
      <c r="S9309" s="24">
        <f t="shared" si="449"/>
        <v>0.02</v>
      </c>
    </row>
    <row r="9310" spans="19:19" x14ac:dyDescent="0.25">
      <c r="S9310" s="24">
        <f t="shared" si="449"/>
        <v>0.02</v>
      </c>
    </row>
    <row r="9311" spans="19:19" x14ac:dyDescent="0.25">
      <c r="S9311" s="24">
        <f t="shared" si="449"/>
        <v>0.02</v>
      </c>
    </row>
    <row r="9312" spans="19:19" x14ac:dyDescent="0.25">
      <c r="S9312" s="24">
        <f t="shared" si="449"/>
        <v>0.02</v>
      </c>
    </row>
    <row r="9313" spans="19:19" x14ac:dyDescent="0.25">
      <c r="S9313" s="24">
        <f t="shared" si="449"/>
        <v>0.02</v>
      </c>
    </row>
    <row r="9314" spans="19:19" x14ac:dyDescent="0.25">
      <c r="S9314" s="24">
        <f t="shared" si="449"/>
        <v>0.02</v>
      </c>
    </row>
    <row r="9315" spans="19:19" x14ac:dyDescent="0.25">
      <c r="S9315" s="24">
        <f t="shared" si="449"/>
        <v>0.02</v>
      </c>
    </row>
    <row r="9316" spans="19:19" x14ac:dyDescent="0.25">
      <c r="S9316" s="24">
        <f t="shared" si="449"/>
        <v>0.02</v>
      </c>
    </row>
    <row r="9317" spans="19:19" x14ac:dyDescent="0.25">
      <c r="S9317" s="24">
        <f t="shared" si="449"/>
        <v>0.02</v>
      </c>
    </row>
    <row r="9318" spans="19:19" x14ac:dyDescent="0.25">
      <c r="S9318" s="24">
        <f t="shared" si="449"/>
        <v>0.02</v>
      </c>
    </row>
    <row r="9319" spans="19:19" x14ac:dyDescent="0.25">
      <c r="S9319" s="24">
        <f t="shared" si="449"/>
        <v>0.02</v>
      </c>
    </row>
    <row r="9320" spans="19:19" x14ac:dyDescent="0.25">
      <c r="S9320" s="24">
        <f t="shared" si="449"/>
        <v>0.02</v>
      </c>
    </row>
    <row r="9321" spans="19:19" x14ac:dyDescent="0.25">
      <c r="S9321" s="24">
        <f t="shared" si="449"/>
        <v>0.02</v>
      </c>
    </row>
    <row r="9322" spans="19:19" x14ac:dyDescent="0.25">
      <c r="S9322" s="24">
        <f t="shared" si="449"/>
        <v>0.02</v>
      </c>
    </row>
    <row r="9323" spans="19:19" x14ac:dyDescent="0.25">
      <c r="S9323" s="24">
        <f t="shared" si="449"/>
        <v>0.02</v>
      </c>
    </row>
    <row r="9324" spans="19:19" x14ac:dyDescent="0.25">
      <c r="S9324" s="24">
        <f t="shared" si="449"/>
        <v>0.02</v>
      </c>
    </row>
    <row r="9325" spans="19:19" x14ac:dyDescent="0.25">
      <c r="S9325" s="24">
        <f t="shared" si="449"/>
        <v>0.02</v>
      </c>
    </row>
    <row r="9326" spans="19:19" x14ac:dyDescent="0.25">
      <c r="S9326" s="24">
        <f t="shared" si="449"/>
        <v>0.02</v>
      </c>
    </row>
    <row r="9327" spans="19:19" x14ac:dyDescent="0.25">
      <c r="S9327" s="24">
        <f t="shared" si="449"/>
        <v>0.02</v>
      </c>
    </row>
    <row r="9328" spans="19:19" x14ac:dyDescent="0.25">
      <c r="S9328" s="24">
        <f t="shared" si="449"/>
        <v>0.02</v>
      </c>
    </row>
    <row r="9329" spans="19:19" x14ac:dyDescent="0.25">
      <c r="S9329" s="24">
        <f t="shared" si="449"/>
        <v>0.02</v>
      </c>
    </row>
    <row r="9330" spans="19:19" x14ac:dyDescent="0.25">
      <c r="S9330" s="24">
        <f t="shared" si="449"/>
        <v>0.02</v>
      </c>
    </row>
    <row r="9331" spans="19:19" x14ac:dyDescent="0.25">
      <c r="S9331" s="24">
        <f t="shared" si="449"/>
        <v>0.02</v>
      </c>
    </row>
    <row r="9332" spans="19:19" x14ac:dyDescent="0.25">
      <c r="S9332" s="24">
        <f t="shared" si="449"/>
        <v>0.02</v>
      </c>
    </row>
    <row r="9333" spans="19:19" x14ac:dyDescent="0.25">
      <c r="S9333" s="24">
        <f t="shared" si="449"/>
        <v>0.02</v>
      </c>
    </row>
    <row r="9334" spans="19:19" x14ac:dyDescent="0.25">
      <c r="S9334" s="24">
        <f t="shared" si="449"/>
        <v>0.02</v>
      </c>
    </row>
    <row r="9335" spans="19:19" x14ac:dyDescent="0.25">
      <c r="S9335" s="24">
        <f t="shared" si="449"/>
        <v>0.02</v>
      </c>
    </row>
    <row r="9336" spans="19:19" x14ac:dyDescent="0.25">
      <c r="S9336" s="24">
        <f t="shared" si="449"/>
        <v>0.02</v>
      </c>
    </row>
    <row r="9337" spans="19:19" x14ac:dyDescent="0.25">
      <c r="S9337" s="24">
        <f t="shared" si="449"/>
        <v>0.02</v>
      </c>
    </row>
    <row r="9338" spans="19:19" x14ac:dyDescent="0.25">
      <c r="S9338" s="24">
        <f t="shared" si="449"/>
        <v>0.02</v>
      </c>
    </row>
    <row r="9339" spans="19:19" x14ac:dyDescent="0.25">
      <c r="S9339" s="24">
        <f t="shared" si="449"/>
        <v>0.02</v>
      </c>
    </row>
    <row r="9340" spans="19:19" x14ac:dyDescent="0.25">
      <c r="S9340" s="24">
        <f t="shared" si="449"/>
        <v>0.02</v>
      </c>
    </row>
    <row r="9341" spans="19:19" x14ac:dyDescent="0.25">
      <c r="S9341" s="24">
        <f t="shared" si="449"/>
        <v>0.02</v>
      </c>
    </row>
    <row r="9342" spans="19:19" x14ac:dyDescent="0.25">
      <c r="S9342" s="24">
        <f t="shared" si="449"/>
        <v>0.02</v>
      </c>
    </row>
    <row r="9343" spans="19:19" x14ac:dyDescent="0.25">
      <c r="S9343" s="24">
        <f t="shared" si="449"/>
        <v>0.02</v>
      </c>
    </row>
    <row r="9344" spans="19:19" x14ac:dyDescent="0.25">
      <c r="S9344" s="24">
        <f t="shared" si="449"/>
        <v>0.02</v>
      </c>
    </row>
    <row r="9345" spans="19:19" x14ac:dyDescent="0.25">
      <c r="S9345" s="24">
        <f t="shared" si="449"/>
        <v>0.02</v>
      </c>
    </row>
    <row r="9346" spans="19:19" x14ac:dyDescent="0.25">
      <c r="S9346" s="24">
        <f t="shared" si="449"/>
        <v>0.02</v>
      </c>
    </row>
    <row r="9347" spans="19:19" x14ac:dyDescent="0.25">
      <c r="S9347" s="24">
        <f t="shared" si="449"/>
        <v>0.02</v>
      </c>
    </row>
    <row r="9348" spans="19:19" x14ac:dyDescent="0.25">
      <c r="S9348" s="24">
        <f t="shared" si="449"/>
        <v>0.02</v>
      </c>
    </row>
    <row r="9349" spans="19:19" x14ac:dyDescent="0.25">
      <c r="S9349" s="24">
        <f t="shared" si="449"/>
        <v>0.02</v>
      </c>
    </row>
    <row r="9350" spans="19:19" x14ac:dyDescent="0.25">
      <c r="S9350" s="24">
        <f t="shared" si="449"/>
        <v>0.02</v>
      </c>
    </row>
    <row r="9351" spans="19:19" x14ac:dyDescent="0.25">
      <c r="S9351" s="24">
        <f t="shared" si="449"/>
        <v>0.02</v>
      </c>
    </row>
    <row r="9352" spans="19:19" x14ac:dyDescent="0.25">
      <c r="S9352" s="24">
        <f t="shared" si="449"/>
        <v>0.02</v>
      </c>
    </row>
    <row r="9353" spans="19:19" x14ac:dyDescent="0.25">
      <c r="S9353" s="24">
        <f t="shared" si="449"/>
        <v>0.02</v>
      </c>
    </row>
    <row r="9354" spans="19:19" x14ac:dyDescent="0.25">
      <c r="S9354" s="24">
        <f t="shared" si="449"/>
        <v>0.02</v>
      </c>
    </row>
    <row r="9355" spans="19:19" x14ac:dyDescent="0.25">
      <c r="S9355" s="24">
        <f t="shared" ref="S9355:S9418" si="450">VLOOKUP(N9355,$T$1:$U$7,2,TRUE)</f>
        <v>0.02</v>
      </c>
    </row>
    <row r="9356" spans="19:19" x14ac:dyDescent="0.25">
      <c r="S9356" s="24">
        <f t="shared" si="450"/>
        <v>0.02</v>
      </c>
    </row>
    <row r="9357" spans="19:19" x14ac:dyDescent="0.25">
      <c r="S9357" s="24">
        <f t="shared" si="450"/>
        <v>0.02</v>
      </c>
    </row>
    <row r="9358" spans="19:19" x14ac:dyDescent="0.25">
      <c r="S9358" s="24">
        <f t="shared" si="450"/>
        <v>0.02</v>
      </c>
    </row>
    <row r="9359" spans="19:19" x14ac:dyDescent="0.25">
      <c r="S9359" s="24">
        <f t="shared" si="450"/>
        <v>0.02</v>
      </c>
    </row>
    <row r="9360" spans="19:19" x14ac:dyDescent="0.25">
      <c r="S9360" s="24">
        <f t="shared" si="450"/>
        <v>0.02</v>
      </c>
    </row>
    <row r="9361" spans="19:19" x14ac:dyDescent="0.25">
      <c r="S9361" s="24">
        <f t="shared" si="450"/>
        <v>0.02</v>
      </c>
    </row>
    <row r="9362" spans="19:19" x14ac:dyDescent="0.25">
      <c r="S9362" s="24">
        <f t="shared" si="450"/>
        <v>0.02</v>
      </c>
    </row>
    <row r="9363" spans="19:19" x14ac:dyDescent="0.25">
      <c r="S9363" s="24">
        <f t="shared" si="450"/>
        <v>0.02</v>
      </c>
    </row>
    <row r="9364" spans="19:19" x14ac:dyDescent="0.25">
      <c r="S9364" s="24">
        <f t="shared" si="450"/>
        <v>0.02</v>
      </c>
    </row>
    <row r="9365" spans="19:19" x14ac:dyDescent="0.25">
      <c r="S9365" s="24">
        <f t="shared" si="450"/>
        <v>0.02</v>
      </c>
    </row>
    <row r="9366" spans="19:19" x14ac:dyDescent="0.25">
      <c r="S9366" s="24">
        <f t="shared" si="450"/>
        <v>0.02</v>
      </c>
    </row>
    <row r="9367" spans="19:19" x14ac:dyDescent="0.25">
      <c r="S9367" s="24">
        <f t="shared" si="450"/>
        <v>0.02</v>
      </c>
    </row>
    <row r="9368" spans="19:19" x14ac:dyDescent="0.25">
      <c r="S9368" s="24">
        <f t="shared" si="450"/>
        <v>0.02</v>
      </c>
    </row>
    <row r="9369" spans="19:19" x14ac:dyDescent="0.25">
      <c r="S9369" s="24">
        <f t="shared" si="450"/>
        <v>0.02</v>
      </c>
    </row>
    <row r="9370" spans="19:19" x14ac:dyDescent="0.25">
      <c r="S9370" s="24">
        <f t="shared" si="450"/>
        <v>0.02</v>
      </c>
    </row>
    <row r="9371" spans="19:19" x14ac:dyDescent="0.25">
      <c r="S9371" s="24">
        <f t="shared" si="450"/>
        <v>0.02</v>
      </c>
    </row>
    <row r="9372" spans="19:19" x14ac:dyDescent="0.25">
      <c r="S9372" s="24">
        <f t="shared" si="450"/>
        <v>0.02</v>
      </c>
    </row>
    <row r="9373" spans="19:19" x14ac:dyDescent="0.25">
      <c r="S9373" s="24">
        <f t="shared" si="450"/>
        <v>0.02</v>
      </c>
    </row>
    <row r="9374" spans="19:19" x14ac:dyDescent="0.25">
      <c r="S9374" s="24">
        <f t="shared" si="450"/>
        <v>0.02</v>
      </c>
    </row>
    <row r="9375" spans="19:19" x14ac:dyDescent="0.25">
      <c r="S9375" s="24">
        <f t="shared" si="450"/>
        <v>0.02</v>
      </c>
    </row>
    <row r="9376" spans="19:19" x14ac:dyDescent="0.25">
      <c r="S9376" s="24">
        <f t="shared" si="450"/>
        <v>0.02</v>
      </c>
    </row>
    <row r="9377" spans="19:19" x14ac:dyDescent="0.25">
      <c r="S9377" s="24">
        <f t="shared" si="450"/>
        <v>0.02</v>
      </c>
    </row>
    <row r="9378" spans="19:19" x14ac:dyDescent="0.25">
      <c r="S9378" s="24">
        <f t="shared" si="450"/>
        <v>0.02</v>
      </c>
    </row>
    <row r="9379" spans="19:19" x14ac:dyDescent="0.25">
      <c r="S9379" s="24">
        <f t="shared" si="450"/>
        <v>0.02</v>
      </c>
    </row>
    <row r="9380" spans="19:19" x14ac:dyDescent="0.25">
      <c r="S9380" s="24">
        <f t="shared" si="450"/>
        <v>0.02</v>
      </c>
    </row>
    <row r="9381" spans="19:19" x14ac:dyDescent="0.25">
      <c r="S9381" s="24">
        <f t="shared" si="450"/>
        <v>0.02</v>
      </c>
    </row>
    <row r="9382" spans="19:19" x14ac:dyDescent="0.25">
      <c r="S9382" s="24">
        <f t="shared" si="450"/>
        <v>0.02</v>
      </c>
    </row>
    <row r="9383" spans="19:19" x14ac:dyDescent="0.25">
      <c r="S9383" s="24">
        <f t="shared" si="450"/>
        <v>0.02</v>
      </c>
    </row>
    <row r="9384" spans="19:19" x14ac:dyDescent="0.25">
      <c r="S9384" s="24">
        <f t="shared" si="450"/>
        <v>0.02</v>
      </c>
    </row>
    <row r="9385" spans="19:19" x14ac:dyDescent="0.25">
      <c r="S9385" s="24">
        <f t="shared" si="450"/>
        <v>0.02</v>
      </c>
    </row>
    <row r="9386" spans="19:19" x14ac:dyDescent="0.25">
      <c r="S9386" s="24">
        <f t="shared" si="450"/>
        <v>0.02</v>
      </c>
    </row>
    <row r="9387" spans="19:19" x14ac:dyDescent="0.25">
      <c r="S9387" s="24">
        <f t="shared" si="450"/>
        <v>0.02</v>
      </c>
    </row>
    <row r="9388" spans="19:19" x14ac:dyDescent="0.25">
      <c r="S9388" s="24">
        <f t="shared" si="450"/>
        <v>0.02</v>
      </c>
    </row>
    <row r="9389" spans="19:19" x14ac:dyDescent="0.25">
      <c r="S9389" s="24">
        <f t="shared" si="450"/>
        <v>0.02</v>
      </c>
    </row>
    <row r="9390" spans="19:19" x14ac:dyDescent="0.25">
      <c r="S9390" s="24">
        <f t="shared" si="450"/>
        <v>0.02</v>
      </c>
    </row>
    <row r="9391" spans="19:19" x14ac:dyDescent="0.25">
      <c r="S9391" s="24">
        <f t="shared" si="450"/>
        <v>0.02</v>
      </c>
    </row>
    <row r="9392" spans="19:19" x14ac:dyDescent="0.25">
      <c r="S9392" s="24">
        <f t="shared" si="450"/>
        <v>0.02</v>
      </c>
    </row>
    <row r="9393" spans="19:19" x14ac:dyDescent="0.25">
      <c r="S9393" s="24">
        <f t="shared" si="450"/>
        <v>0.02</v>
      </c>
    </row>
    <row r="9394" spans="19:19" x14ac:dyDescent="0.25">
      <c r="S9394" s="24">
        <f t="shared" si="450"/>
        <v>0.02</v>
      </c>
    </row>
    <row r="9395" spans="19:19" x14ac:dyDescent="0.25">
      <c r="S9395" s="24">
        <f t="shared" si="450"/>
        <v>0.02</v>
      </c>
    </row>
    <row r="9396" spans="19:19" x14ac:dyDescent="0.25">
      <c r="S9396" s="24">
        <f t="shared" si="450"/>
        <v>0.02</v>
      </c>
    </row>
    <row r="9397" spans="19:19" x14ac:dyDescent="0.25">
      <c r="S9397" s="24">
        <f t="shared" si="450"/>
        <v>0.02</v>
      </c>
    </row>
    <row r="9398" spans="19:19" x14ac:dyDescent="0.25">
      <c r="S9398" s="24">
        <f t="shared" si="450"/>
        <v>0.02</v>
      </c>
    </row>
    <row r="9399" spans="19:19" x14ac:dyDescent="0.25">
      <c r="S9399" s="24">
        <f t="shared" si="450"/>
        <v>0.02</v>
      </c>
    </row>
    <row r="9400" spans="19:19" x14ac:dyDescent="0.25">
      <c r="S9400" s="24">
        <f t="shared" si="450"/>
        <v>0.02</v>
      </c>
    </row>
    <row r="9401" spans="19:19" x14ac:dyDescent="0.25">
      <c r="S9401" s="24">
        <f t="shared" si="450"/>
        <v>0.02</v>
      </c>
    </row>
    <row r="9402" spans="19:19" x14ac:dyDescent="0.25">
      <c r="S9402" s="24">
        <f t="shared" si="450"/>
        <v>0.02</v>
      </c>
    </row>
    <row r="9403" spans="19:19" x14ac:dyDescent="0.25">
      <c r="S9403" s="24">
        <f t="shared" si="450"/>
        <v>0.02</v>
      </c>
    </row>
    <row r="9404" spans="19:19" x14ac:dyDescent="0.25">
      <c r="S9404" s="24">
        <f t="shared" si="450"/>
        <v>0.02</v>
      </c>
    </row>
    <row r="9405" spans="19:19" x14ac:dyDescent="0.25">
      <c r="S9405" s="24">
        <f t="shared" si="450"/>
        <v>0.02</v>
      </c>
    </row>
    <row r="9406" spans="19:19" x14ac:dyDescent="0.25">
      <c r="S9406" s="24">
        <f t="shared" si="450"/>
        <v>0.02</v>
      </c>
    </row>
    <row r="9407" spans="19:19" x14ac:dyDescent="0.25">
      <c r="S9407" s="24">
        <f t="shared" si="450"/>
        <v>0.02</v>
      </c>
    </row>
    <row r="9408" spans="19:19" x14ac:dyDescent="0.25">
      <c r="S9408" s="24">
        <f t="shared" si="450"/>
        <v>0.02</v>
      </c>
    </row>
    <row r="9409" spans="19:19" x14ac:dyDescent="0.25">
      <c r="S9409" s="24">
        <f t="shared" si="450"/>
        <v>0.02</v>
      </c>
    </row>
    <row r="9410" spans="19:19" x14ac:dyDescent="0.25">
      <c r="S9410" s="24">
        <f t="shared" si="450"/>
        <v>0.02</v>
      </c>
    </row>
    <row r="9411" spans="19:19" x14ac:dyDescent="0.25">
      <c r="S9411" s="24">
        <f t="shared" si="450"/>
        <v>0.02</v>
      </c>
    </row>
    <row r="9412" spans="19:19" x14ac:dyDescent="0.25">
      <c r="S9412" s="24">
        <f t="shared" si="450"/>
        <v>0.02</v>
      </c>
    </row>
    <row r="9413" spans="19:19" x14ac:dyDescent="0.25">
      <c r="S9413" s="24">
        <f t="shared" si="450"/>
        <v>0.02</v>
      </c>
    </row>
    <row r="9414" spans="19:19" x14ac:dyDescent="0.25">
      <c r="S9414" s="24">
        <f t="shared" si="450"/>
        <v>0.02</v>
      </c>
    </row>
    <row r="9415" spans="19:19" x14ac:dyDescent="0.25">
      <c r="S9415" s="24">
        <f t="shared" si="450"/>
        <v>0.02</v>
      </c>
    </row>
    <row r="9416" spans="19:19" x14ac:dyDescent="0.25">
      <c r="S9416" s="24">
        <f t="shared" si="450"/>
        <v>0.02</v>
      </c>
    </row>
    <row r="9417" spans="19:19" x14ac:dyDescent="0.25">
      <c r="S9417" s="24">
        <f t="shared" si="450"/>
        <v>0.02</v>
      </c>
    </row>
    <row r="9418" spans="19:19" x14ac:dyDescent="0.25">
      <c r="S9418" s="24">
        <f t="shared" si="450"/>
        <v>0.02</v>
      </c>
    </row>
    <row r="9419" spans="19:19" x14ac:dyDescent="0.25">
      <c r="S9419" s="24">
        <f t="shared" ref="S9419:S9482" si="451">VLOOKUP(N9419,$T$1:$U$7,2,TRUE)</f>
        <v>0.02</v>
      </c>
    </row>
    <row r="9420" spans="19:19" x14ac:dyDescent="0.25">
      <c r="S9420" s="24">
        <f t="shared" si="451"/>
        <v>0.02</v>
      </c>
    </row>
    <row r="9421" spans="19:19" x14ac:dyDescent="0.25">
      <c r="S9421" s="24">
        <f t="shared" si="451"/>
        <v>0.02</v>
      </c>
    </row>
    <row r="9422" spans="19:19" x14ac:dyDescent="0.25">
      <c r="S9422" s="24">
        <f t="shared" si="451"/>
        <v>0.02</v>
      </c>
    </row>
    <row r="9423" spans="19:19" x14ac:dyDescent="0.25">
      <c r="S9423" s="24">
        <f t="shared" si="451"/>
        <v>0.02</v>
      </c>
    </row>
    <row r="9424" spans="19:19" x14ac:dyDescent="0.25">
      <c r="S9424" s="24">
        <f t="shared" si="451"/>
        <v>0.02</v>
      </c>
    </row>
    <row r="9425" spans="19:19" x14ac:dyDescent="0.25">
      <c r="S9425" s="24">
        <f t="shared" si="451"/>
        <v>0.02</v>
      </c>
    </row>
    <row r="9426" spans="19:19" x14ac:dyDescent="0.25">
      <c r="S9426" s="24">
        <f t="shared" si="451"/>
        <v>0.02</v>
      </c>
    </row>
    <row r="9427" spans="19:19" x14ac:dyDescent="0.25">
      <c r="S9427" s="24">
        <f t="shared" si="451"/>
        <v>0.02</v>
      </c>
    </row>
    <row r="9428" spans="19:19" x14ac:dyDescent="0.25">
      <c r="S9428" s="24">
        <f t="shared" si="451"/>
        <v>0.02</v>
      </c>
    </row>
    <row r="9429" spans="19:19" x14ac:dyDescent="0.25">
      <c r="S9429" s="24">
        <f t="shared" si="451"/>
        <v>0.02</v>
      </c>
    </row>
    <row r="9430" spans="19:19" x14ac:dyDescent="0.25">
      <c r="S9430" s="24">
        <f t="shared" si="451"/>
        <v>0.02</v>
      </c>
    </row>
    <row r="9431" spans="19:19" x14ac:dyDescent="0.25">
      <c r="S9431" s="24">
        <f t="shared" si="451"/>
        <v>0.02</v>
      </c>
    </row>
    <row r="9432" spans="19:19" x14ac:dyDescent="0.25">
      <c r="S9432" s="24">
        <f t="shared" si="451"/>
        <v>0.02</v>
      </c>
    </row>
    <row r="9433" spans="19:19" x14ac:dyDescent="0.25">
      <c r="S9433" s="24">
        <f t="shared" si="451"/>
        <v>0.02</v>
      </c>
    </row>
    <row r="9434" spans="19:19" x14ac:dyDescent="0.25">
      <c r="S9434" s="24">
        <f t="shared" si="451"/>
        <v>0.02</v>
      </c>
    </row>
    <row r="9435" spans="19:19" x14ac:dyDescent="0.25">
      <c r="S9435" s="24">
        <f t="shared" si="451"/>
        <v>0.02</v>
      </c>
    </row>
    <row r="9436" spans="19:19" x14ac:dyDescent="0.25">
      <c r="S9436" s="24">
        <f t="shared" si="451"/>
        <v>0.02</v>
      </c>
    </row>
    <row r="9437" spans="19:19" x14ac:dyDescent="0.25">
      <c r="S9437" s="24">
        <f t="shared" si="451"/>
        <v>0.02</v>
      </c>
    </row>
    <row r="9438" spans="19:19" x14ac:dyDescent="0.25">
      <c r="S9438" s="24">
        <f t="shared" si="451"/>
        <v>0.02</v>
      </c>
    </row>
    <row r="9439" spans="19:19" x14ac:dyDescent="0.25">
      <c r="S9439" s="24">
        <f t="shared" si="451"/>
        <v>0.02</v>
      </c>
    </row>
    <row r="9440" spans="19:19" x14ac:dyDescent="0.25">
      <c r="S9440" s="24">
        <f t="shared" si="451"/>
        <v>0.02</v>
      </c>
    </row>
    <row r="9441" spans="19:19" x14ac:dyDescent="0.25">
      <c r="S9441" s="24">
        <f t="shared" si="451"/>
        <v>0.02</v>
      </c>
    </row>
    <row r="9442" spans="19:19" x14ac:dyDescent="0.25">
      <c r="S9442" s="24">
        <f t="shared" si="451"/>
        <v>0.02</v>
      </c>
    </row>
    <row r="9443" spans="19:19" x14ac:dyDescent="0.25">
      <c r="S9443" s="24">
        <f t="shared" si="451"/>
        <v>0.02</v>
      </c>
    </row>
    <row r="9444" spans="19:19" x14ac:dyDescent="0.25">
      <c r="S9444" s="24">
        <f t="shared" si="451"/>
        <v>0.02</v>
      </c>
    </row>
    <row r="9445" spans="19:19" x14ac:dyDescent="0.25">
      <c r="S9445" s="24">
        <f t="shared" si="451"/>
        <v>0.02</v>
      </c>
    </row>
    <row r="9446" spans="19:19" x14ac:dyDescent="0.25">
      <c r="S9446" s="24">
        <f t="shared" si="451"/>
        <v>0.02</v>
      </c>
    </row>
    <row r="9447" spans="19:19" x14ac:dyDescent="0.25">
      <c r="S9447" s="24">
        <f t="shared" si="451"/>
        <v>0.02</v>
      </c>
    </row>
    <row r="9448" spans="19:19" x14ac:dyDescent="0.25">
      <c r="S9448" s="24">
        <f t="shared" si="451"/>
        <v>0.02</v>
      </c>
    </row>
    <row r="9449" spans="19:19" x14ac:dyDescent="0.25">
      <c r="S9449" s="24">
        <f t="shared" si="451"/>
        <v>0.02</v>
      </c>
    </row>
    <row r="9450" spans="19:19" x14ac:dyDescent="0.25">
      <c r="S9450" s="24">
        <f t="shared" si="451"/>
        <v>0.02</v>
      </c>
    </row>
    <row r="9451" spans="19:19" x14ac:dyDescent="0.25">
      <c r="S9451" s="24">
        <f t="shared" si="451"/>
        <v>0.02</v>
      </c>
    </row>
    <row r="9452" spans="19:19" x14ac:dyDescent="0.25">
      <c r="S9452" s="24">
        <f t="shared" si="451"/>
        <v>0.02</v>
      </c>
    </row>
    <row r="9453" spans="19:19" x14ac:dyDescent="0.25">
      <c r="S9453" s="24">
        <f t="shared" si="451"/>
        <v>0.02</v>
      </c>
    </row>
    <row r="9454" spans="19:19" x14ac:dyDescent="0.25">
      <c r="S9454" s="24">
        <f t="shared" si="451"/>
        <v>0.02</v>
      </c>
    </row>
    <row r="9455" spans="19:19" x14ac:dyDescent="0.25">
      <c r="S9455" s="24">
        <f t="shared" si="451"/>
        <v>0.02</v>
      </c>
    </row>
    <row r="9456" spans="19:19" x14ac:dyDescent="0.25">
      <c r="S9456" s="24">
        <f t="shared" si="451"/>
        <v>0.02</v>
      </c>
    </row>
    <row r="9457" spans="19:19" x14ac:dyDescent="0.25">
      <c r="S9457" s="24">
        <f t="shared" si="451"/>
        <v>0.02</v>
      </c>
    </row>
    <row r="9458" spans="19:19" x14ac:dyDescent="0.25">
      <c r="S9458" s="24">
        <f t="shared" si="451"/>
        <v>0.02</v>
      </c>
    </row>
    <row r="9459" spans="19:19" x14ac:dyDescent="0.25">
      <c r="S9459" s="24">
        <f t="shared" si="451"/>
        <v>0.02</v>
      </c>
    </row>
    <row r="9460" spans="19:19" x14ac:dyDescent="0.25">
      <c r="S9460" s="24">
        <f t="shared" si="451"/>
        <v>0.02</v>
      </c>
    </row>
    <row r="9461" spans="19:19" x14ac:dyDescent="0.25">
      <c r="S9461" s="24">
        <f t="shared" si="451"/>
        <v>0.02</v>
      </c>
    </row>
    <row r="9462" spans="19:19" x14ac:dyDescent="0.25">
      <c r="S9462" s="24">
        <f t="shared" si="451"/>
        <v>0.02</v>
      </c>
    </row>
    <row r="9463" spans="19:19" x14ac:dyDescent="0.25">
      <c r="S9463" s="24">
        <f t="shared" si="451"/>
        <v>0.02</v>
      </c>
    </row>
    <row r="9464" spans="19:19" x14ac:dyDescent="0.25">
      <c r="S9464" s="24">
        <f t="shared" si="451"/>
        <v>0.02</v>
      </c>
    </row>
    <row r="9465" spans="19:19" x14ac:dyDescent="0.25">
      <c r="S9465" s="24">
        <f t="shared" si="451"/>
        <v>0.02</v>
      </c>
    </row>
    <row r="9466" spans="19:19" x14ac:dyDescent="0.25">
      <c r="S9466" s="24">
        <f t="shared" si="451"/>
        <v>0.02</v>
      </c>
    </row>
    <row r="9467" spans="19:19" x14ac:dyDescent="0.25">
      <c r="S9467" s="24">
        <f t="shared" si="451"/>
        <v>0.02</v>
      </c>
    </row>
    <row r="9468" spans="19:19" x14ac:dyDescent="0.25">
      <c r="S9468" s="24">
        <f t="shared" si="451"/>
        <v>0.02</v>
      </c>
    </row>
    <row r="9469" spans="19:19" x14ac:dyDescent="0.25">
      <c r="S9469" s="24">
        <f t="shared" si="451"/>
        <v>0.02</v>
      </c>
    </row>
    <row r="9470" spans="19:19" x14ac:dyDescent="0.25">
      <c r="S9470" s="24">
        <f t="shared" si="451"/>
        <v>0.02</v>
      </c>
    </row>
    <row r="9471" spans="19:19" x14ac:dyDescent="0.25">
      <c r="S9471" s="24">
        <f t="shared" si="451"/>
        <v>0.02</v>
      </c>
    </row>
    <row r="9472" spans="19:19" x14ac:dyDescent="0.25">
      <c r="S9472" s="24">
        <f t="shared" si="451"/>
        <v>0.02</v>
      </c>
    </row>
    <row r="9473" spans="19:19" x14ac:dyDescent="0.25">
      <c r="S9473" s="24">
        <f t="shared" si="451"/>
        <v>0.02</v>
      </c>
    </row>
    <row r="9474" spans="19:19" x14ac:dyDescent="0.25">
      <c r="S9474" s="24">
        <f t="shared" si="451"/>
        <v>0.02</v>
      </c>
    </row>
    <row r="9475" spans="19:19" x14ac:dyDescent="0.25">
      <c r="S9475" s="24">
        <f t="shared" si="451"/>
        <v>0.02</v>
      </c>
    </row>
    <row r="9476" spans="19:19" x14ac:dyDescent="0.25">
      <c r="S9476" s="24">
        <f t="shared" si="451"/>
        <v>0.02</v>
      </c>
    </row>
    <row r="9477" spans="19:19" x14ac:dyDescent="0.25">
      <c r="S9477" s="24">
        <f t="shared" si="451"/>
        <v>0.02</v>
      </c>
    </row>
    <row r="9478" spans="19:19" x14ac:dyDescent="0.25">
      <c r="S9478" s="24">
        <f t="shared" si="451"/>
        <v>0.02</v>
      </c>
    </row>
    <row r="9479" spans="19:19" x14ac:dyDescent="0.25">
      <c r="S9479" s="24">
        <f t="shared" si="451"/>
        <v>0.02</v>
      </c>
    </row>
    <row r="9480" spans="19:19" x14ac:dyDescent="0.25">
      <c r="S9480" s="24">
        <f t="shared" si="451"/>
        <v>0.02</v>
      </c>
    </row>
    <row r="9481" spans="19:19" x14ac:dyDescent="0.25">
      <c r="S9481" s="24">
        <f t="shared" si="451"/>
        <v>0.02</v>
      </c>
    </row>
    <row r="9482" spans="19:19" x14ac:dyDescent="0.25">
      <c r="S9482" s="24">
        <f t="shared" si="451"/>
        <v>0.02</v>
      </c>
    </row>
    <row r="9483" spans="19:19" x14ac:dyDescent="0.25">
      <c r="S9483" s="24">
        <f t="shared" ref="S9483:S9546" si="452">VLOOKUP(N9483,$T$1:$U$7,2,TRUE)</f>
        <v>0.02</v>
      </c>
    </row>
    <row r="9484" spans="19:19" x14ac:dyDescent="0.25">
      <c r="S9484" s="24">
        <f t="shared" si="452"/>
        <v>0.02</v>
      </c>
    </row>
    <row r="9485" spans="19:19" x14ac:dyDescent="0.25">
      <c r="S9485" s="24">
        <f t="shared" si="452"/>
        <v>0.02</v>
      </c>
    </row>
    <row r="9486" spans="19:19" x14ac:dyDescent="0.25">
      <c r="S9486" s="24">
        <f t="shared" si="452"/>
        <v>0.02</v>
      </c>
    </row>
    <row r="9487" spans="19:19" x14ac:dyDescent="0.25">
      <c r="S9487" s="24">
        <f t="shared" si="452"/>
        <v>0.02</v>
      </c>
    </row>
    <row r="9488" spans="19:19" x14ac:dyDescent="0.25">
      <c r="S9488" s="24">
        <f t="shared" si="452"/>
        <v>0.02</v>
      </c>
    </row>
    <row r="9489" spans="19:19" x14ac:dyDescent="0.25">
      <c r="S9489" s="24">
        <f t="shared" si="452"/>
        <v>0.02</v>
      </c>
    </row>
    <row r="9490" spans="19:19" x14ac:dyDescent="0.25">
      <c r="S9490" s="24">
        <f t="shared" si="452"/>
        <v>0.02</v>
      </c>
    </row>
    <row r="9491" spans="19:19" x14ac:dyDescent="0.25">
      <c r="S9491" s="24">
        <f t="shared" si="452"/>
        <v>0.02</v>
      </c>
    </row>
    <row r="9492" spans="19:19" x14ac:dyDescent="0.25">
      <c r="S9492" s="24">
        <f t="shared" si="452"/>
        <v>0.02</v>
      </c>
    </row>
    <row r="9493" spans="19:19" x14ac:dyDescent="0.25">
      <c r="S9493" s="24">
        <f t="shared" si="452"/>
        <v>0.02</v>
      </c>
    </row>
    <row r="9494" spans="19:19" x14ac:dyDescent="0.25">
      <c r="S9494" s="24">
        <f t="shared" si="452"/>
        <v>0.02</v>
      </c>
    </row>
    <row r="9495" spans="19:19" x14ac:dyDescent="0.25">
      <c r="S9495" s="24">
        <f t="shared" si="452"/>
        <v>0.02</v>
      </c>
    </row>
    <row r="9496" spans="19:19" x14ac:dyDescent="0.25">
      <c r="S9496" s="24">
        <f t="shared" si="452"/>
        <v>0.02</v>
      </c>
    </row>
    <row r="9497" spans="19:19" x14ac:dyDescent="0.25">
      <c r="S9497" s="24">
        <f t="shared" si="452"/>
        <v>0.02</v>
      </c>
    </row>
    <row r="9498" spans="19:19" x14ac:dyDescent="0.25">
      <c r="S9498" s="24">
        <f t="shared" si="452"/>
        <v>0.02</v>
      </c>
    </row>
    <row r="9499" spans="19:19" x14ac:dyDescent="0.25">
      <c r="S9499" s="24">
        <f t="shared" si="452"/>
        <v>0.02</v>
      </c>
    </row>
    <row r="9500" spans="19:19" x14ac:dyDescent="0.25">
      <c r="S9500" s="24">
        <f t="shared" si="452"/>
        <v>0.02</v>
      </c>
    </row>
    <row r="9501" spans="19:19" x14ac:dyDescent="0.25">
      <c r="S9501" s="24">
        <f t="shared" si="452"/>
        <v>0.02</v>
      </c>
    </row>
    <row r="9502" spans="19:19" x14ac:dyDescent="0.25">
      <c r="S9502" s="24">
        <f t="shared" si="452"/>
        <v>0.02</v>
      </c>
    </row>
    <row r="9503" spans="19:19" x14ac:dyDescent="0.25">
      <c r="S9503" s="24">
        <f t="shared" si="452"/>
        <v>0.02</v>
      </c>
    </row>
    <row r="9504" spans="19:19" x14ac:dyDescent="0.25">
      <c r="S9504" s="24">
        <f t="shared" si="452"/>
        <v>0.02</v>
      </c>
    </row>
    <row r="9505" spans="19:19" x14ac:dyDescent="0.25">
      <c r="S9505" s="24">
        <f t="shared" si="452"/>
        <v>0.02</v>
      </c>
    </row>
    <row r="9506" spans="19:19" x14ac:dyDescent="0.25">
      <c r="S9506" s="24">
        <f t="shared" si="452"/>
        <v>0.02</v>
      </c>
    </row>
    <row r="9507" spans="19:19" x14ac:dyDescent="0.25">
      <c r="S9507" s="24">
        <f t="shared" si="452"/>
        <v>0.02</v>
      </c>
    </row>
    <row r="9508" spans="19:19" x14ac:dyDescent="0.25">
      <c r="S9508" s="24">
        <f t="shared" si="452"/>
        <v>0.02</v>
      </c>
    </row>
    <row r="9509" spans="19:19" x14ac:dyDescent="0.25">
      <c r="S9509" s="24">
        <f t="shared" si="452"/>
        <v>0.02</v>
      </c>
    </row>
    <row r="9510" spans="19:19" x14ac:dyDescent="0.25">
      <c r="S9510" s="24">
        <f t="shared" si="452"/>
        <v>0.02</v>
      </c>
    </row>
    <row r="9511" spans="19:19" x14ac:dyDescent="0.25">
      <c r="S9511" s="24">
        <f t="shared" si="452"/>
        <v>0.02</v>
      </c>
    </row>
    <row r="9512" spans="19:19" x14ac:dyDescent="0.25">
      <c r="S9512" s="24">
        <f t="shared" si="452"/>
        <v>0.02</v>
      </c>
    </row>
    <row r="9513" spans="19:19" x14ac:dyDescent="0.25">
      <c r="S9513" s="24">
        <f t="shared" si="452"/>
        <v>0.02</v>
      </c>
    </row>
    <row r="9514" spans="19:19" x14ac:dyDescent="0.25">
      <c r="S9514" s="24">
        <f t="shared" si="452"/>
        <v>0.02</v>
      </c>
    </row>
    <row r="9515" spans="19:19" x14ac:dyDescent="0.25">
      <c r="S9515" s="24">
        <f t="shared" si="452"/>
        <v>0.02</v>
      </c>
    </row>
    <row r="9516" spans="19:19" x14ac:dyDescent="0.25">
      <c r="S9516" s="24">
        <f t="shared" si="452"/>
        <v>0.02</v>
      </c>
    </row>
    <row r="9517" spans="19:19" x14ac:dyDescent="0.25">
      <c r="S9517" s="24">
        <f t="shared" si="452"/>
        <v>0.02</v>
      </c>
    </row>
    <row r="9518" spans="19:19" x14ac:dyDescent="0.25">
      <c r="S9518" s="24">
        <f t="shared" si="452"/>
        <v>0.02</v>
      </c>
    </row>
    <row r="9519" spans="19:19" x14ac:dyDescent="0.25">
      <c r="S9519" s="24">
        <f t="shared" si="452"/>
        <v>0.02</v>
      </c>
    </row>
    <row r="9520" spans="19:19" x14ac:dyDescent="0.25">
      <c r="S9520" s="24">
        <f t="shared" si="452"/>
        <v>0.02</v>
      </c>
    </row>
    <row r="9521" spans="19:19" x14ac:dyDescent="0.25">
      <c r="S9521" s="24">
        <f t="shared" si="452"/>
        <v>0.02</v>
      </c>
    </row>
    <row r="9522" spans="19:19" x14ac:dyDescent="0.25">
      <c r="S9522" s="24">
        <f t="shared" si="452"/>
        <v>0.02</v>
      </c>
    </row>
    <row r="9523" spans="19:19" x14ac:dyDescent="0.25">
      <c r="S9523" s="24">
        <f t="shared" si="452"/>
        <v>0.02</v>
      </c>
    </row>
    <row r="9524" spans="19:19" x14ac:dyDescent="0.25">
      <c r="S9524" s="24">
        <f t="shared" si="452"/>
        <v>0.02</v>
      </c>
    </row>
    <row r="9525" spans="19:19" x14ac:dyDescent="0.25">
      <c r="S9525" s="24">
        <f t="shared" si="452"/>
        <v>0.02</v>
      </c>
    </row>
    <row r="9526" spans="19:19" x14ac:dyDescent="0.25">
      <c r="S9526" s="24">
        <f t="shared" si="452"/>
        <v>0.02</v>
      </c>
    </row>
    <row r="9527" spans="19:19" x14ac:dyDescent="0.25">
      <c r="S9527" s="24">
        <f t="shared" si="452"/>
        <v>0.02</v>
      </c>
    </row>
    <row r="9528" spans="19:19" x14ac:dyDescent="0.25">
      <c r="S9528" s="24">
        <f t="shared" si="452"/>
        <v>0.02</v>
      </c>
    </row>
    <row r="9529" spans="19:19" x14ac:dyDescent="0.25">
      <c r="S9529" s="24">
        <f t="shared" si="452"/>
        <v>0.02</v>
      </c>
    </row>
    <row r="9530" spans="19:19" x14ac:dyDescent="0.25">
      <c r="S9530" s="24">
        <f t="shared" si="452"/>
        <v>0.02</v>
      </c>
    </row>
    <row r="9531" spans="19:19" x14ac:dyDescent="0.25">
      <c r="S9531" s="24">
        <f t="shared" si="452"/>
        <v>0.02</v>
      </c>
    </row>
    <row r="9532" spans="19:19" x14ac:dyDescent="0.25">
      <c r="S9532" s="24">
        <f t="shared" si="452"/>
        <v>0.02</v>
      </c>
    </row>
    <row r="9533" spans="19:19" x14ac:dyDescent="0.25">
      <c r="S9533" s="24">
        <f t="shared" si="452"/>
        <v>0.02</v>
      </c>
    </row>
    <row r="9534" spans="19:19" x14ac:dyDescent="0.25">
      <c r="S9534" s="24">
        <f t="shared" si="452"/>
        <v>0.02</v>
      </c>
    </row>
    <row r="9535" spans="19:19" x14ac:dyDescent="0.25">
      <c r="S9535" s="24">
        <f t="shared" si="452"/>
        <v>0.02</v>
      </c>
    </row>
    <row r="9536" spans="19:19" x14ac:dyDescent="0.25">
      <c r="S9536" s="24">
        <f t="shared" si="452"/>
        <v>0.02</v>
      </c>
    </row>
    <row r="9537" spans="19:19" x14ac:dyDescent="0.25">
      <c r="S9537" s="24">
        <f t="shared" si="452"/>
        <v>0.02</v>
      </c>
    </row>
    <row r="9538" spans="19:19" x14ac:dyDescent="0.25">
      <c r="S9538" s="24">
        <f t="shared" si="452"/>
        <v>0.02</v>
      </c>
    </row>
    <row r="9539" spans="19:19" x14ac:dyDescent="0.25">
      <c r="S9539" s="24">
        <f t="shared" si="452"/>
        <v>0.02</v>
      </c>
    </row>
    <row r="9540" spans="19:19" x14ac:dyDescent="0.25">
      <c r="S9540" s="24">
        <f t="shared" si="452"/>
        <v>0.02</v>
      </c>
    </row>
    <row r="9541" spans="19:19" x14ac:dyDescent="0.25">
      <c r="S9541" s="24">
        <f t="shared" si="452"/>
        <v>0.02</v>
      </c>
    </row>
    <row r="9542" spans="19:19" x14ac:dyDescent="0.25">
      <c r="S9542" s="24">
        <f t="shared" si="452"/>
        <v>0.02</v>
      </c>
    </row>
    <row r="9543" spans="19:19" x14ac:dyDescent="0.25">
      <c r="S9543" s="24">
        <f t="shared" si="452"/>
        <v>0.02</v>
      </c>
    </row>
    <row r="9544" spans="19:19" x14ac:dyDescent="0.25">
      <c r="S9544" s="24">
        <f t="shared" si="452"/>
        <v>0.02</v>
      </c>
    </row>
    <row r="9545" spans="19:19" x14ac:dyDescent="0.25">
      <c r="S9545" s="24">
        <f t="shared" si="452"/>
        <v>0.02</v>
      </c>
    </row>
    <row r="9546" spans="19:19" x14ac:dyDescent="0.25">
      <c r="S9546" s="24">
        <f t="shared" si="452"/>
        <v>0.02</v>
      </c>
    </row>
    <row r="9547" spans="19:19" x14ac:dyDescent="0.25">
      <c r="S9547" s="24">
        <f t="shared" ref="S9547:S9610" si="453">VLOOKUP(N9547,$T$1:$U$7,2,TRUE)</f>
        <v>0.02</v>
      </c>
    </row>
    <row r="9548" spans="19:19" x14ac:dyDescent="0.25">
      <c r="S9548" s="24">
        <f t="shared" si="453"/>
        <v>0.02</v>
      </c>
    </row>
    <row r="9549" spans="19:19" x14ac:dyDescent="0.25">
      <c r="S9549" s="24">
        <f t="shared" si="453"/>
        <v>0.02</v>
      </c>
    </row>
    <row r="9550" spans="19:19" x14ac:dyDescent="0.25">
      <c r="S9550" s="24">
        <f t="shared" si="453"/>
        <v>0.02</v>
      </c>
    </row>
    <row r="9551" spans="19:19" x14ac:dyDescent="0.25">
      <c r="S9551" s="24">
        <f t="shared" si="453"/>
        <v>0.02</v>
      </c>
    </row>
    <row r="9552" spans="19:19" x14ac:dyDescent="0.25">
      <c r="S9552" s="24">
        <f t="shared" si="453"/>
        <v>0.02</v>
      </c>
    </row>
    <row r="9553" spans="19:19" x14ac:dyDescent="0.25">
      <c r="S9553" s="24">
        <f t="shared" si="453"/>
        <v>0.02</v>
      </c>
    </row>
    <row r="9554" spans="19:19" x14ac:dyDescent="0.25">
      <c r="S9554" s="24">
        <f t="shared" si="453"/>
        <v>0.02</v>
      </c>
    </row>
    <row r="9555" spans="19:19" x14ac:dyDescent="0.25">
      <c r="S9555" s="24">
        <f t="shared" si="453"/>
        <v>0.02</v>
      </c>
    </row>
    <row r="9556" spans="19:19" x14ac:dyDescent="0.25">
      <c r="S9556" s="24">
        <f t="shared" si="453"/>
        <v>0.02</v>
      </c>
    </row>
    <row r="9557" spans="19:19" x14ac:dyDescent="0.25">
      <c r="S9557" s="24">
        <f t="shared" si="453"/>
        <v>0.02</v>
      </c>
    </row>
    <row r="9558" spans="19:19" x14ac:dyDescent="0.25">
      <c r="S9558" s="24">
        <f t="shared" si="453"/>
        <v>0.02</v>
      </c>
    </row>
    <row r="9559" spans="19:19" x14ac:dyDescent="0.25">
      <c r="S9559" s="24">
        <f t="shared" si="453"/>
        <v>0.02</v>
      </c>
    </row>
    <row r="9560" spans="19:19" x14ac:dyDescent="0.25">
      <c r="S9560" s="24">
        <f t="shared" si="453"/>
        <v>0.02</v>
      </c>
    </row>
    <row r="9561" spans="19:19" x14ac:dyDescent="0.25">
      <c r="S9561" s="24">
        <f t="shared" si="453"/>
        <v>0.02</v>
      </c>
    </row>
    <row r="9562" spans="19:19" x14ac:dyDescent="0.25">
      <c r="S9562" s="24">
        <f t="shared" si="453"/>
        <v>0.02</v>
      </c>
    </row>
    <row r="9563" spans="19:19" x14ac:dyDescent="0.25">
      <c r="S9563" s="24">
        <f t="shared" si="453"/>
        <v>0.02</v>
      </c>
    </row>
    <row r="9564" spans="19:19" x14ac:dyDescent="0.25">
      <c r="S9564" s="24">
        <f t="shared" si="453"/>
        <v>0.02</v>
      </c>
    </row>
    <row r="9565" spans="19:19" x14ac:dyDescent="0.25">
      <c r="S9565" s="24">
        <f t="shared" si="453"/>
        <v>0.02</v>
      </c>
    </row>
    <row r="9566" spans="19:19" x14ac:dyDescent="0.25">
      <c r="S9566" s="24">
        <f t="shared" si="453"/>
        <v>0.02</v>
      </c>
    </row>
    <row r="9567" spans="19:19" x14ac:dyDescent="0.25">
      <c r="S9567" s="24">
        <f t="shared" si="453"/>
        <v>0.02</v>
      </c>
    </row>
    <row r="9568" spans="19:19" x14ac:dyDescent="0.25">
      <c r="S9568" s="24">
        <f t="shared" si="453"/>
        <v>0.02</v>
      </c>
    </row>
    <row r="9569" spans="19:19" x14ac:dyDescent="0.25">
      <c r="S9569" s="24">
        <f t="shared" si="453"/>
        <v>0.02</v>
      </c>
    </row>
    <row r="9570" spans="19:19" x14ac:dyDescent="0.25">
      <c r="S9570" s="24">
        <f t="shared" si="453"/>
        <v>0.02</v>
      </c>
    </row>
    <row r="9571" spans="19:19" x14ac:dyDescent="0.25">
      <c r="S9571" s="24">
        <f t="shared" si="453"/>
        <v>0.02</v>
      </c>
    </row>
    <row r="9572" spans="19:19" x14ac:dyDescent="0.25">
      <c r="S9572" s="24">
        <f t="shared" si="453"/>
        <v>0.02</v>
      </c>
    </row>
    <row r="9573" spans="19:19" x14ac:dyDescent="0.25">
      <c r="S9573" s="24">
        <f t="shared" si="453"/>
        <v>0.02</v>
      </c>
    </row>
    <row r="9574" spans="19:19" x14ac:dyDescent="0.25">
      <c r="S9574" s="24">
        <f t="shared" si="453"/>
        <v>0.02</v>
      </c>
    </row>
    <row r="9575" spans="19:19" x14ac:dyDescent="0.25">
      <c r="S9575" s="24">
        <f t="shared" si="453"/>
        <v>0.02</v>
      </c>
    </row>
    <row r="9576" spans="19:19" x14ac:dyDescent="0.25">
      <c r="S9576" s="24">
        <f t="shared" si="453"/>
        <v>0.02</v>
      </c>
    </row>
    <row r="9577" spans="19:19" x14ac:dyDescent="0.25">
      <c r="S9577" s="24">
        <f t="shared" si="453"/>
        <v>0.02</v>
      </c>
    </row>
    <row r="9578" spans="19:19" x14ac:dyDescent="0.25">
      <c r="S9578" s="24">
        <f t="shared" si="453"/>
        <v>0.02</v>
      </c>
    </row>
    <row r="9579" spans="19:19" x14ac:dyDescent="0.25">
      <c r="S9579" s="24">
        <f t="shared" si="453"/>
        <v>0.02</v>
      </c>
    </row>
    <row r="9580" spans="19:19" x14ac:dyDescent="0.25">
      <c r="S9580" s="24">
        <f t="shared" si="453"/>
        <v>0.02</v>
      </c>
    </row>
    <row r="9581" spans="19:19" x14ac:dyDescent="0.25">
      <c r="S9581" s="24">
        <f t="shared" si="453"/>
        <v>0.02</v>
      </c>
    </row>
    <row r="9582" spans="19:19" x14ac:dyDescent="0.25">
      <c r="S9582" s="24">
        <f t="shared" si="453"/>
        <v>0.02</v>
      </c>
    </row>
    <row r="9583" spans="19:19" x14ac:dyDescent="0.25">
      <c r="S9583" s="24">
        <f t="shared" si="453"/>
        <v>0.02</v>
      </c>
    </row>
    <row r="9584" spans="19:19" x14ac:dyDescent="0.25">
      <c r="S9584" s="24">
        <f t="shared" si="453"/>
        <v>0.02</v>
      </c>
    </row>
    <row r="9585" spans="19:19" x14ac:dyDescent="0.25">
      <c r="S9585" s="24">
        <f t="shared" si="453"/>
        <v>0.02</v>
      </c>
    </row>
    <row r="9586" spans="19:19" x14ac:dyDescent="0.25">
      <c r="S9586" s="24">
        <f t="shared" si="453"/>
        <v>0.02</v>
      </c>
    </row>
    <row r="9587" spans="19:19" x14ac:dyDescent="0.25">
      <c r="S9587" s="24">
        <f t="shared" si="453"/>
        <v>0.02</v>
      </c>
    </row>
    <row r="9588" spans="19:19" x14ac:dyDescent="0.25">
      <c r="S9588" s="24">
        <f t="shared" si="453"/>
        <v>0.02</v>
      </c>
    </row>
    <row r="9589" spans="19:19" x14ac:dyDescent="0.25">
      <c r="S9589" s="24">
        <f t="shared" si="453"/>
        <v>0.02</v>
      </c>
    </row>
    <row r="9590" spans="19:19" x14ac:dyDescent="0.25">
      <c r="S9590" s="24">
        <f t="shared" si="453"/>
        <v>0.02</v>
      </c>
    </row>
    <row r="9591" spans="19:19" x14ac:dyDescent="0.25">
      <c r="S9591" s="24">
        <f t="shared" si="453"/>
        <v>0.02</v>
      </c>
    </row>
    <row r="9592" spans="19:19" x14ac:dyDescent="0.25">
      <c r="S9592" s="24">
        <f t="shared" si="453"/>
        <v>0.02</v>
      </c>
    </row>
    <row r="9593" spans="19:19" x14ac:dyDescent="0.25">
      <c r="S9593" s="24">
        <f t="shared" si="453"/>
        <v>0.02</v>
      </c>
    </row>
    <row r="9594" spans="19:19" x14ac:dyDescent="0.25">
      <c r="S9594" s="24">
        <f t="shared" si="453"/>
        <v>0.02</v>
      </c>
    </row>
    <row r="9595" spans="19:19" x14ac:dyDescent="0.25">
      <c r="S9595" s="24">
        <f t="shared" si="453"/>
        <v>0.02</v>
      </c>
    </row>
    <row r="9596" spans="19:19" x14ac:dyDescent="0.25">
      <c r="S9596" s="24">
        <f t="shared" si="453"/>
        <v>0.02</v>
      </c>
    </row>
    <row r="9597" spans="19:19" x14ac:dyDescent="0.25">
      <c r="S9597" s="24">
        <f t="shared" si="453"/>
        <v>0.02</v>
      </c>
    </row>
    <row r="9598" spans="19:19" x14ac:dyDescent="0.25">
      <c r="S9598" s="24">
        <f t="shared" si="453"/>
        <v>0.02</v>
      </c>
    </row>
    <row r="9599" spans="19:19" x14ac:dyDescent="0.25">
      <c r="S9599" s="24">
        <f t="shared" si="453"/>
        <v>0.02</v>
      </c>
    </row>
    <row r="9600" spans="19:19" x14ac:dyDescent="0.25">
      <c r="S9600" s="24">
        <f t="shared" si="453"/>
        <v>0.02</v>
      </c>
    </row>
    <row r="9601" spans="19:19" x14ac:dyDescent="0.25">
      <c r="S9601" s="24">
        <f t="shared" si="453"/>
        <v>0.02</v>
      </c>
    </row>
    <row r="9602" spans="19:19" x14ac:dyDescent="0.25">
      <c r="S9602" s="24">
        <f t="shared" si="453"/>
        <v>0.02</v>
      </c>
    </row>
    <row r="9603" spans="19:19" x14ac:dyDescent="0.25">
      <c r="S9603" s="24">
        <f t="shared" si="453"/>
        <v>0.02</v>
      </c>
    </row>
    <row r="9604" spans="19:19" x14ac:dyDescent="0.25">
      <c r="S9604" s="24">
        <f t="shared" si="453"/>
        <v>0.02</v>
      </c>
    </row>
    <row r="9605" spans="19:19" x14ac:dyDescent="0.25">
      <c r="S9605" s="24">
        <f t="shared" si="453"/>
        <v>0.02</v>
      </c>
    </row>
    <row r="9606" spans="19:19" x14ac:dyDescent="0.25">
      <c r="S9606" s="24">
        <f t="shared" si="453"/>
        <v>0.02</v>
      </c>
    </row>
    <row r="9607" spans="19:19" x14ac:dyDescent="0.25">
      <c r="S9607" s="24">
        <f t="shared" si="453"/>
        <v>0.02</v>
      </c>
    </row>
    <row r="9608" spans="19:19" x14ac:dyDescent="0.25">
      <c r="S9608" s="24">
        <f t="shared" si="453"/>
        <v>0.02</v>
      </c>
    </row>
    <row r="9609" spans="19:19" x14ac:dyDescent="0.25">
      <c r="S9609" s="24">
        <f t="shared" si="453"/>
        <v>0.02</v>
      </c>
    </row>
    <row r="9610" spans="19:19" x14ac:dyDescent="0.25">
      <c r="S9610" s="24">
        <f t="shared" si="453"/>
        <v>0.02</v>
      </c>
    </row>
    <row r="9611" spans="19:19" x14ac:dyDescent="0.25">
      <c r="S9611" s="24">
        <f t="shared" ref="S9611:S9621" si="454">VLOOKUP(N9611,$T$1:$U$7,2,TRUE)</f>
        <v>0.02</v>
      </c>
    </row>
    <row r="9612" spans="19:19" x14ac:dyDescent="0.25">
      <c r="S9612" s="24">
        <f t="shared" si="454"/>
        <v>0.02</v>
      </c>
    </row>
    <row r="9613" spans="19:19" x14ac:dyDescent="0.25">
      <c r="S9613" s="24">
        <f t="shared" si="454"/>
        <v>0.02</v>
      </c>
    </row>
    <row r="9614" spans="19:19" x14ac:dyDescent="0.25">
      <c r="S9614" s="24">
        <f t="shared" si="454"/>
        <v>0.02</v>
      </c>
    </row>
    <row r="9615" spans="19:19" x14ac:dyDescent="0.25">
      <c r="S9615" s="24">
        <f t="shared" si="454"/>
        <v>0.02</v>
      </c>
    </row>
    <row r="9616" spans="19:19" x14ac:dyDescent="0.25">
      <c r="S9616" s="24">
        <f t="shared" si="454"/>
        <v>0.02</v>
      </c>
    </row>
    <row r="9617" spans="19:19" x14ac:dyDescent="0.25">
      <c r="S9617" s="24">
        <f t="shared" si="454"/>
        <v>0.02</v>
      </c>
    </row>
    <row r="9618" spans="19:19" x14ac:dyDescent="0.25">
      <c r="S9618" s="24">
        <f t="shared" si="454"/>
        <v>0.02</v>
      </c>
    </row>
    <row r="9619" spans="19:19" x14ac:dyDescent="0.25">
      <c r="S9619" s="24">
        <f t="shared" si="454"/>
        <v>0.02</v>
      </c>
    </row>
    <row r="9620" spans="19:19" x14ac:dyDescent="0.25">
      <c r="S9620" s="24">
        <f t="shared" si="454"/>
        <v>0.02</v>
      </c>
    </row>
    <row r="9621" spans="19:19" x14ac:dyDescent="0.25">
      <c r="S9621" s="24">
        <f t="shared" si="454"/>
        <v>0.02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topLeftCell="A484" workbookViewId="0">
      <selection activeCell="B9" sqref="B9"/>
    </sheetView>
  </sheetViews>
  <sheetFormatPr defaultRowHeight="15" x14ac:dyDescent="0.25"/>
  <cols>
    <col min="1" max="1" width="14.140625" bestFit="1" customWidth="1"/>
    <col min="2" max="2" width="22.140625" bestFit="1" customWidth="1"/>
    <col min="3" max="3" width="21" bestFit="1" customWidth="1"/>
    <col min="4" max="4" width="12.140625" bestFit="1" customWidth="1"/>
    <col min="5" max="5" width="24.28515625" bestFit="1" customWidth="1"/>
    <col min="6" max="6" width="25.140625" bestFit="1" customWidth="1"/>
    <col min="7" max="7" width="10.28515625" bestFit="1" customWidth="1"/>
    <col min="8" max="8" width="14.140625" bestFit="1" customWidth="1"/>
    <col min="9" max="9" width="6.7109375" bestFit="1" customWidth="1"/>
  </cols>
  <sheetData>
    <row r="1" spans="1:18" ht="14.45" x14ac:dyDescent="0.3">
      <c r="A1" s="9" t="s">
        <v>5333</v>
      </c>
      <c r="B1" s="10" t="s">
        <v>6</v>
      </c>
      <c r="C1" s="10" t="s">
        <v>7</v>
      </c>
      <c r="D1" s="10" t="s">
        <v>5334</v>
      </c>
      <c r="E1" s="10" t="s">
        <v>8</v>
      </c>
      <c r="F1" s="10" t="s">
        <v>5335</v>
      </c>
      <c r="G1" s="10" t="s">
        <v>5336</v>
      </c>
      <c r="H1" s="10" t="s">
        <v>5337</v>
      </c>
      <c r="I1" s="11" t="s">
        <v>5338</v>
      </c>
    </row>
    <row r="2" spans="1:18" ht="14.45" x14ac:dyDescent="0.3">
      <c r="A2" s="12" t="s">
        <v>525</v>
      </c>
      <c r="B2" s="13" t="s">
        <v>5339</v>
      </c>
      <c r="C2" s="13" t="s">
        <v>5340</v>
      </c>
      <c r="D2" s="13" t="s">
        <v>5341</v>
      </c>
      <c r="E2" s="13" t="s">
        <v>5342</v>
      </c>
      <c r="F2" s="13" t="s">
        <v>5343</v>
      </c>
      <c r="G2" s="13" t="s">
        <v>5344</v>
      </c>
      <c r="H2" s="13" t="s">
        <v>5345</v>
      </c>
      <c r="I2" s="14">
        <v>57</v>
      </c>
    </row>
    <row r="3" spans="1:18" ht="14.45" x14ac:dyDescent="0.3">
      <c r="A3" s="12" t="s">
        <v>884</v>
      </c>
      <c r="B3" s="13" t="s">
        <v>5339</v>
      </c>
      <c r="C3" s="13" t="s">
        <v>5346</v>
      </c>
      <c r="D3" s="13" t="s">
        <v>5341</v>
      </c>
      <c r="E3" s="13" t="s">
        <v>5347</v>
      </c>
      <c r="F3" s="13" t="s">
        <v>5348</v>
      </c>
      <c r="G3" s="13" t="s">
        <v>5344</v>
      </c>
      <c r="H3" s="13" t="s">
        <v>5345</v>
      </c>
      <c r="I3" s="14">
        <v>61</v>
      </c>
      <c r="Q3" s="15" t="s">
        <v>5349</v>
      </c>
      <c r="R3" s="15" t="s">
        <v>5339</v>
      </c>
    </row>
    <row r="4" spans="1:18" ht="14.45" x14ac:dyDescent="0.3">
      <c r="A4" s="16" t="s">
        <v>1576</v>
      </c>
      <c r="B4" s="17" t="s">
        <v>5339</v>
      </c>
      <c r="C4" s="17" t="s">
        <v>5346</v>
      </c>
      <c r="D4" s="17" t="s">
        <v>5350</v>
      </c>
      <c r="E4" s="17" t="s">
        <v>5351</v>
      </c>
      <c r="F4" s="17" t="s">
        <v>5352</v>
      </c>
      <c r="G4" s="17" t="s">
        <v>5353</v>
      </c>
      <c r="H4" s="17" t="s">
        <v>5354</v>
      </c>
      <c r="I4" s="18">
        <v>72</v>
      </c>
      <c r="Q4" t="s">
        <v>5355</v>
      </c>
      <c r="R4" t="s">
        <v>5356</v>
      </c>
    </row>
    <row r="5" spans="1:18" ht="14.45" x14ac:dyDescent="0.3">
      <c r="A5" s="12" t="s">
        <v>548</v>
      </c>
      <c r="B5" s="13" t="s">
        <v>5339</v>
      </c>
      <c r="C5" s="13" t="s">
        <v>5356</v>
      </c>
      <c r="D5" s="13" t="s">
        <v>5357</v>
      </c>
      <c r="E5" s="13" t="s">
        <v>5358</v>
      </c>
      <c r="F5" s="13" t="s">
        <v>5359</v>
      </c>
      <c r="G5" s="13" t="s">
        <v>5344</v>
      </c>
      <c r="H5" s="13" t="s">
        <v>5345</v>
      </c>
      <c r="I5" s="14">
        <v>72</v>
      </c>
      <c r="Q5" s="15" t="s">
        <v>8</v>
      </c>
      <c r="R5" t="str" cm="1">
        <f t="array" ref="R5">INDEX(E1:E501,MATCH(R3&amp;R4,B1:B501&amp;C1:C501,0))</f>
        <v>Minden</v>
      </c>
    </row>
    <row r="6" spans="1:18" ht="14.45" x14ac:dyDescent="0.3">
      <c r="A6" s="12" t="s">
        <v>139</v>
      </c>
      <c r="B6" s="13" t="s">
        <v>5360</v>
      </c>
      <c r="C6" s="13" t="s">
        <v>5361</v>
      </c>
      <c r="D6" s="13" t="s">
        <v>5341</v>
      </c>
      <c r="E6" s="13" t="s">
        <v>5362</v>
      </c>
      <c r="F6" s="13" t="s">
        <v>5363</v>
      </c>
      <c r="G6" s="13" t="s">
        <v>5353</v>
      </c>
      <c r="H6" s="13" t="s">
        <v>5354</v>
      </c>
      <c r="I6" s="14">
        <v>57</v>
      </c>
    </row>
    <row r="7" spans="1:18" ht="14.45" x14ac:dyDescent="0.3">
      <c r="A7" s="16" t="s">
        <v>114</v>
      </c>
      <c r="B7" s="17" t="s">
        <v>5360</v>
      </c>
      <c r="C7" s="17" t="s">
        <v>5361</v>
      </c>
      <c r="D7" s="17" t="s">
        <v>5341</v>
      </c>
      <c r="E7" s="17" t="s">
        <v>5364</v>
      </c>
      <c r="F7" s="17" t="s">
        <v>5365</v>
      </c>
      <c r="G7" s="17" t="s">
        <v>5366</v>
      </c>
      <c r="H7" s="17" t="s">
        <v>5367</v>
      </c>
      <c r="I7" s="18">
        <v>79</v>
      </c>
    </row>
    <row r="8" spans="1:18" ht="14.45" x14ac:dyDescent="0.3">
      <c r="A8" s="16" t="s">
        <v>64</v>
      </c>
      <c r="B8" s="17" t="s">
        <v>5360</v>
      </c>
      <c r="C8" s="17" t="s">
        <v>5361</v>
      </c>
      <c r="D8" s="17" t="s">
        <v>5357</v>
      </c>
      <c r="E8" s="17" t="s">
        <v>5368</v>
      </c>
      <c r="F8" s="17" t="s">
        <v>5369</v>
      </c>
      <c r="G8" s="17" t="s">
        <v>5370</v>
      </c>
      <c r="H8" s="17" t="s">
        <v>5371</v>
      </c>
      <c r="I8" s="18">
        <v>64</v>
      </c>
    </row>
    <row r="9" spans="1:18" ht="14.45" x14ac:dyDescent="0.3">
      <c r="A9" s="16" t="s">
        <v>564</v>
      </c>
      <c r="B9" s="17" t="s">
        <v>5372</v>
      </c>
      <c r="C9" s="17" t="s">
        <v>5373</v>
      </c>
      <c r="D9" s="17" t="s">
        <v>5341</v>
      </c>
      <c r="E9" s="17" t="s">
        <v>5374</v>
      </c>
      <c r="F9" s="17" t="s">
        <v>5375</v>
      </c>
      <c r="G9" s="17" t="s">
        <v>5344</v>
      </c>
      <c r="H9" s="17" t="s">
        <v>5345</v>
      </c>
      <c r="I9" s="18">
        <v>78</v>
      </c>
    </row>
    <row r="10" spans="1:18" ht="14.45" x14ac:dyDescent="0.3">
      <c r="A10" s="16" t="s">
        <v>654</v>
      </c>
      <c r="B10" s="17" t="s">
        <v>5372</v>
      </c>
      <c r="C10" s="17" t="s">
        <v>5373</v>
      </c>
      <c r="D10" s="17" t="s">
        <v>5357</v>
      </c>
      <c r="E10" s="17" t="s">
        <v>5376</v>
      </c>
      <c r="F10" s="17" t="s">
        <v>5377</v>
      </c>
      <c r="G10" s="17" t="s">
        <v>5366</v>
      </c>
      <c r="H10" s="17" t="s">
        <v>5367</v>
      </c>
      <c r="I10" s="18">
        <v>30</v>
      </c>
    </row>
    <row r="11" spans="1:18" ht="14.45" x14ac:dyDescent="0.3">
      <c r="A11" s="12" t="s">
        <v>1266</v>
      </c>
      <c r="B11" s="13" t="s">
        <v>5378</v>
      </c>
      <c r="C11" s="13" t="s">
        <v>5379</v>
      </c>
      <c r="D11" s="13" t="s">
        <v>5341</v>
      </c>
      <c r="E11" s="13" t="s">
        <v>5380</v>
      </c>
      <c r="F11" s="13" t="s">
        <v>5381</v>
      </c>
      <c r="G11" s="13" t="s">
        <v>5353</v>
      </c>
      <c r="H11" s="13" t="s">
        <v>5354</v>
      </c>
      <c r="I11" s="14">
        <v>57</v>
      </c>
    </row>
    <row r="12" spans="1:18" ht="14.45" x14ac:dyDescent="0.3">
      <c r="A12" s="12" t="s">
        <v>1109</v>
      </c>
      <c r="B12" s="13" t="s">
        <v>5378</v>
      </c>
      <c r="C12" s="13" t="s">
        <v>5382</v>
      </c>
      <c r="D12" s="13" t="s">
        <v>5350</v>
      </c>
      <c r="E12" s="13" t="s">
        <v>5383</v>
      </c>
      <c r="F12" s="13" t="s">
        <v>5365</v>
      </c>
      <c r="G12" s="13" t="s">
        <v>5366</v>
      </c>
      <c r="H12" s="13" t="s">
        <v>5367</v>
      </c>
      <c r="I12" s="14">
        <v>40</v>
      </c>
    </row>
    <row r="13" spans="1:18" x14ac:dyDescent="0.25">
      <c r="A13" s="12" t="s">
        <v>1800</v>
      </c>
      <c r="B13" s="13" t="s">
        <v>5384</v>
      </c>
      <c r="C13" s="13" t="s">
        <v>5385</v>
      </c>
      <c r="D13" s="13" t="s">
        <v>5357</v>
      </c>
      <c r="E13" s="13" t="s">
        <v>5386</v>
      </c>
      <c r="F13" s="13" t="s">
        <v>5387</v>
      </c>
      <c r="G13" s="13" t="s">
        <v>5344</v>
      </c>
      <c r="H13" s="13" t="s">
        <v>5345</v>
      </c>
      <c r="I13" s="14">
        <v>39</v>
      </c>
    </row>
    <row r="14" spans="1:18" ht="14.45" x14ac:dyDescent="0.3">
      <c r="A14" s="16" t="s">
        <v>205</v>
      </c>
      <c r="B14" s="17" t="s">
        <v>5384</v>
      </c>
      <c r="C14" s="17" t="s">
        <v>5388</v>
      </c>
      <c r="D14" s="17" t="s">
        <v>5357</v>
      </c>
      <c r="E14" s="17" t="s">
        <v>5389</v>
      </c>
      <c r="F14" s="17" t="s">
        <v>5390</v>
      </c>
      <c r="G14" s="17" t="s">
        <v>5353</v>
      </c>
      <c r="H14" s="17" t="s">
        <v>5354</v>
      </c>
      <c r="I14" s="18">
        <v>37</v>
      </c>
    </row>
    <row r="15" spans="1:18" ht="14.45" x14ac:dyDescent="0.3">
      <c r="A15" s="16" t="s">
        <v>153</v>
      </c>
      <c r="B15" s="17" t="s">
        <v>5391</v>
      </c>
      <c r="C15" s="17" t="s">
        <v>5392</v>
      </c>
      <c r="D15" s="17" t="s">
        <v>5357</v>
      </c>
      <c r="E15" s="17" t="s">
        <v>5393</v>
      </c>
      <c r="F15" s="17" t="s">
        <v>5394</v>
      </c>
      <c r="G15" s="17" t="s">
        <v>5366</v>
      </c>
      <c r="H15" s="17" t="s">
        <v>5367</v>
      </c>
      <c r="I15" s="18">
        <v>60</v>
      </c>
    </row>
    <row r="16" spans="1:18" ht="14.45" x14ac:dyDescent="0.3">
      <c r="A16" s="16" t="s">
        <v>345</v>
      </c>
      <c r="B16" s="17" t="s">
        <v>5391</v>
      </c>
      <c r="C16" s="17" t="s">
        <v>5395</v>
      </c>
      <c r="D16" s="17" t="s">
        <v>5357</v>
      </c>
      <c r="E16" s="17" t="s">
        <v>5396</v>
      </c>
      <c r="F16" s="17" t="s">
        <v>5397</v>
      </c>
      <c r="G16" s="17" t="s">
        <v>5398</v>
      </c>
      <c r="H16" s="17" t="s">
        <v>5399</v>
      </c>
      <c r="I16" s="18">
        <v>67</v>
      </c>
    </row>
    <row r="17" spans="1:9" ht="14.45" x14ac:dyDescent="0.3">
      <c r="A17" s="16" t="s">
        <v>207</v>
      </c>
      <c r="B17" s="17" t="s">
        <v>5391</v>
      </c>
      <c r="C17" s="17" t="s">
        <v>5395</v>
      </c>
      <c r="D17" s="17" t="s">
        <v>5357</v>
      </c>
      <c r="E17" s="17" t="s">
        <v>5400</v>
      </c>
      <c r="F17" s="17" t="s">
        <v>5400</v>
      </c>
      <c r="G17" s="17" t="s">
        <v>5344</v>
      </c>
      <c r="H17" s="17" t="s">
        <v>5345</v>
      </c>
      <c r="I17" s="18">
        <v>42</v>
      </c>
    </row>
    <row r="18" spans="1:9" ht="14.45" x14ac:dyDescent="0.3">
      <c r="A18" s="16" t="s">
        <v>279</v>
      </c>
      <c r="B18" s="17" t="s">
        <v>5391</v>
      </c>
      <c r="C18" s="17" t="s">
        <v>5395</v>
      </c>
      <c r="D18" s="17" t="s">
        <v>5341</v>
      </c>
      <c r="E18" s="17" t="s">
        <v>5401</v>
      </c>
      <c r="F18" s="17" t="s">
        <v>5352</v>
      </c>
      <c r="G18" s="17" t="s">
        <v>5353</v>
      </c>
      <c r="H18" s="17" t="s">
        <v>5354</v>
      </c>
      <c r="I18" s="18">
        <v>66</v>
      </c>
    </row>
    <row r="19" spans="1:9" ht="14.45" x14ac:dyDescent="0.3">
      <c r="A19" s="16" t="s">
        <v>1251</v>
      </c>
      <c r="B19" s="17" t="s">
        <v>5402</v>
      </c>
      <c r="C19" s="17" t="s">
        <v>5403</v>
      </c>
      <c r="D19" s="17" t="s">
        <v>5357</v>
      </c>
      <c r="E19" s="17" t="s">
        <v>5400</v>
      </c>
      <c r="F19" s="17" t="s">
        <v>5400</v>
      </c>
      <c r="G19" s="17" t="s">
        <v>5344</v>
      </c>
      <c r="H19" s="17" t="s">
        <v>5345</v>
      </c>
      <c r="I19" s="18">
        <v>30</v>
      </c>
    </row>
    <row r="20" spans="1:9" ht="14.45" x14ac:dyDescent="0.3">
      <c r="A20" s="12" t="s">
        <v>454</v>
      </c>
      <c r="B20" s="13" t="s">
        <v>5404</v>
      </c>
      <c r="C20" s="13" t="s">
        <v>5405</v>
      </c>
      <c r="D20" s="13" t="s">
        <v>5357</v>
      </c>
      <c r="E20" s="13" t="s">
        <v>5406</v>
      </c>
      <c r="F20" s="13" t="s">
        <v>5407</v>
      </c>
      <c r="G20" s="13" t="s">
        <v>5366</v>
      </c>
      <c r="H20" s="13" t="s">
        <v>5367</v>
      </c>
      <c r="I20" s="14">
        <v>74</v>
      </c>
    </row>
    <row r="21" spans="1:9" ht="14.45" x14ac:dyDescent="0.3">
      <c r="A21" s="12" t="s">
        <v>427</v>
      </c>
      <c r="B21" s="13" t="s">
        <v>5404</v>
      </c>
      <c r="C21" s="13" t="s">
        <v>5408</v>
      </c>
      <c r="D21" s="13" t="s">
        <v>5357</v>
      </c>
      <c r="E21" s="13" t="s">
        <v>5409</v>
      </c>
      <c r="F21" s="13" t="s">
        <v>5407</v>
      </c>
      <c r="G21" s="13" t="s">
        <v>5366</v>
      </c>
      <c r="H21" s="13" t="s">
        <v>5367</v>
      </c>
      <c r="I21" s="14">
        <v>43</v>
      </c>
    </row>
    <row r="22" spans="1:9" ht="14.45" x14ac:dyDescent="0.3">
      <c r="A22" s="12" t="s">
        <v>1558</v>
      </c>
      <c r="B22" s="13" t="s">
        <v>5410</v>
      </c>
      <c r="C22" s="13" t="s">
        <v>5411</v>
      </c>
      <c r="D22" s="13" t="s">
        <v>5350</v>
      </c>
      <c r="E22" s="13" t="s">
        <v>5412</v>
      </c>
      <c r="F22" s="13" t="s">
        <v>5365</v>
      </c>
      <c r="G22" s="13" t="s">
        <v>5366</v>
      </c>
      <c r="H22" s="13" t="s">
        <v>5367</v>
      </c>
      <c r="I22" s="14">
        <v>61</v>
      </c>
    </row>
    <row r="23" spans="1:9" ht="14.45" x14ac:dyDescent="0.3">
      <c r="A23" s="16" t="s">
        <v>287</v>
      </c>
      <c r="B23" s="17" t="s">
        <v>5413</v>
      </c>
      <c r="C23" s="17" t="s">
        <v>5414</v>
      </c>
      <c r="D23" s="17" t="s">
        <v>5357</v>
      </c>
      <c r="E23" s="17" t="s">
        <v>5415</v>
      </c>
      <c r="F23" s="17" t="s">
        <v>5415</v>
      </c>
      <c r="G23" s="17" t="s">
        <v>5344</v>
      </c>
      <c r="H23" s="17" t="s">
        <v>5345</v>
      </c>
      <c r="I23" s="18">
        <v>56</v>
      </c>
    </row>
    <row r="24" spans="1:9" x14ac:dyDescent="0.25">
      <c r="A24" s="12" t="s">
        <v>2359</v>
      </c>
      <c r="B24" s="13" t="s">
        <v>5416</v>
      </c>
      <c r="C24" s="13" t="s">
        <v>5417</v>
      </c>
      <c r="D24" s="13" t="s">
        <v>5350</v>
      </c>
      <c r="E24" s="13" t="s">
        <v>5418</v>
      </c>
      <c r="F24" s="13" t="s">
        <v>5419</v>
      </c>
      <c r="G24" s="13" t="s">
        <v>5370</v>
      </c>
      <c r="H24" s="13" t="s">
        <v>5371</v>
      </c>
      <c r="I24" s="14">
        <v>32</v>
      </c>
    </row>
    <row r="25" spans="1:9" x14ac:dyDescent="0.25">
      <c r="A25" s="12" t="s">
        <v>708</v>
      </c>
      <c r="B25" s="13" t="s">
        <v>5420</v>
      </c>
      <c r="C25" s="13" t="s">
        <v>5421</v>
      </c>
      <c r="D25" s="13" t="s">
        <v>5357</v>
      </c>
      <c r="E25" s="13" t="s">
        <v>5422</v>
      </c>
      <c r="F25" s="13" t="s">
        <v>5423</v>
      </c>
      <c r="G25" s="13" t="s">
        <v>5398</v>
      </c>
      <c r="H25" s="13" t="s">
        <v>5399</v>
      </c>
      <c r="I25" s="14">
        <v>41</v>
      </c>
    </row>
    <row r="26" spans="1:9" x14ac:dyDescent="0.25">
      <c r="A26" s="12" t="s">
        <v>1584</v>
      </c>
      <c r="B26" s="13" t="s">
        <v>5420</v>
      </c>
      <c r="C26" s="13" t="s">
        <v>5421</v>
      </c>
      <c r="D26" s="13" t="s">
        <v>5357</v>
      </c>
      <c r="E26" s="13" t="s">
        <v>5400</v>
      </c>
      <c r="F26" s="13" t="s">
        <v>5400</v>
      </c>
      <c r="G26" s="13" t="s">
        <v>5344</v>
      </c>
      <c r="H26" s="13" t="s">
        <v>5345</v>
      </c>
      <c r="I26" s="14">
        <v>29</v>
      </c>
    </row>
    <row r="27" spans="1:9" x14ac:dyDescent="0.25">
      <c r="A27" s="16" t="s">
        <v>256</v>
      </c>
      <c r="B27" s="17" t="s">
        <v>5424</v>
      </c>
      <c r="C27" s="17" t="s">
        <v>5425</v>
      </c>
      <c r="D27" s="17" t="s">
        <v>5341</v>
      </c>
      <c r="E27" s="17" t="s">
        <v>5426</v>
      </c>
      <c r="F27" s="17" t="s">
        <v>5352</v>
      </c>
      <c r="G27" s="17" t="s">
        <v>5353</v>
      </c>
      <c r="H27" s="17" t="s">
        <v>5354</v>
      </c>
      <c r="I27" s="18">
        <v>62</v>
      </c>
    </row>
    <row r="28" spans="1:9" x14ac:dyDescent="0.25">
      <c r="A28" s="12" t="s">
        <v>462</v>
      </c>
      <c r="B28" s="13" t="s">
        <v>5427</v>
      </c>
      <c r="C28" s="13" t="s">
        <v>5428</v>
      </c>
      <c r="D28" s="13" t="s">
        <v>5357</v>
      </c>
      <c r="E28" s="13" t="s">
        <v>5429</v>
      </c>
      <c r="F28" s="13" t="s">
        <v>5430</v>
      </c>
      <c r="G28" s="13" t="s">
        <v>5398</v>
      </c>
      <c r="H28" s="13" t="s">
        <v>5399</v>
      </c>
      <c r="I28" s="14">
        <v>26</v>
      </c>
    </row>
    <row r="29" spans="1:9" x14ac:dyDescent="0.25">
      <c r="A29" s="12" t="s">
        <v>633</v>
      </c>
      <c r="B29" s="13" t="s">
        <v>5427</v>
      </c>
      <c r="C29" s="13" t="s">
        <v>5428</v>
      </c>
      <c r="D29" s="13" t="s">
        <v>5357</v>
      </c>
      <c r="E29" s="13" t="s">
        <v>5431</v>
      </c>
      <c r="F29" s="13" t="s">
        <v>5431</v>
      </c>
      <c r="G29" s="13" t="s">
        <v>5370</v>
      </c>
      <c r="H29" s="13" t="s">
        <v>5371</v>
      </c>
      <c r="I29" s="14">
        <v>65</v>
      </c>
    </row>
    <row r="30" spans="1:9" x14ac:dyDescent="0.25">
      <c r="A30" s="16" t="s">
        <v>144</v>
      </c>
      <c r="B30" s="17" t="s">
        <v>5432</v>
      </c>
      <c r="C30" s="17" t="s">
        <v>5433</v>
      </c>
      <c r="D30" s="17" t="s">
        <v>5357</v>
      </c>
      <c r="E30" s="17" t="s">
        <v>5426</v>
      </c>
      <c r="F30" s="17" t="s">
        <v>5352</v>
      </c>
      <c r="G30" s="17" t="s">
        <v>5353</v>
      </c>
      <c r="H30" s="17" t="s">
        <v>5354</v>
      </c>
      <c r="I30" s="18">
        <v>51</v>
      </c>
    </row>
    <row r="31" spans="1:9" x14ac:dyDescent="0.25">
      <c r="A31" s="12" t="s">
        <v>934</v>
      </c>
      <c r="B31" s="13" t="s">
        <v>5432</v>
      </c>
      <c r="C31" s="13" t="s">
        <v>5434</v>
      </c>
      <c r="D31" s="13" t="s">
        <v>5357</v>
      </c>
      <c r="E31" s="13" t="s">
        <v>5435</v>
      </c>
      <c r="F31" s="13" t="s">
        <v>5436</v>
      </c>
      <c r="G31" s="13" t="s">
        <v>5353</v>
      </c>
      <c r="H31" s="13" t="s">
        <v>5354</v>
      </c>
      <c r="I31" s="14">
        <v>26</v>
      </c>
    </row>
    <row r="32" spans="1:9" x14ac:dyDescent="0.25">
      <c r="A32" s="12" t="s">
        <v>233</v>
      </c>
      <c r="B32" s="13" t="s">
        <v>5437</v>
      </c>
      <c r="C32" s="13" t="s">
        <v>5438</v>
      </c>
      <c r="D32" s="13" t="s">
        <v>5341</v>
      </c>
      <c r="E32" s="13" t="s">
        <v>5418</v>
      </c>
      <c r="F32" s="13" t="s">
        <v>5419</v>
      </c>
      <c r="G32" s="13" t="s">
        <v>5370</v>
      </c>
      <c r="H32" s="13" t="s">
        <v>5371</v>
      </c>
      <c r="I32" s="14">
        <v>58</v>
      </c>
    </row>
    <row r="33" spans="1:9" x14ac:dyDescent="0.25">
      <c r="A33" s="16" t="s">
        <v>450</v>
      </c>
      <c r="B33" s="17" t="s">
        <v>5437</v>
      </c>
      <c r="C33" s="17" t="s">
        <v>5439</v>
      </c>
      <c r="D33" s="17" t="s">
        <v>5341</v>
      </c>
      <c r="E33" s="17" t="s">
        <v>5400</v>
      </c>
      <c r="F33" s="17" t="s">
        <v>5400</v>
      </c>
      <c r="G33" s="17" t="s">
        <v>5344</v>
      </c>
      <c r="H33" s="17" t="s">
        <v>5345</v>
      </c>
      <c r="I33" s="18">
        <v>33</v>
      </c>
    </row>
    <row r="34" spans="1:9" x14ac:dyDescent="0.25">
      <c r="A34" s="12" t="s">
        <v>670</v>
      </c>
      <c r="B34" s="13" t="s">
        <v>5437</v>
      </c>
      <c r="C34" s="13" t="s">
        <v>5440</v>
      </c>
      <c r="D34" s="13" t="s">
        <v>5341</v>
      </c>
      <c r="E34" s="13" t="s">
        <v>5441</v>
      </c>
      <c r="F34" s="13" t="s">
        <v>5441</v>
      </c>
      <c r="G34" s="13" t="s">
        <v>5398</v>
      </c>
      <c r="H34" s="13" t="s">
        <v>5399</v>
      </c>
      <c r="I34" s="14">
        <v>44</v>
      </c>
    </row>
    <row r="35" spans="1:9" x14ac:dyDescent="0.25">
      <c r="A35" s="16" t="s">
        <v>943</v>
      </c>
      <c r="B35" s="17" t="s">
        <v>5437</v>
      </c>
      <c r="C35" s="17" t="s">
        <v>5439</v>
      </c>
      <c r="D35" s="17" t="s">
        <v>5357</v>
      </c>
      <c r="E35" s="17" t="s">
        <v>5442</v>
      </c>
      <c r="F35" s="17" t="s">
        <v>5363</v>
      </c>
      <c r="G35" s="17" t="s">
        <v>5353</v>
      </c>
      <c r="H35" s="17" t="s">
        <v>5354</v>
      </c>
      <c r="I35" s="18">
        <v>73</v>
      </c>
    </row>
    <row r="36" spans="1:9" x14ac:dyDescent="0.25">
      <c r="A36" s="16" t="s">
        <v>1117</v>
      </c>
      <c r="B36" s="17" t="s">
        <v>5443</v>
      </c>
      <c r="C36" s="17" t="s">
        <v>5444</v>
      </c>
      <c r="D36" s="17" t="s">
        <v>5357</v>
      </c>
      <c r="E36" s="17" t="s">
        <v>5445</v>
      </c>
      <c r="F36" s="17" t="s">
        <v>5446</v>
      </c>
      <c r="G36" s="17" t="s">
        <v>5353</v>
      </c>
      <c r="H36" s="17" t="s">
        <v>5354</v>
      </c>
      <c r="I36" s="18">
        <v>73</v>
      </c>
    </row>
    <row r="37" spans="1:9" x14ac:dyDescent="0.25">
      <c r="A37" s="16" t="s">
        <v>1745</v>
      </c>
      <c r="B37" s="17" t="s">
        <v>5447</v>
      </c>
      <c r="C37" s="17" t="s">
        <v>5448</v>
      </c>
      <c r="D37" s="17" t="s">
        <v>5357</v>
      </c>
      <c r="E37" s="17" t="s">
        <v>5358</v>
      </c>
      <c r="F37" s="17" t="s">
        <v>5359</v>
      </c>
      <c r="G37" s="17" t="s">
        <v>5344</v>
      </c>
      <c r="H37" s="17" t="s">
        <v>5345</v>
      </c>
      <c r="I37" s="18">
        <v>58</v>
      </c>
    </row>
    <row r="38" spans="1:9" x14ac:dyDescent="0.25">
      <c r="A38" s="12" t="s">
        <v>550</v>
      </c>
      <c r="B38" s="13" t="s">
        <v>5449</v>
      </c>
      <c r="C38" s="13" t="s">
        <v>5450</v>
      </c>
      <c r="D38" s="13" t="s">
        <v>5357</v>
      </c>
      <c r="E38" s="13" t="s">
        <v>5451</v>
      </c>
      <c r="F38" s="13" t="s">
        <v>5436</v>
      </c>
      <c r="G38" s="13" t="s">
        <v>5353</v>
      </c>
      <c r="H38" s="13" t="s">
        <v>5354</v>
      </c>
      <c r="I38" s="14">
        <v>42</v>
      </c>
    </row>
    <row r="39" spans="1:9" x14ac:dyDescent="0.25">
      <c r="A39" s="16" t="s">
        <v>349</v>
      </c>
      <c r="B39" s="17" t="s">
        <v>5449</v>
      </c>
      <c r="C39" s="17" t="s">
        <v>5452</v>
      </c>
      <c r="D39" s="17" t="s">
        <v>5341</v>
      </c>
      <c r="E39" s="17" t="s">
        <v>5453</v>
      </c>
      <c r="F39" s="17" t="s">
        <v>5454</v>
      </c>
      <c r="G39" s="17" t="s">
        <v>5353</v>
      </c>
      <c r="H39" s="17" t="s">
        <v>5354</v>
      </c>
      <c r="I39" s="18">
        <v>64</v>
      </c>
    </row>
    <row r="40" spans="1:9" x14ac:dyDescent="0.25">
      <c r="A40" s="12" t="s">
        <v>771</v>
      </c>
      <c r="B40" s="13" t="s">
        <v>5449</v>
      </c>
      <c r="C40" s="13" t="s">
        <v>5452</v>
      </c>
      <c r="D40" s="13" t="s">
        <v>5357</v>
      </c>
      <c r="E40" s="13" t="s">
        <v>5380</v>
      </c>
      <c r="F40" s="13" t="s">
        <v>5381</v>
      </c>
      <c r="G40" s="13" t="s">
        <v>5353</v>
      </c>
      <c r="H40" s="13" t="s">
        <v>5354</v>
      </c>
      <c r="I40" s="14">
        <v>74</v>
      </c>
    </row>
    <row r="41" spans="1:9" x14ac:dyDescent="0.25">
      <c r="A41" s="16" t="s">
        <v>391</v>
      </c>
      <c r="B41" s="17" t="s">
        <v>5449</v>
      </c>
      <c r="C41" s="17" t="s">
        <v>5450</v>
      </c>
      <c r="D41" s="17" t="s">
        <v>5357</v>
      </c>
      <c r="E41" s="17" t="s">
        <v>5455</v>
      </c>
      <c r="F41" s="17" t="s">
        <v>5436</v>
      </c>
      <c r="G41" s="17" t="s">
        <v>5353</v>
      </c>
      <c r="H41" s="17" t="s">
        <v>5354</v>
      </c>
      <c r="I41" s="18">
        <v>68</v>
      </c>
    </row>
    <row r="42" spans="1:9" x14ac:dyDescent="0.25">
      <c r="A42" s="12" t="s">
        <v>494</v>
      </c>
      <c r="B42" s="13" t="s">
        <v>5456</v>
      </c>
      <c r="C42" s="13" t="s">
        <v>5457</v>
      </c>
      <c r="D42" s="13" t="s">
        <v>5357</v>
      </c>
      <c r="E42" s="13" t="s">
        <v>5458</v>
      </c>
      <c r="F42" s="13" t="s">
        <v>5454</v>
      </c>
      <c r="G42" s="13" t="s">
        <v>5353</v>
      </c>
      <c r="H42" s="13" t="s">
        <v>5354</v>
      </c>
      <c r="I42" s="14">
        <v>42</v>
      </c>
    </row>
    <row r="43" spans="1:9" x14ac:dyDescent="0.25">
      <c r="A43" s="16" t="s">
        <v>1683</v>
      </c>
      <c r="B43" s="17" t="s">
        <v>5459</v>
      </c>
      <c r="C43" s="17" t="s">
        <v>5460</v>
      </c>
      <c r="D43" s="17" t="s">
        <v>5341</v>
      </c>
      <c r="E43" s="17" t="s">
        <v>5400</v>
      </c>
      <c r="F43" s="17" t="s">
        <v>5400</v>
      </c>
      <c r="G43" s="17" t="s">
        <v>5344</v>
      </c>
      <c r="H43" s="17" t="s">
        <v>5345</v>
      </c>
      <c r="I43" s="18">
        <v>42</v>
      </c>
    </row>
    <row r="44" spans="1:9" x14ac:dyDescent="0.25">
      <c r="A44" s="12" t="s">
        <v>379</v>
      </c>
      <c r="B44" s="13" t="s">
        <v>5459</v>
      </c>
      <c r="C44" s="13" t="s">
        <v>5461</v>
      </c>
      <c r="D44" s="13" t="s">
        <v>5341</v>
      </c>
      <c r="E44" s="13" t="s">
        <v>5462</v>
      </c>
      <c r="F44" s="13" t="s">
        <v>5363</v>
      </c>
      <c r="G44" s="13" t="s">
        <v>5353</v>
      </c>
      <c r="H44" s="13" t="s">
        <v>5354</v>
      </c>
      <c r="I44" s="14">
        <v>46</v>
      </c>
    </row>
    <row r="45" spans="1:9" x14ac:dyDescent="0.25">
      <c r="A45" s="12" t="s">
        <v>146</v>
      </c>
      <c r="B45" s="13" t="s">
        <v>5459</v>
      </c>
      <c r="C45" s="13" t="s">
        <v>5461</v>
      </c>
      <c r="D45" s="13" t="s">
        <v>5357</v>
      </c>
      <c r="E45" s="13" t="s">
        <v>5463</v>
      </c>
      <c r="F45" s="13" t="s">
        <v>5454</v>
      </c>
      <c r="G45" s="13" t="s">
        <v>5353</v>
      </c>
      <c r="H45" s="13" t="s">
        <v>5354</v>
      </c>
      <c r="I45" s="14">
        <v>68</v>
      </c>
    </row>
    <row r="46" spans="1:9" x14ac:dyDescent="0.25">
      <c r="A46" s="16" t="s">
        <v>716</v>
      </c>
      <c r="B46" s="17" t="s">
        <v>5464</v>
      </c>
      <c r="C46" s="17" t="s">
        <v>5465</v>
      </c>
      <c r="D46" s="17" t="s">
        <v>5357</v>
      </c>
      <c r="E46" s="17" t="s">
        <v>5466</v>
      </c>
      <c r="F46" s="17" t="s">
        <v>5359</v>
      </c>
      <c r="G46" s="17" t="s">
        <v>5344</v>
      </c>
      <c r="H46" s="17" t="s">
        <v>5345</v>
      </c>
      <c r="I46" s="18">
        <v>48</v>
      </c>
    </row>
    <row r="47" spans="1:9" x14ac:dyDescent="0.25">
      <c r="A47" s="12" t="s">
        <v>363</v>
      </c>
      <c r="B47" s="13" t="s">
        <v>5464</v>
      </c>
      <c r="C47" s="13" t="s">
        <v>5467</v>
      </c>
      <c r="D47" s="13" t="s">
        <v>5350</v>
      </c>
      <c r="E47" s="13" t="s">
        <v>5468</v>
      </c>
      <c r="F47" s="13" t="s">
        <v>5468</v>
      </c>
      <c r="G47" s="13" t="s">
        <v>5366</v>
      </c>
      <c r="H47" s="13" t="s">
        <v>5367</v>
      </c>
      <c r="I47" s="14">
        <v>55</v>
      </c>
    </row>
    <row r="48" spans="1:9" x14ac:dyDescent="0.25">
      <c r="A48" s="12" t="s">
        <v>448</v>
      </c>
      <c r="B48" s="13" t="s">
        <v>5469</v>
      </c>
      <c r="C48" s="13" t="s">
        <v>5470</v>
      </c>
      <c r="D48" s="13" t="s">
        <v>5341</v>
      </c>
      <c r="E48" s="13" t="s">
        <v>5471</v>
      </c>
      <c r="F48" s="13" t="s">
        <v>5352</v>
      </c>
      <c r="G48" s="13" t="s">
        <v>5353</v>
      </c>
      <c r="H48" s="13" t="s">
        <v>5354</v>
      </c>
      <c r="I48" s="14">
        <v>75</v>
      </c>
    </row>
    <row r="49" spans="1:9" x14ac:dyDescent="0.25">
      <c r="A49" s="16" t="s">
        <v>330</v>
      </c>
      <c r="B49" s="17" t="s">
        <v>5469</v>
      </c>
      <c r="C49" s="17" t="s">
        <v>5470</v>
      </c>
      <c r="D49" s="17" t="s">
        <v>5350</v>
      </c>
      <c r="E49" s="17" t="s">
        <v>5472</v>
      </c>
      <c r="F49" s="17" t="s">
        <v>5352</v>
      </c>
      <c r="G49" s="17" t="s">
        <v>5353</v>
      </c>
      <c r="H49" s="17" t="s">
        <v>5354</v>
      </c>
      <c r="I49" s="18">
        <v>45</v>
      </c>
    </row>
    <row r="50" spans="1:9" x14ac:dyDescent="0.25">
      <c r="A50" s="16" t="s">
        <v>254</v>
      </c>
      <c r="B50" s="17" t="s">
        <v>5473</v>
      </c>
      <c r="C50" s="17" t="s">
        <v>5474</v>
      </c>
      <c r="D50" s="17" t="s">
        <v>5341</v>
      </c>
      <c r="E50" s="17" t="s">
        <v>5475</v>
      </c>
      <c r="F50" s="17" t="s">
        <v>5476</v>
      </c>
      <c r="G50" s="17" t="s">
        <v>5344</v>
      </c>
      <c r="H50" s="17" t="s">
        <v>5345</v>
      </c>
      <c r="I50" s="18">
        <v>31</v>
      </c>
    </row>
    <row r="51" spans="1:9" x14ac:dyDescent="0.25">
      <c r="A51" s="16" t="s">
        <v>73</v>
      </c>
      <c r="B51" s="17" t="s">
        <v>5477</v>
      </c>
      <c r="C51" s="17" t="s">
        <v>5478</v>
      </c>
      <c r="D51" s="17" t="s">
        <v>5357</v>
      </c>
      <c r="E51" s="17" t="s">
        <v>5479</v>
      </c>
      <c r="F51" s="17" t="s">
        <v>5480</v>
      </c>
      <c r="G51" s="17" t="s">
        <v>5366</v>
      </c>
      <c r="H51" s="17" t="s">
        <v>5367</v>
      </c>
      <c r="I51" s="18">
        <v>58</v>
      </c>
    </row>
    <row r="52" spans="1:9" x14ac:dyDescent="0.25">
      <c r="A52" s="12" t="s">
        <v>318</v>
      </c>
      <c r="B52" s="13" t="s">
        <v>5477</v>
      </c>
      <c r="C52" s="13" t="s">
        <v>5481</v>
      </c>
      <c r="D52" s="13" t="s">
        <v>5341</v>
      </c>
      <c r="E52" s="13" t="s">
        <v>5401</v>
      </c>
      <c r="F52" s="13" t="s">
        <v>5352</v>
      </c>
      <c r="G52" s="13" t="s">
        <v>5353</v>
      </c>
      <c r="H52" s="13" t="s">
        <v>5354</v>
      </c>
      <c r="I52" s="14">
        <v>71</v>
      </c>
    </row>
    <row r="53" spans="1:9" x14ac:dyDescent="0.25">
      <c r="A53" s="12" t="s">
        <v>311</v>
      </c>
      <c r="B53" s="13" t="s">
        <v>5477</v>
      </c>
      <c r="C53" s="13" t="s">
        <v>5379</v>
      </c>
      <c r="D53" s="13" t="s">
        <v>5350</v>
      </c>
      <c r="E53" s="13" t="s">
        <v>5482</v>
      </c>
      <c r="F53" s="13" t="s">
        <v>5483</v>
      </c>
      <c r="G53" s="13" t="s">
        <v>5366</v>
      </c>
      <c r="H53" s="13" t="s">
        <v>5367</v>
      </c>
      <c r="I53" s="14">
        <v>59</v>
      </c>
    </row>
    <row r="54" spans="1:9" x14ac:dyDescent="0.25">
      <c r="A54" s="16" t="s">
        <v>1059</v>
      </c>
      <c r="B54" s="17" t="s">
        <v>5477</v>
      </c>
      <c r="C54" s="17" t="s">
        <v>5484</v>
      </c>
      <c r="D54" s="17" t="s">
        <v>5341</v>
      </c>
      <c r="E54" s="17" t="s">
        <v>5485</v>
      </c>
      <c r="F54" s="17" t="s">
        <v>5486</v>
      </c>
      <c r="G54" s="17" t="s">
        <v>5398</v>
      </c>
      <c r="H54" s="17" t="s">
        <v>5399</v>
      </c>
      <c r="I54" s="18">
        <v>39</v>
      </c>
    </row>
    <row r="55" spans="1:9" x14ac:dyDescent="0.25">
      <c r="A55" s="16" t="s">
        <v>666</v>
      </c>
      <c r="B55" s="17" t="s">
        <v>5487</v>
      </c>
      <c r="C55" s="17" t="s">
        <v>5488</v>
      </c>
      <c r="D55" s="17" t="s">
        <v>5341</v>
      </c>
      <c r="E55" s="17" t="s">
        <v>5489</v>
      </c>
      <c r="F55" s="17" t="s">
        <v>5390</v>
      </c>
      <c r="G55" s="17" t="s">
        <v>5353</v>
      </c>
      <c r="H55" s="17" t="s">
        <v>5354</v>
      </c>
      <c r="I55" s="18">
        <v>26</v>
      </c>
    </row>
    <row r="56" spans="1:9" x14ac:dyDescent="0.25">
      <c r="A56" s="12" t="s">
        <v>617</v>
      </c>
      <c r="B56" s="13" t="s">
        <v>5490</v>
      </c>
      <c r="C56" s="13" t="s">
        <v>5491</v>
      </c>
      <c r="D56" s="13" t="s">
        <v>5357</v>
      </c>
      <c r="E56" s="13" t="s">
        <v>5492</v>
      </c>
      <c r="F56" s="13" t="s">
        <v>5493</v>
      </c>
      <c r="G56" s="13" t="s">
        <v>5398</v>
      </c>
      <c r="H56" s="13" t="s">
        <v>5399</v>
      </c>
      <c r="I56" s="14">
        <v>30</v>
      </c>
    </row>
    <row r="57" spans="1:9" x14ac:dyDescent="0.25">
      <c r="A57" s="16" t="s">
        <v>1274</v>
      </c>
      <c r="B57" s="17" t="s">
        <v>5490</v>
      </c>
      <c r="C57" s="17" t="s">
        <v>5494</v>
      </c>
      <c r="D57" s="17" t="s">
        <v>5357</v>
      </c>
      <c r="E57" s="17" t="s">
        <v>5495</v>
      </c>
      <c r="F57" s="17" t="s">
        <v>5359</v>
      </c>
      <c r="G57" s="17" t="s">
        <v>5344</v>
      </c>
      <c r="H57" s="17" t="s">
        <v>5345</v>
      </c>
      <c r="I57" s="18">
        <v>78</v>
      </c>
    </row>
    <row r="58" spans="1:9" x14ac:dyDescent="0.25">
      <c r="A58" s="12" t="s">
        <v>854</v>
      </c>
      <c r="B58" s="13" t="s">
        <v>5490</v>
      </c>
      <c r="C58" s="13" t="s">
        <v>5491</v>
      </c>
      <c r="D58" s="13" t="s">
        <v>5350</v>
      </c>
      <c r="E58" s="13" t="s">
        <v>5496</v>
      </c>
      <c r="F58" s="13" t="s">
        <v>5359</v>
      </c>
      <c r="G58" s="13" t="s">
        <v>5344</v>
      </c>
      <c r="H58" s="13" t="s">
        <v>5345</v>
      </c>
      <c r="I58" s="14">
        <v>37</v>
      </c>
    </row>
    <row r="59" spans="1:9" x14ac:dyDescent="0.25">
      <c r="A59" s="12" t="s">
        <v>1276</v>
      </c>
      <c r="B59" s="13" t="s">
        <v>5490</v>
      </c>
      <c r="C59" s="13" t="s">
        <v>5494</v>
      </c>
      <c r="D59" s="13" t="s">
        <v>5341</v>
      </c>
      <c r="E59" s="13" t="s">
        <v>5497</v>
      </c>
      <c r="F59" s="13" t="s">
        <v>5498</v>
      </c>
      <c r="G59" s="13" t="s">
        <v>5370</v>
      </c>
      <c r="H59" s="13" t="s">
        <v>5371</v>
      </c>
      <c r="I59" s="14">
        <v>32</v>
      </c>
    </row>
    <row r="60" spans="1:9" x14ac:dyDescent="0.25">
      <c r="A60" s="12" t="s">
        <v>5499</v>
      </c>
      <c r="B60" s="13" t="s">
        <v>5500</v>
      </c>
      <c r="C60" s="13" t="s">
        <v>5501</v>
      </c>
      <c r="D60" s="13" t="s">
        <v>5341</v>
      </c>
      <c r="E60" s="13" t="s">
        <v>5426</v>
      </c>
      <c r="F60" s="13" t="s">
        <v>5352</v>
      </c>
      <c r="G60" s="13" t="s">
        <v>5353</v>
      </c>
      <c r="H60" s="13" t="s">
        <v>5354</v>
      </c>
      <c r="I60" s="14">
        <v>80</v>
      </c>
    </row>
    <row r="61" spans="1:9" x14ac:dyDescent="0.25">
      <c r="A61" s="12" t="s">
        <v>1322</v>
      </c>
      <c r="B61" s="13" t="s">
        <v>5500</v>
      </c>
      <c r="C61" s="13" t="s">
        <v>5502</v>
      </c>
      <c r="D61" s="13" t="s">
        <v>5341</v>
      </c>
      <c r="E61" s="13" t="s">
        <v>5503</v>
      </c>
      <c r="F61" s="13" t="s">
        <v>5407</v>
      </c>
      <c r="G61" s="13" t="s">
        <v>5366</v>
      </c>
      <c r="H61" s="13" t="s">
        <v>5367</v>
      </c>
      <c r="I61" s="14">
        <v>36</v>
      </c>
    </row>
    <row r="62" spans="1:9" x14ac:dyDescent="0.25">
      <c r="A62" s="16" t="s">
        <v>213</v>
      </c>
      <c r="B62" s="17" t="s">
        <v>5504</v>
      </c>
      <c r="C62" s="17" t="s">
        <v>5505</v>
      </c>
      <c r="D62" s="17" t="s">
        <v>5357</v>
      </c>
      <c r="E62" s="17" t="s">
        <v>5442</v>
      </c>
      <c r="F62" s="17" t="s">
        <v>5363</v>
      </c>
      <c r="G62" s="17" t="s">
        <v>5353</v>
      </c>
      <c r="H62" s="17" t="s">
        <v>5354</v>
      </c>
      <c r="I62" s="18">
        <v>78</v>
      </c>
    </row>
    <row r="63" spans="1:9" x14ac:dyDescent="0.25">
      <c r="A63" s="12" t="s">
        <v>692</v>
      </c>
      <c r="B63" s="13" t="s">
        <v>5506</v>
      </c>
      <c r="C63" s="13" t="s">
        <v>5507</v>
      </c>
      <c r="D63" s="13" t="s">
        <v>5350</v>
      </c>
      <c r="E63" s="13" t="s">
        <v>5508</v>
      </c>
      <c r="F63" s="13" t="s">
        <v>5509</v>
      </c>
      <c r="G63" s="13" t="s">
        <v>5344</v>
      </c>
      <c r="H63" s="13" t="s">
        <v>5345</v>
      </c>
      <c r="I63" s="14">
        <v>65</v>
      </c>
    </row>
    <row r="64" spans="1:9" x14ac:dyDescent="0.25">
      <c r="A64" s="12" t="s">
        <v>275</v>
      </c>
      <c r="B64" s="13" t="s">
        <v>5506</v>
      </c>
      <c r="C64" s="13" t="s">
        <v>5510</v>
      </c>
      <c r="D64" s="13" t="s">
        <v>5341</v>
      </c>
      <c r="E64" s="13" t="s">
        <v>5489</v>
      </c>
      <c r="F64" s="13" t="s">
        <v>5390</v>
      </c>
      <c r="G64" s="13" t="s">
        <v>5353</v>
      </c>
      <c r="H64" s="13" t="s">
        <v>5354</v>
      </c>
      <c r="I64" s="14">
        <v>35</v>
      </c>
    </row>
    <row r="65" spans="1:9" x14ac:dyDescent="0.25">
      <c r="A65" s="12" t="s">
        <v>1429</v>
      </c>
      <c r="B65" s="13" t="s">
        <v>5506</v>
      </c>
      <c r="C65" s="13" t="s">
        <v>5507</v>
      </c>
      <c r="D65" s="13" t="s">
        <v>5350</v>
      </c>
      <c r="E65" s="13" t="s">
        <v>5511</v>
      </c>
      <c r="F65" s="13" t="s">
        <v>5512</v>
      </c>
      <c r="G65" s="13" t="s">
        <v>5398</v>
      </c>
      <c r="H65" s="13" t="s">
        <v>5399</v>
      </c>
      <c r="I65" s="14">
        <v>34</v>
      </c>
    </row>
    <row r="66" spans="1:9" x14ac:dyDescent="0.25">
      <c r="A66" s="16" t="s">
        <v>712</v>
      </c>
      <c r="B66" s="17" t="s">
        <v>5513</v>
      </c>
      <c r="C66" s="17" t="s">
        <v>5514</v>
      </c>
      <c r="D66" s="17" t="s">
        <v>5341</v>
      </c>
      <c r="E66" s="17" t="s">
        <v>5431</v>
      </c>
      <c r="F66" s="17" t="s">
        <v>5431</v>
      </c>
      <c r="G66" s="17" t="s">
        <v>5370</v>
      </c>
      <c r="H66" s="17" t="s">
        <v>5371</v>
      </c>
      <c r="I66" s="18">
        <v>68</v>
      </c>
    </row>
    <row r="67" spans="1:9" x14ac:dyDescent="0.25">
      <c r="A67" s="16" t="s">
        <v>917</v>
      </c>
      <c r="B67" s="17" t="s">
        <v>5513</v>
      </c>
      <c r="C67" s="17" t="s">
        <v>5514</v>
      </c>
      <c r="D67" s="17" t="s">
        <v>5341</v>
      </c>
      <c r="E67" s="17" t="s">
        <v>5431</v>
      </c>
      <c r="F67" s="17" t="s">
        <v>5431</v>
      </c>
      <c r="G67" s="17" t="s">
        <v>5370</v>
      </c>
      <c r="H67" s="17" t="s">
        <v>5371</v>
      </c>
      <c r="I67" s="18">
        <v>29</v>
      </c>
    </row>
    <row r="68" spans="1:9" x14ac:dyDescent="0.25">
      <c r="A68" s="12" t="s">
        <v>1402</v>
      </c>
      <c r="B68" s="13" t="s">
        <v>5513</v>
      </c>
      <c r="C68" s="13" t="s">
        <v>5515</v>
      </c>
      <c r="D68" s="13" t="s">
        <v>5357</v>
      </c>
      <c r="E68" s="13" t="s">
        <v>5516</v>
      </c>
      <c r="F68" s="13" t="s">
        <v>5407</v>
      </c>
      <c r="G68" s="13" t="s">
        <v>5366</v>
      </c>
      <c r="H68" s="13" t="s">
        <v>5367</v>
      </c>
      <c r="I68" s="14">
        <v>43</v>
      </c>
    </row>
    <row r="69" spans="1:9" x14ac:dyDescent="0.25">
      <c r="A69" s="12" t="s">
        <v>566</v>
      </c>
      <c r="B69" s="13" t="s">
        <v>5513</v>
      </c>
      <c r="C69" s="13" t="s">
        <v>5517</v>
      </c>
      <c r="D69" s="13" t="s">
        <v>5350</v>
      </c>
      <c r="E69" s="13" t="s">
        <v>5518</v>
      </c>
      <c r="F69" s="13" t="s">
        <v>5519</v>
      </c>
      <c r="G69" s="13" t="s">
        <v>5370</v>
      </c>
      <c r="H69" s="13" t="s">
        <v>5371</v>
      </c>
      <c r="I69" s="14">
        <v>45</v>
      </c>
    </row>
    <row r="70" spans="1:9" x14ac:dyDescent="0.25">
      <c r="A70" s="12" t="s">
        <v>1218</v>
      </c>
      <c r="B70" s="13" t="s">
        <v>5520</v>
      </c>
      <c r="C70" s="13" t="s">
        <v>5521</v>
      </c>
      <c r="D70" s="13" t="s">
        <v>5341</v>
      </c>
      <c r="E70" s="13" t="s">
        <v>5522</v>
      </c>
      <c r="F70" s="13" t="s">
        <v>5523</v>
      </c>
      <c r="G70" s="13" t="s">
        <v>5398</v>
      </c>
      <c r="H70" s="13" t="s">
        <v>5399</v>
      </c>
      <c r="I70" s="14">
        <v>48</v>
      </c>
    </row>
    <row r="71" spans="1:9" x14ac:dyDescent="0.25">
      <c r="A71" s="16" t="s">
        <v>1926</v>
      </c>
      <c r="B71" s="17" t="s">
        <v>5520</v>
      </c>
      <c r="C71" s="17" t="s">
        <v>5521</v>
      </c>
      <c r="D71" s="17" t="s">
        <v>5350</v>
      </c>
      <c r="E71" s="17" t="s">
        <v>5524</v>
      </c>
      <c r="F71" s="17" t="s">
        <v>5454</v>
      </c>
      <c r="G71" s="17" t="s">
        <v>5353</v>
      </c>
      <c r="H71" s="17" t="s">
        <v>5354</v>
      </c>
      <c r="I71" s="18">
        <v>52</v>
      </c>
    </row>
    <row r="72" spans="1:9" x14ac:dyDescent="0.25">
      <c r="A72" s="12" t="s">
        <v>697</v>
      </c>
      <c r="B72" s="13" t="s">
        <v>5520</v>
      </c>
      <c r="C72" s="13" t="s">
        <v>5521</v>
      </c>
      <c r="D72" s="13" t="s">
        <v>5357</v>
      </c>
      <c r="E72" s="13" t="s">
        <v>5525</v>
      </c>
      <c r="F72" s="13" t="s">
        <v>5363</v>
      </c>
      <c r="G72" s="13" t="s">
        <v>5353</v>
      </c>
      <c r="H72" s="13" t="s">
        <v>5354</v>
      </c>
      <c r="I72" s="14">
        <v>61</v>
      </c>
    </row>
    <row r="73" spans="1:9" x14ac:dyDescent="0.25">
      <c r="A73" s="16" t="s">
        <v>626</v>
      </c>
      <c r="B73" s="17" t="s">
        <v>5520</v>
      </c>
      <c r="C73" s="17" t="s">
        <v>5521</v>
      </c>
      <c r="D73" s="17" t="s">
        <v>5357</v>
      </c>
      <c r="E73" s="17" t="s">
        <v>5526</v>
      </c>
      <c r="F73" s="17" t="s">
        <v>5527</v>
      </c>
      <c r="G73" s="17" t="s">
        <v>5344</v>
      </c>
      <c r="H73" s="17" t="s">
        <v>5345</v>
      </c>
      <c r="I73" s="18">
        <v>31</v>
      </c>
    </row>
    <row r="74" spans="1:9" x14ac:dyDescent="0.25">
      <c r="A74" s="16" t="s">
        <v>1115</v>
      </c>
      <c r="B74" s="17" t="s">
        <v>5528</v>
      </c>
      <c r="C74" s="17" t="s">
        <v>5529</v>
      </c>
      <c r="D74" s="17" t="s">
        <v>5341</v>
      </c>
      <c r="E74" s="17" t="s">
        <v>5471</v>
      </c>
      <c r="F74" s="17" t="s">
        <v>5352</v>
      </c>
      <c r="G74" s="17" t="s">
        <v>5353</v>
      </c>
      <c r="H74" s="17" t="s">
        <v>5354</v>
      </c>
      <c r="I74" s="18">
        <v>29</v>
      </c>
    </row>
    <row r="75" spans="1:9" x14ac:dyDescent="0.25">
      <c r="A75" s="16" t="s">
        <v>1033</v>
      </c>
      <c r="B75" s="17" t="s">
        <v>5530</v>
      </c>
      <c r="C75" s="17" t="s">
        <v>5531</v>
      </c>
      <c r="D75" s="17" t="s">
        <v>5357</v>
      </c>
      <c r="E75" s="17" t="s">
        <v>5532</v>
      </c>
      <c r="F75" s="17" t="s">
        <v>5498</v>
      </c>
      <c r="G75" s="17" t="s">
        <v>5370</v>
      </c>
      <c r="H75" s="17" t="s">
        <v>5371</v>
      </c>
      <c r="I75" s="18">
        <v>64</v>
      </c>
    </row>
    <row r="76" spans="1:9" x14ac:dyDescent="0.25">
      <c r="A76" s="12" t="s">
        <v>948</v>
      </c>
      <c r="B76" s="13" t="s">
        <v>5530</v>
      </c>
      <c r="C76" s="13" t="s">
        <v>5533</v>
      </c>
      <c r="D76" s="13" t="s">
        <v>5341</v>
      </c>
      <c r="E76" s="13" t="s">
        <v>5441</v>
      </c>
      <c r="F76" s="13" t="s">
        <v>5441</v>
      </c>
      <c r="G76" s="13" t="s">
        <v>5398</v>
      </c>
      <c r="H76" s="13" t="s">
        <v>5399</v>
      </c>
      <c r="I76" s="14">
        <v>25</v>
      </c>
    </row>
    <row r="77" spans="1:9" x14ac:dyDescent="0.25">
      <c r="A77" s="16" t="s">
        <v>301</v>
      </c>
      <c r="B77" s="17" t="s">
        <v>5534</v>
      </c>
      <c r="C77" s="17" t="s">
        <v>5535</v>
      </c>
      <c r="D77" s="17" t="s">
        <v>5357</v>
      </c>
      <c r="E77" s="17" t="s">
        <v>5380</v>
      </c>
      <c r="F77" s="17" t="s">
        <v>5381</v>
      </c>
      <c r="G77" s="17" t="s">
        <v>5353</v>
      </c>
      <c r="H77" s="17" t="s">
        <v>5354</v>
      </c>
      <c r="I77" s="18">
        <v>47</v>
      </c>
    </row>
    <row r="78" spans="1:9" x14ac:dyDescent="0.25">
      <c r="A78" s="16" t="s">
        <v>334</v>
      </c>
      <c r="B78" s="17" t="s">
        <v>5536</v>
      </c>
      <c r="C78" s="17" t="s">
        <v>5537</v>
      </c>
      <c r="D78" s="17" t="s">
        <v>5341</v>
      </c>
      <c r="E78" s="17" t="s">
        <v>5538</v>
      </c>
      <c r="F78" s="17" t="s">
        <v>5539</v>
      </c>
      <c r="G78" s="17" t="s">
        <v>5366</v>
      </c>
      <c r="H78" s="17" t="s">
        <v>5367</v>
      </c>
      <c r="I78" s="18">
        <v>64</v>
      </c>
    </row>
    <row r="79" spans="1:9" x14ac:dyDescent="0.25">
      <c r="A79" s="12" t="s">
        <v>3</v>
      </c>
      <c r="B79" s="13" t="s">
        <v>5536</v>
      </c>
      <c r="C79" s="13" t="s">
        <v>5540</v>
      </c>
      <c r="D79" s="13" t="s">
        <v>5341</v>
      </c>
      <c r="E79" s="13" t="s">
        <v>5541</v>
      </c>
      <c r="F79" s="13" t="s">
        <v>5359</v>
      </c>
      <c r="G79" s="13" t="s">
        <v>5344</v>
      </c>
      <c r="H79" s="13" t="s">
        <v>5345</v>
      </c>
      <c r="I79" s="14">
        <v>47</v>
      </c>
    </row>
    <row r="80" spans="1:9" x14ac:dyDescent="0.25">
      <c r="A80" s="16" t="s">
        <v>1354</v>
      </c>
      <c r="B80" s="17" t="s">
        <v>5536</v>
      </c>
      <c r="C80" s="17" t="s">
        <v>5542</v>
      </c>
      <c r="D80" s="17" t="s">
        <v>5350</v>
      </c>
      <c r="E80" s="17" t="s">
        <v>5396</v>
      </c>
      <c r="F80" s="17" t="s">
        <v>5397</v>
      </c>
      <c r="G80" s="17" t="s">
        <v>5398</v>
      </c>
      <c r="H80" s="17" t="s">
        <v>5399</v>
      </c>
      <c r="I80" s="18">
        <v>42</v>
      </c>
    </row>
    <row r="81" spans="1:9" x14ac:dyDescent="0.25">
      <c r="A81" s="12" t="s">
        <v>385</v>
      </c>
      <c r="B81" s="13" t="s">
        <v>5536</v>
      </c>
      <c r="C81" s="13" t="s">
        <v>5537</v>
      </c>
      <c r="D81" s="13" t="s">
        <v>5357</v>
      </c>
      <c r="E81" s="13" t="s">
        <v>5543</v>
      </c>
      <c r="F81" s="13" t="s">
        <v>5387</v>
      </c>
      <c r="G81" s="13" t="s">
        <v>5344</v>
      </c>
      <c r="H81" s="13" t="s">
        <v>5345</v>
      </c>
      <c r="I81" s="14">
        <v>54</v>
      </c>
    </row>
    <row r="82" spans="1:9" x14ac:dyDescent="0.25">
      <c r="A82" s="12" t="s">
        <v>1906</v>
      </c>
      <c r="B82" s="13" t="s">
        <v>5544</v>
      </c>
      <c r="C82" s="13" t="s">
        <v>5545</v>
      </c>
      <c r="D82" s="13" t="s">
        <v>5357</v>
      </c>
      <c r="E82" s="13" t="s">
        <v>5546</v>
      </c>
      <c r="F82" s="13" t="s">
        <v>5546</v>
      </c>
      <c r="G82" s="13" t="s">
        <v>5366</v>
      </c>
      <c r="H82" s="13" t="s">
        <v>5367</v>
      </c>
      <c r="I82" s="14">
        <v>63</v>
      </c>
    </row>
    <row r="83" spans="1:9" x14ac:dyDescent="0.25">
      <c r="A83" s="16" t="s">
        <v>316</v>
      </c>
      <c r="B83" s="17" t="s">
        <v>5544</v>
      </c>
      <c r="C83" s="17" t="s">
        <v>5545</v>
      </c>
      <c r="D83" s="17" t="s">
        <v>5341</v>
      </c>
      <c r="E83" s="17" t="s">
        <v>5441</v>
      </c>
      <c r="F83" s="17" t="s">
        <v>5441</v>
      </c>
      <c r="G83" s="17" t="s">
        <v>5398</v>
      </c>
      <c r="H83" s="17" t="s">
        <v>5399</v>
      </c>
      <c r="I83" s="18">
        <v>65</v>
      </c>
    </row>
    <row r="84" spans="1:9" x14ac:dyDescent="0.25">
      <c r="A84" s="12" t="s">
        <v>511</v>
      </c>
      <c r="B84" s="13" t="s">
        <v>5547</v>
      </c>
      <c r="C84" s="13" t="s">
        <v>5548</v>
      </c>
      <c r="D84" s="13" t="s">
        <v>5350</v>
      </c>
      <c r="E84" s="13" t="s">
        <v>5549</v>
      </c>
      <c r="F84" s="13" t="s">
        <v>5454</v>
      </c>
      <c r="G84" s="13" t="s">
        <v>5353</v>
      </c>
      <c r="H84" s="13" t="s">
        <v>5354</v>
      </c>
      <c r="I84" s="14">
        <v>60</v>
      </c>
    </row>
    <row r="85" spans="1:9" x14ac:dyDescent="0.25">
      <c r="A85" s="12" t="s">
        <v>960</v>
      </c>
      <c r="B85" s="13" t="s">
        <v>5550</v>
      </c>
      <c r="C85" s="13" t="s">
        <v>5551</v>
      </c>
      <c r="D85" s="13" t="s">
        <v>5350</v>
      </c>
      <c r="E85" s="13" t="s">
        <v>5552</v>
      </c>
      <c r="F85" s="13" t="s">
        <v>5486</v>
      </c>
      <c r="G85" s="13" t="s">
        <v>5398</v>
      </c>
      <c r="H85" s="13" t="s">
        <v>5399</v>
      </c>
      <c r="I85" s="14">
        <v>30</v>
      </c>
    </row>
    <row r="86" spans="1:9" x14ac:dyDescent="0.25">
      <c r="A86" s="16" t="s">
        <v>858</v>
      </c>
      <c r="B86" s="17" t="s">
        <v>5550</v>
      </c>
      <c r="C86" s="17" t="s">
        <v>5553</v>
      </c>
      <c r="D86" s="17" t="s">
        <v>5357</v>
      </c>
      <c r="E86" s="17" t="s">
        <v>5554</v>
      </c>
      <c r="F86" s="17" t="s">
        <v>5436</v>
      </c>
      <c r="G86" s="17" t="s">
        <v>5353</v>
      </c>
      <c r="H86" s="17" t="s">
        <v>5354</v>
      </c>
      <c r="I86" s="18">
        <v>59</v>
      </c>
    </row>
    <row r="87" spans="1:9" x14ac:dyDescent="0.25">
      <c r="A87" s="16" t="s">
        <v>1303</v>
      </c>
      <c r="B87" s="17" t="s">
        <v>5555</v>
      </c>
      <c r="C87" s="17" t="s">
        <v>5556</v>
      </c>
      <c r="D87" s="17" t="s">
        <v>5357</v>
      </c>
      <c r="E87" s="17" t="s">
        <v>5557</v>
      </c>
      <c r="F87" s="17" t="s">
        <v>5558</v>
      </c>
      <c r="G87" s="17" t="s">
        <v>5366</v>
      </c>
      <c r="H87" s="17" t="s">
        <v>5367</v>
      </c>
      <c r="I87" s="18">
        <v>61</v>
      </c>
    </row>
    <row r="88" spans="1:9" x14ac:dyDescent="0.25">
      <c r="A88" s="16" t="s">
        <v>180</v>
      </c>
      <c r="B88" s="17" t="s">
        <v>5559</v>
      </c>
      <c r="C88" s="17" t="s">
        <v>5560</v>
      </c>
      <c r="D88" s="17" t="s">
        <v>5350</v>
      </c>
      <c r="E88" s="17" t="s">
        <v>5415</v>
      </c>
      <c r="F88" s="17" t="s">
        <v>5415</v>
      </c>
      <c r="G88" s="17" t="s">
        <v>5344</v>
      </c>
      <c r="H88" s="17" t="s">
        <v>5345</v>
      </c>
      <c r="I88" s="18">
        <v>38</v>
      </c>
    </row>
    <row r="89" spans="1:9" x14ac:dyDescent="0.25">
      <c r="A89" s="16" t="s">
        <v>148</v>
      </c>
      <c r="B89" s="17" t="s">
        <v>5561</v>
      </c>
      <c r="C89" s="17" t="s">
        <v>5562</v>
      </c>
      <c r="D89" s="17" t="s">
        <v>5357</v>
      </c>
      <c r="E89" s="17" t="s">
        <v>5496</v>
      </c>
      <c r="F89" s="17" t="s">
        <v>5359</v>
      </c>
      <c r="G89" s="17" t="s">
        <v>5344</v>
      </c>
      <c r="H89" s="17" t="s">
        <v>5345</v>
      </c>
      <c r="I89" s="18">
        <v>74</v>
      </c>
    </row>
    <row r="90" spans="1:9" x14ac:dyDescent="0.25">
      <c r="A90" s="16" t="s">
        <v>237</v>
      </c>
      <c r="B90" s="17" t="s">
        <v>5563</v>
      </c>
      <c r="C90" s="17" t="s">
        <v>5564</v>
      </c>
      <c r="D90" s="17" t="s">
        <v>5341</v>
      </c>
      <c r="E90" s="17" t="s">
        <v>5565</v>
      </c>
      <c r="F90" s="17" t="s">
        <v>5566</v>
      </c>
      <c r="G90" s="17" t="s">
        <v>5344</v>
      </c>
      <c r="H90" s="17" t="s">
        <v>5345</v>
      </c>
      <c r="I90" s="18">
        <v>56</v>
      </c>
    </row>
    <row r="91" spans="1:9" x14ac:dyDescent="0.25">
      <c r="A91" s="12" t="s">
        <v>314</v>
      </c>
      <c r="B91" s="13" t="s">
        <v>5563</v>
      </c>
      <c r="C91" s="13" t="s">
        <v>5564</v>
      </c>
      <c r="D91" s="13" t="s">
        <v>5357</v>
      </c>
      <c r="E91" s="13" t="s">
        <v>5567</v>
      </c>
      <c r="F91" s="13" t="s">
        <v>5454</v>
      </c>
      <c r="G91" s="13" t="s">
        <v>5353</v>
      </c>
      <c r="H91" s="13" t="s">
        <v>5354</v>
      </c>
      <c r="I91" s="14">
        <v>38</v>
      </c>
    </row>
    <row r="92" spans="1:9" x14ac:dyDescent="0.25">
      <c r="A92" s="12" t="s">
        <v>354</v>
      </c>
      <c r="B92" s="13" t="s">
        <v>5568</v>
      </c>
      <c r="C92" s="13" t="s">
        <v>5569</v>
      </c>
      <c r="D92" s="13" t="s">
        <v>5357</v>
      </c>
      <c r="E92" s="13" t="s">
        <v>5431</v>
      </c>
      <c r="F92" s="13" t="s">
        <v>5431</v>
      </c>
      <c r="G92" s="13" t="s">
        <v>5370</v>
      </c>
      <c r="H92" s="13" t="s">
        <v>5371</v>
      </c>
      <c r="I92" s="14">
        <v>42</v>
      </c>
    </row>
    <row r="93" spans="1:9" x14ac:dyDescent="0.25">
      <c r="A93" s="16" t="s">
        <v>1643</v>
      </c>
      <c r="B93" s="17" t="s">
        <v>5568</v>
      </c>
      <c r="C93" s="17" t="s">
        <v>5569</v>
      </c>
      <c r="D93" s="17" t="s">
        <v>5357</v>
      </c>
      <c r="E93" s="17" t="s">
        <v>5435</v>
      </c>
      <c r="F93" s="17" t="s">
        <v>5436</v>
      </c>
      <c r="G93" s="17" t="s">
        <v>5353</v>
      </c>
      <c r="H93" s="17" t="s">
        <v>5354</v>
      </c>
      <c r="I93" s="18">
        <v>59</v>
      </c>
    </row>
    <row r="94" spans="1:9" x14ac:dyDescent="0.25">
      <c r="A94" s="12" t="s">
        <v>196</v>
      </c>
      <c r="B94" s="13" t="s">
        <v>5570</v>
      </c>
      <c r="C94" s="13" t="s">
        <v>5571</v>
      </c>
      <c r="D94" s="13" t="s">
        <v>5357</v>
      </c>
      <c r="E94" s="13" t="s">
        <v>5380</v>
      </c>
      <c r="F94" s="13" t="s">
        <v>5381</v>
      </c>
      <c r="G94" s="13" t="s">
        <v>5353</v>
      </c>
      <c r="H94" s="13" t="s">
        <v>5354</v>
      </c>
      <c r="I94" s="14">
        <v>38</v>
      </c>
    </row>
    <row r="95" spans="1:9" x14ac:dyDescent="0.25">
      <c r="A95" s="12" t="s">
        <v>192</v>
      </c>
      <c r="B95" s="13" t="s">
        <v>5572</v>
      </c>
      <c r="C95" s="13" t="s">
        <v>5573</v>
      </c>
      <c r="D95" s="13" t="s">
        <v>5341</v>
      </c>
      <c r="E95" s="13" t="s">
        <v>5455</v>
      </c>
      <c r="F95" s="13" t="s">
        <v>5436</v>
      </c>
      <c r="G95" s="13" t="s">
        <v>5353</v>
      </c>
      <c r="H95" s="13" t="s">
        <v>5354</v>
      </c>
      <c r="I95" s="14">
        <v>28</v>
      </c>
    </row>
    <row r="96" spans="1:9" x14ac:dyDescent="0.25">
      <c r="A96" s="16" t="s">
        <v>498</v>
      </c>
      <c r="B96" s="17" t="s">
        <v>5574</v>
      </c>
      <c r="C96" s="17" t="s">
        <v>5575</v>
      </c>
      <c r="D96" s="17" t="s">
        <v>5341</v>
      </c>
      <c r="E96" s="17" t="s">
        <v>5576</v>
      </c>
      <c r="F96" s="17" t="s">
        <v>5423</v>
      </c>
      <c r="G96" s="17" t="s">
        <v>5398</v>
      </c>
      <c r="H96" s="17" t="s">
        <v>5399</v>
      </c>
      <c r="I96" s="18">
        <v>72</v>
      </c>
    </row>
    <row r="97" spans="1:9" x14ac:dyDescent="0.25">
      <c r="A97" s="16" t="s">
        <v>957</v>
      </c>
      <c r="B97" s="17" t="s">
        <v>5577</v>
      </c>
      <c r="C97" s="17" t="s">
        <v>5578</v>
      </c>
      <c r="D97" s="17" t="s">
        <v>5341</v>
      </c>
      <c r="E97" s="17" t="s">
        <v>5579</v>
      </c>
      <c r="F97" s="17" t="s">
        <v>5580</v>
      </c>
      <c r="G97" s="17" t="s">
        <v>5366</v>
      </c>
      <c r="H97" s="17" t="s">
        <v>5367</v>
      </c>
      <c r="I97" s="18">
        <v>78</v>
      </c>
    </row>
    <row r="98" spans="1:9" x14ac:dyDescent="0.25">
      <c r="A98" s="12" t="s">
        <v>955</v>
      </c>
      <c r="B98" s="13" t="s">
        <v>5581</v>
      </c>
      <c r="C98" s="13" t="s">
        <v>5582</v>
      </c>
      <c r="D98" s="13" t="s">
        <v>5357</v>
      </c>
      <c r="E98" s="13" t="s">
        <v>5583</v>
      </c>
      <c r="F98" s="13" t="s">
        <v>5498</v>
      </c>
      <c r="G98" s="13" t="s">
        <v>5370</v>
      </c>
      <c r="H98" s="13" t="s">
        <v>5371</v>
      </c>
      <c r="I98" s="14">
        <v>70</v>
      </c>
    </row>
    <row r="99" spans="1:9" x14ac:dyDescent="0.25">
      <c r="A99" s="16" t="s">
        <v>865</v>
      </c>
      <c r="B99" s="17" t="s">
        <v>5581</v>
      </c>
      <c r="C99" s="17" t="s">
        <v>5582</v>
      </c>
      <c r="D99" s="17" t="s">
        <v>5350</v>
      </c>
      <c r="E99" s="17" t="s">
        <v>5584</v>
      </c>
      <c r="F99" s="17" t="s">
        <v>5585</v>
      </c>
      <c r="G99" s="17" t="s">
        <v>5398</v>
      </c>
      <c r="H99" s="17" t="s">
        <v>5399</v>
      </c>
      <c r="I99" s="18">
        <v>56</v>
      </c>
    </row>
    <row r="100" spans="1:9" x14ac:dyDescent="0.25">
      <c r="A100" s="12" t="s">
        <v>45</v>
      </c>
      <c r="B100" s="13" t="s">
        <v>5586</v>
      </c>
      <c r="C100" s="13" t="s">
        <v>5542</v>
      </c>
      <c r="D100" s="13" t="s">
        <v>5341</v>
      </c>
      <c r="E100" s="13" t="s">
        <v>5587</v>
      </c>
      <c r="F100" s="13" t="s">
        <v>5419</v>
      </c>
      <c r="G100" s="13" t="s">
        <v>5370</v>
      </c>
      <c r="H100" s="13" t="s">
        <v>5371</v>
      </c>
      <c r="I100" s="14">
        <v>43</v>
      </c>
    </row>
    <row r="101" spans="1:9" x14ac:dyDescent="0.25">
      <c r="A101" s="12" t="s">
        <v>1621</v>
      </c>
      <c r="B101" s="13" t="s">
        <v>5588</v>
      </c>
      <c r="C101" s="13" t="s">
        <v>5589</v>
      </c>
      <c r="D101" s="13" t="s">
        <v>5357</v>
      </c>
      <c r="E101" s="13" t="s">
        <v>5503</v>
      </c>
      <c r="F101" s="13" t="s">
        <v>5407</v>
      </c>
      <c r="G101" s="13" t="s">
        <v>5366</v>
      </c>
      <c r="H101" s="13" t="s">
        <v>5367</v>
      </c>
      <c r="I101" s="14">
        <v>57</v>
      </c>
    </row>
    <row r="102" spans="1:9" x14ac:dyDescent="0.25">
      <c r="A102" s="12" t="s">
        <v>763</v>
      </c>
      <c r="B102" s="13" t="s">
        <v>5588</v>
      </c>
      <c r="C102" s="13" t="s">
        <v>5589</v>
      </c>
      <c r="D102" s="13" t="s">
        <v>5350</v>
      </c>
      <c r="E102" s="13" t="s">
        <v>5590</v>
      </c>
      <c r="F102" s="13" t="s">
        <v>5566</v>
      </c>
      <c r="G102" s="13" t="s">
        <v>5344</v>
      </c>
      <c r="H102" s="13" t="s">
        <v>5345</v>
      </c>
      <c r="I102" s="14">
        <v>69</v>
      </c>
    </row>
    <row r="103" spans="1:9" x14ac:dyDescent="0.25">
      <c r="A103" s="12" t="s">
        <v>888</v>
      </c>
      <c r="B103" s="13" t="s">
        <v>5591</v>
      </c>
      <c r="C103" s="13" t="s">
        <v>5592</v>
      </c>
      <c r="D103" s="13" t="s">
        <v>5350</v>
      </c>
      <c r="E103" s="13" t="s">
        <v>5593</v>
      </c>
      <c r="F103" s="13" t="s">
        <v>5594</v>
      </c>
      <c r="G103" s="13" t="s">
        <v>5344</v>
      </c>
      <c r="H103" s="13" t="s">
        <v>5345</v>
      </c>
      <c r="I103" s="14">
        <v>54</v>
      </c>
    </row>
    <row r="104" spans="1:9" x14ac:dyDescent="0.25">
      <c r="A104" s="16" t="s">
        <v>603</v>
      </c>
      <c r="B104" s="17" t="s">
        <v>5595</v>
      </c>
      <c r="C104" s="17" t="s">
        <v>5596</v>
      </c>
      <c r="D104" s="17" t="s">
        <v>5350</v>
      </c>
      <c r="E104" s="17" t="s">
        <v>5543</v>
      </c>
      <c r="F104" s="17" t="s">
        <v>5387</v>
      </c>
      <c r="G104" s="17" t="s">
        <v>5344</v>
      </c>
      <c r="H104" s="17" t="s">
        <v>5345</v>
      </c>
      <c r="I104" s="18">
        <v>59</v>
      </c>
    </row>
    <row r="105" spans="1:9" x14ac:dyDescent="0.25">
      <c r="A105" s="16" t="s">
        <v>66</v>
      </c>
      <c r="B105" s="17" t="s">
        <v>5597</v>
      </c>
      <c r="C105" s="17" t="s">
        <v>5598</v>
      </c>
      <c r="D105" s="17" t="s">
        <v>5341</v>
      </c>
      <c r="E105" s="17" t="s">
        <v>5463</v>
      </c>
      <c r="F105" s="17" t="s">
        <v>5454</v>
      </c>
      <c r="G105" s="17" t="s">
        <v>5353</v>
      </c>
      <c r="H105" s="17" t="s">
        <v>5354</v>
      </c>
      <c r="I105" s="18">
        <v>60</v>
      </c>
    </row>
    <row r="106" spans="1:9" x14ac:dyDescent="0.25">
      <c r="A106" s="16" t="s">
        <v>49</v>
      </c>
      <c r="B106" s="17" t="s">
        <v>5599</v>
      </c>
      <c r="C106" s="17" t="s">
        <v>5600</v>
      </c>
      <c r="D106" s="17" t="s">
        <v>5357</v>
      </c>
      <c r="E106" s="17" t="s">
        <v>5601</v>
      </c>
      <c r="F106" s="17" t="s">
        <v>5594</v>
      </c>
      <c r="G106" s="17" t="s">
        <v>5344</v>
      </c>
      <c r="H106" s="17" t="s">
        <v>5345</v>
      </c>
      <c r="I106" s="18">
        <v>76</v>
      </c>
    </row>
    <row r="107" spans="1:9" x14ac:dyDescent="0.25">
      <c r="A107" s="16" t="s">
        <v>986</v>
      </c>
      <c r="B107" s="17" t="s">
        <v>5602</v>
      </c>
      <c r="C107" s="17" t="s">
        <v>5603</v>
      </c>
      <c r="D107" s="17" t="s">
        <v>5357</v>
      </c>
      <c r="E107" s="17" t="s">
        <v>5374</v>
      </c>
      <c r="F107" s="17" t="s">
        <v>5375</v>
      </c>
      <c r="G107" s="17" t="s">
        <v>5344</v>
      </c>
      <c r="H107" s="17" t="s">
        <v>5345</v>
      </c>
      <c r="I107" s="18">
        <v>42</v>
      </c>
    </row>
    <row r="108" spans="1:9" x14ac:dyDescent="0.25">
      <c r="A108" s="16" t="s">
        <v>1028</v>
      </c>
      <c r="B108" s="17" t="s">
        <v>5602</v>
      </c>
      <c r="C108" s="17" t="s">
        <v>5604</v>
      </c>
      <c r="D108" s="17" t="s">
        <v>5357</v>
      </c>
      <c r="E108" s="17" t="s">
        <v>5538</v>
      </c>
      <c r="F108" s="17" t="s">
        <v>5605</v>
      </c>
      <c r="G108" s="17" t="s">
        <v>5366</v>
      </c>
      <c r="H108" s="17" t="s">
        <v>5367</v>
      </c>
      <c r="I108" s="18">
        <v>44</v>
      </c>
    </row>
    <row r="109" spans="1:9" x14ac:dyDescent="0.25">
      <c r="A109" s="16" t="s">
        <v>2788</v>
      </c>
      <c r="B109" s="17" t="s">
        <v>5602</v>
      </c>
      <c r="C109" s="17" t="s">
        <v>5606</v>
      </c>
      <c r="D109" s="17" t="s">
        <v>5357</v>
      </c>
      <c r="E109" s="17" t="s">
        <v>5607</v>
      </c>
      <c r="F109" s="17" t="s">
        <v>5397</v>
      </c>
      <c r="G109" s="17" t="s">
        <v>5398</v>
      </c>
      <c r="H109" s="17" t="s">
        <v>5399</v>
      </c>
      <c r="I109" s="18">
        <v>29</v>
      </c>
    </row>
    <row r="110" spans="1:9" x14ac:dyDescent="0.25">
      <c r="A110" s="12" t="s">
        <v>79</v>
      </c>
      <c r="B110" s="13" t="s">
        <v>5602</v>
      </c>
      <c r="C110" s="13" t="s">
        <v>5604</v>
      </c>
      <c r="D110" s="13" t="s">
        <v>5357</v>
      </c>
      <c r="E110" s="13" t="s">
        <v>5601</v>
      </c>
      <c r="F110" s="13" t="s">
        <v>5594</v>
      </c>
      <c r="G110" s="13" t="s">
        <v>5344</v>
      </c>
      <c r="H110" s="13" t="s">
        <v>5345</v>
      </c>
      <c r="I110" s="14">
        <v>36</v>
      </c>
    </row>
    <row r="111" spans="1:9" x14ac:dyDescent="0.25">
      <c r="A111" s="12" t="s">
        <v>714</v>
      </c>
      <c r="B111" s="13" t="s">
        <v>5602</v>
      </c>
      <c r="C111" s="13" t="s">
        <v>5608</v>
      </c>
      <c r="D111" s="13" t="s">
        <v>5357</v>
      </c>
      <c r="E111" s="13" t="s">
        <v>5590</v>
      </c>
      <c r="F111" s="13" t="s">
        <v>5566</v>
      </c>
      <c r="G111" s="13" t="s">
        <v>5344</v>
      </c>
      <c r="H111" s="13" t="s">
        <v>5345</v>
      </c>
      <c r="I111" s="14">
        <v>74</v>
      </c>
    </row>
    <row r="112" spans="1:9" x14ac:dyDescent="0.25">
      <c r="A112" s="16" t="s">
        <v>200</v>
      </c>
      <c r="B112" s="17" t="s">
        <v>5609</v>
      </c>
      <c r="C112" s="17" t="s">
        <v>5610</v>
      </c>
      <c r="D112" s="17" t="s">
        <v>5350</v>
      </c>
      <c r="E112" s="17" t="s">
        <v>5549</v>
      </c>
      <c r="F112" s="17" t="s">
        <v>5454</v>
      </c>
      <c r="G112" s="17" t="s">
        <v>5353</v>
      </c>
      <c r="H112" s="17" t="s">
        <v>5354</v>
      </c>
      <c r="I112" s="18">
        <v>65</v>
      </c>
    </row>
    <row r="113" spans="1:9" x14ac:dyDescent="0.25">
      <c r="A113" s="12" t="s">
        <v>3274</v>
      </c>
      <c r="B113" s="13" t="s">
        <v>5609</v>
      </c>
      <c r="C113" s="13" t="s">
        <v>5610</v>
      </c>
      <c r="D113" s="13" t="s">
        <v>5357</v>
      </c>
      <c r="E113" s="13" t="s">
        <v>5455</v>
      </c>
      <c r="F113" s="13" t="s">
        <v>5436</v>
      </c>
      <c r="G113" s="13" t="s">
        <v>5353</v>
      </c>
      <c r="H113" s="13" t="s">
        <v>5354</v>
      </c>
      <c r="I113" s="14">
        <v>37</v>
      </c>
    </row>
    <row r="114" spans="1:9" x14ac:dyDescent="0.25">
      <c r="A114" s="16" t="s">
        <v>239</v>
      </c>
      <c r="B114" s="17" t="s">
        <v>5611</v>
      </c>
      <c r="C114" s="17" t="s">
        <v>5612</v>
      </c>
      <c r="D114" s="17" t="s">
        <v>5357</v>
      </c>
      <c r="E114" s="17" t="s">
        <v>5418</v>
      </c>
      <c r="F114" s="17" t="s">
        <v>5419</v>
      </c>
      <c r="G114" s="17" t="s">
        <v>5370</v>
      </c>
      <c r="H114" s="17" t="s">
        <v>5371</v>
      </c>
      <c r="I114" s="18">
        <v>71</v>
      </c>
    </row>
    <row r="115" spans="1:9" x14ac:dyDescent="0.25">
      <c r="A115" s="16" t="s">
        <v>293</v>
      </c>
      <c r="B115" s="17" t="s">
        <v>5611</v>
      </c>
      <c r="C115" s="17" t="s">
        <v>5612</v>
      </c>
      <c r="D115" s="17" t="s">
        <v>5341</v>
      </c>
      <c r="E115" s="17" t="s">
        <v>5613</v>
      </c>
      <c r="F115" s="17" t="s">
        <v>5614</v>
      </c>
      <c r="G115" s="17" t="s">
        <v>5398</v>
      </c>
      <c r="H115" s="17" t="s">
        <v>5399</v>
      </c>
      <c r="I115" s="18">
        <v>28</v>
      </c>
    </row>
    <row r="116" spans="1:9" x14ac:dyDescent="0.25">
      <c r="A116" s="16" t="s">
        <v>429</v>
      </c>
      <c r="B116" s="17" t="s">
        <v>5615</v>
      </c>
      <c r="C116" s="17" t="s">
        <v>5616</v>
      </c>
      <c r="D116" s="17" t="s">
        <v>5341</v>
      </c>
      <c r="E116" s="17" t="s">
        <v>5400</v>
      </c>
      <c r="F116" s="17" t="s">
        <v>5400</v>
      </c>
      <c r="G116" s="17" t="s">
        <v>5344</v>
      </c>
      <c r="H116" s="17" t="s">
        <v>5345</v>
      </c>
      <c r="I116" s="18">
        <v>57</v>
      </c>
    </row>
    <row r="117" spans="1:9" x14ac:dyDescent="0.25">
      <c r="A117" s="12" t="s">
        <v>686</v>
      </c>
      <c r="B117" s="13" t="s">
        <v>5617</v>
      </c>
      <c r="C117" s="13" t="s">
        <v>5618</v>
      </c>
      <c r="D117" s="13" t="s">
        <v>5341</v>
      </c>
      <c r="E117" s="13" t="s">
        <v>5442</v>
      </c>
      <c r="F117" s="13" t="s">
        <v>5363</v>
      </c>
      <c r="G117" s="13" t="s">
        <v>5353</v>
      </c>
      <c r="H117" s="13" t="s">
        <v>5354</v>
      </c>
      <c r="I117" s="14">
        <v>70</v>
      </c>
    </row>
    <row r="118" spans="1:9" x14ac:dyDescent="0.25">
      <c r="A118" s="12" t="s">
        <v>104</v>
      </c>
      <c r="B118" s="13" t="s">
        <v>5619</v>
      </c>
      <c r="C118" s="13" t="s">
        <v>5620</v>
      </c>
      <c r="D118" s="13" t="s">
        <v>5350</v>
      </c>
      <c r="E118" s="13" t="s">
        <v>5621</v>
      </c>
      <c r="F118" s="13" t="s">
        <v>5622</v>
      </c>
      <c r="G118" s="13" t="s">
        <v>5398</v>
      </c>
      <c r="H118" s="13" t="s">
        <v>5399</v>
      </c>
      <c r="I118" s="14">
        <v>55</v>
      </c>
    </row>
    <row r="119" spans="1:9" x14ac:dyDescent="0.25">
      <c r="A119" s="16" t="s">
        <v>485</v>
      </c>
      <c r="B119" s="17" t="s">
        <v>5623</v>
      </c>
      <c r="C119" s="17" t="s">
        <v>5624</v>
      </c>
      <c r="D119" s="17" t="s">
        <v>5350</v>
      </c>
      <c r="E119" s="17" t="s">
        <v>5455</v>
      </c>
      <c r="F119" s="17" t="s">
        <v>5436</v>
      </c>
      <c r="G119" s="17" t="s">
        <v>5353</v>
      </c>
      <c r="H119" s="17" t="s">
        <v>5354</v>
      </c>
      <c r="I119" s="18">
        <v>69</v>
      </c>
    </row>
    <row r="120" spans="1:9" x14ac:dyDescent="0.25">
      <c r="A120" s="12" t="s">
        <v>1288</v>
      </c>
      <c r="B120" s="13" t="s">
        <v>5625</v>
      </c>
      <c r="C120" s="13" t="s">
        <v>5626</v>
      </c>
      <c r="D120" s="13" t="s">
        <v>5350</v>
      </c>
      <c r="E120" s="13" t="s">
        <v>5422</v>
      </c>
      <c r="F120" s="13" t="s">
        <v>5423</v>
      </c>
      <c r="G120" s="13" t="s">
        <v>5398</v>
      </c>
      <c r="H120" s="13" t="s">
        <v>5399</v>
      </c>
      <c r="I120" s="14">
        <v>47</v>
      </c>
    </row>
    <row r="121" spans="1:9" x14ac:dyDescent="0.25">
      <c r="A121" s="12" t="s">
        <v>1628</v>
      </c>
      <c r="B121" s="13" t="s">
        <v>5625</v>
      </c>
      <c r="C121" s="13" t="s">
        <v>5627</v>
      </c>
      <c r="D121" s="13" t="s">
        <v>5357</v>
      </c>
      <c r="E121" s="13" t="s">
        <v>5431</v>
      </c>
      <c r="F121" s="13" t="s">
        <v>5431</v>
      </c>
      <c r="G121" s="13" t="s">
        <v>5370</v>
      </c>
      <c r="H121" s="13" t="s">
        <v>5371</v>
      </c>
      <c r="I121" s="14">
        <v>73</v>
      </c>
    </row>
    <row r="122" spans="1:9" x14ac:dyDescent="0.25">
      <c r="A122" s="12" t="s">
        <v>438</v>
      </c>
      <c r="B122" s="13" t="s">
        <v>5625</v>
      </c>
      <c r="C122" s="13" t="s">
        <v>5627</v>
      </c>
      <c r="D122" s="13" t="s">
        <v>5341</v>
      </c>
      <c r="E122" s="13" t="s">
        <v>5628</v>
      </c>
      <c r="F122" s="13" t="s">
        <v>5594</v>
      </c>
      <c r="G122" s="13" t="s">
        <v>5344</v>
      </c>
      <c r="H122" s="13" t="s">
        <v>5345</v>
      </c>
      <c r="I122" s="14">
        <v>33</v>
      </c>
    </row>
    <row r="123" spans="1:9" x14ac:dyDescent="0.25">
      <c r="A123" s="16" t="s">
        <v>241</v>
      </c>
      <c r="B123" s="17" t="s">
        <v>5625</v>
      </c>
      <c r="C123" s="17" t="s">
        <v>5629</v>
      </c>
      <c r="D123" s="17" t="s">
        <v>5341</v>
      </c>
      <c r="E123" s="17" t="s">
        <v>5583</v>
      </c>
      <c r="F123" s="17" t="s">
        <v>5498</v>
      </c>
      <c r="G123" s="17" t="s">
        <v>5370</v>
      </c>
      <c r="H123" s="17" t="s">
        <v>5371</v>
      </c>
      <c r="I123" s="18">
        <v>67</v>
      </c>
    </row>
    <row r="124" spans="1:9" x14ac:dyDescent="0.25">
      <c r="A124" s="16" t="s">
        <v>656</v>
      </c>
      <c r="B124" s="17" t="s">
        <v>5625</v>
      </c>
      <c r="C124" s="17" t="s">
        <v>5627</v>
      </c>
      <c r="D124" s="17" t="s">
        <v>5341</v>
      </c>
      <c r="E124" s="17" t="s">
        <v>5442</v>
      </c>
      <c r="F124" s="17" t="s">
        <v>5363</v>
      </c>
      <c r="G124" s="17" t="s">
        <v>5353</v>
      </c>
      <c r="H124" s="17" t="s">
        <v>5354</v>
      </c>
      <c r="I124" s="18">
        <v>53</v>
      </c>
    </row>
    <row r="125" spans="1:9" x14ac:dyDescent="0.25">
      <c r="A125" s="16" t="s">
        <v>2232</v>
      </c>
      <c r="B125" s="17" t="s">
        <v>5630</v>
      </c>
      <c r="C125" s="17" t="s">
        <v>5540</v>
      </c>
      <c r="D125" s="17" t="s">
        <v>5357</v>
      </c>
      <c r="E125" s="17" t="s">
        <v>5631</v>
      </c>
      <c r="F125" s="17" t="s">
        <v>5359</v>
      </c>
      <c r="G125" s="17" t="s">
        <v>5344</v>
      </c>
      <c r="H125" s="17" t="s">
        <v>5345</v>
      </c>
      <c r="I125" s="18">
        <v>42</v>
      </c>
    </row>
    <row r="126" spans="1:9" x14ac:dyDescent="0.25">
      <c r="A126" s="12" t="s">
        <v>431</v>
      </c>
      <c r="B126" s="13" t="s">
        <v>5630</v>
      </c>
      <c r="C126" s="13" t="s">
        <v>5632</v>
      </c>
      <c r="D126" s="13" t="s">
        <v>5341</v>
      </c>
      <c r="E126" s="13" t="s">
        <v>5400</v>
      </c>
      <c r="F126" s="13" t="s">
        <v>5400</v>
      </c>
      <c r="G126" s="13" t="s">
        <v>5344</v>
      </c>
      <c r="H126" s="13" t="s">
        <v>5345</v>
      </c>
      <c r="I126" s="14">
        <v>50</v>
      </c>
    </row>
    <row r="127" spans="1:9" x14ac:dyDescent="0.25">
      <c r="A127" s="12" t="s">
        <v>1774</v>
      </c>
      <c r="B127" s="13" t="s">
        <v>5633</v>
      </c>
      <c r="C127" s="13" t="s">
        <v>5634</v>
      </c>
      <c r="D127" s="13" t="s">
        <v>5341</v>
      </c>
      <c r="E127" s="13" t="s">
        <v>5458</v>
      </c>
      <c r="F127" s="13" t="s">
        <v>5454</v>
      </c>
      <c r="G127" s="13" t="s">
        <v>5353</v>
      </c>
      <c r="H127" s="13" t="s">
        <v>5354</v>
      </c>
      <c r="I127" s="14">
        <v>40</v>
      </c>
    </row>
    <row r="128" spans="1:9" x14ac:dyDescent="0.25">
      <c r="A128" s="12" t="s">
        <v>1572</v>
      </c>
      <c r="B128" s="13" t="s">
        <v>5633</v>
      </c>
      <c r="C128" s="13" t="s">
        <v>5635</v>
      </c>
      <c r="D128" s="13" t="s">
        <v>5341</v>
      </c>
      <c r="E128" s="13" t="s">
        <v>5636</v>
      </c>
      <c r="F128" s="13" t="s">
        <v>5637</v>
      </c>
      <c r="G128" s="13" t="s">
        <v>5366</v>
      </c>
      <c r="H128" s="13" t="s">
        <v>5367</v>
      </c>
      <c r="I128" s="14">
        <v>77</v>
      </c>
    </row>
    <row r="129" spans="1:9" x14ac:dyDescent="0.25">
      <c r="A129" s="16" t="s">
        <v>751</v>
      </c>
      <c r="B129" s="17" t="s">
        <v>5633</v>
      </c>
      <c r="C129" s="17" t="s">
        <v>5635</v>
      </c>
      <c r="D129" s="17" t="s">
        <v>5357</v>
      </c>
      <c r="E129" s="17" t="s">
        <v>5638</v>
      </c>
      <c r="F129" s="17" t="s">
        <v>5639</v>
      </c>
      <c r="G129" s="17" t="s">
        <v>5366</v>
      </c>
      <c r="H129" s="17" t="s">
        <v>5367</v>
      </c>
      <c r="I129" s="18">
        <v>62</v>
      </c>
    </row>
    <row r="130" spans="1:9" x14ac:dyDescent="0.25">
      <c r="A130" s="12" t="s">
        <v>456</v>
      </c>
      <c r="B130" s="13" t="s">
        <v>5633</v>
      </c>
      <c r="C130" s="13" t="s">
        <v>5634</v>
      </c>
      <c r="D130" s="13" t="s">
        <v>5357</v>
      </c>
      <c r="E130" s="13" t="s">
        <v>5640</v>
      </c>
      <c r="F130" s="13" t="s">
        <v>5622</v>
      </c>
      <c r="G130" s="13" t="s">
        <v>5398</v>
      </c>
      <c r="H130" s="13" t="s">
        <v>5399</v>
      </c>
      <c r="I130" s="14">
        <v>68</v>
      </c>
    </row>
    <row r="131" spans="1:9" x14ac:dyDescent="0.25">
      <c r="A131" s="16" t="s">
        <v>724</v>
      </c>
      <c r="B131" s="17" t="s">
        <v>5641</v>
      </c>
      <c r="C131" s="17" t="s">
        <v>5642</v>
      </c>
      <c r="D131" s="17" t="s">
        <v>5357</v>
      </c>
      <c r="E131" s="17" t="s">
        <v>5429</v>
      </c>
      <c r="F131" s="17" t="s">
        <v>5430</v>
      </c>
      <c r="G131" s="17" t="s">
        <v>5398</v>
      </c>
      <c r="H131" s="17" t="s">
        <v>5399</v>
      </c>
      <c r="I131" s="18">
        <v>61</v>
      </c>
    </row>
    <row r="132" spans="1:9" x14ac:dyDescent="0.25">
      <c r="A132" s="12" t="s">
        <v>75</v>
      </c>
      <c r="B132" s="13" t="s">
        <v>5641</v>
      </c>
      <c r="C132" s="13" t="s">
        <v>5643</v>
      </c>
      <c r="D132" s="13" t="s">
        <v>5357</v>
      </c>
      <c r="E132" s="13" t="s">
        <v>5644</v>
      </c>
      <c r="F132" s="13" t="s">
        <v>5645</v>
      </c>
      <c r="G132" s="13" t="s">
        <v>5366</v>
      </c>
      <c r="H132" s="13" t="s">
        <v>5367</v>
      </c>
      <c r="I132" s="14">
        <v>75</v>
      </c>
    </row>
    <row r="133" spans="1:9" x14ac:dyDescent="0.25">
      <c r="A133" s="12" t="s">
        <v>758</v>
      </c>
      <c r="B133" s="13" t="s">
        <v>5641</v>
      </c>
      <c r="C133" s="13" t="s">
        <v>5646</v>
      </c>
      <c r="D133" s="13" t="s">
        <v>5357</v>
      </c>
      <c r="E133" s="13" t="s">
        <v>5415</v>
      </c>
      <c r="F133" s="13" t="s">
        <v>5415</v>
      </c>
      <c r="G133" s="13" t="s">
        <v>5344</v>
      </c>
      <c r="H133" s="13" t="s">
        <v>5345</v>
      </c>
      <c r="I133" s="14">
        <v>38</v>
      </c>
    </row>
    <row r="134" spans="1:9" x14ac:dyDescent="0.25">
      <c r="A134" s="16" t="s">
        <v>133</v>
      </c>
      <c r="B134" s="17" t="s">
        <v>5647</v>
      </c>
      <c r="C134" s="17" t="s">
        <v>5648</v>
      </c>
      <c r="D134" s="17" t="s">
        <v>5357</v>
      </c>
      <c r="E134" s="17" t="s">
        <v>5649</v>
      </c>
      <c r="F134" s="17" t="s">
        <v>5558</v>
      </c>
      <c r="G134" s="17" t="s">
        <v>5366</v>
      </c>
      <c r="H134" s="17" t="s">
        <v>5367</v>
      </c>
      <c r="I134" s="18">
        <v>48</v>
      </c>
    </row>
    <row r="135" spans="1:9" x14ac:dyDescent="0.25">
      <c r="A135" s="12" t="s">
        <v>1074</v>
      </c>
      <c r="B135" s="13" t="s">
        <v>5650</v>
      </c>
      <c r="C135" s="13" t="s">
        <v>5651</v>
      </c>
      <c r="D135" s="13" t="s">
        <v>5341</v>
      </c>
      <c r="E135" s="13" t="s">
        <v>5652</v>
      </c>
      <c r="F135" s="13" t="s">
        <v>5476</v>
      </c>
      <c r="G135" s="13" t="s">
        <v>5344</v>
      </c>
      <c r="H135" s="13" t="s">
        <v>5345</v>
      </c>
      <c r="I135" s="14">
        <v>31</v>
      </c>
    </row>
    <row r="136" spans="1:9" x14ac:dyDescent="0.25">
      <c r="A136" s="16" t="s">
        <v>358</v>
      </c>
      <c r="B136" s="17" t="s">
        <v>5653</v>
      </c>
      <c r="C136" s="17" t="s">
        <v>5654</v>
      </c>
      <c r="D136" s="17" t="s">
        <v>5350</v>
      </c>
      <c r="E136" s="17" t="s">
        <v>5655</v>
      </c>
      <c r="F136" s="17" t="s">
        <v>5394</v>
      </c>
      <c r="G136" s="17" t="s">
        <v>5366</v>
      </c>
      <c r="H136" s="17" t="s">
        <v>5367</v>
      </c>
      <c r="I136" s="18">
        <v>54</v>
      </c>
    </row>
    <row r="137" spans="1:9" x14ac:dyDescent="0.25">
      <c r="A137" s="12" t="s">
        <v>1045</v>
      </c>
      <c r="B137" s="13" t="s">
        <v>5653</v>
      </c>
      <c r="C137" s="13" t="s">
        <v>5654</v>
      </c>
      <c r="D137" s="13" t="s">
        <v>5350</v>
      </c>
      <c r="E137" s="13" t="s">
        <v>5435</v>
      </c>
      <c r="F137" s="13" t="s">
        <v>5436</v>
      </c>
      <c r="G137" s="13" t="s">
        <v>5353</v>
      </c>
      <c r="H137" s="13" t="s">
        <v>5354</v>
      </c>
      <c r="I137" s="14">
        <v>49</v>
      </c>
    </row>
    <row r="138" spans="1:9" x14ac:dyDescent="0.25">
      <c r="A138" s="16" t="s">
        <v>404</v>
      </c>
      <c r="B138" s="17" t="s">
        <v>5656</v>
      </c>
      <c r="C138" s="17" t="s">
        <v>5657</v>
      </c>
      <c r="D138" s="17" t="s">
        <v>5341</v>
      </c>
      <c r="E138" s="17" t="s">
        <v>5442</v>
      </c>
      <c r="F138" s="17" t="s">
        <v>5363</v>
      </c>
      <c r="G138" s="17" t="s">
        <v>5353</v>
      </c>
      <c r="H138" s="17" t="s">
        <v>5354</v>
      </c>
      <c r="I138" s="18">
        <v>28</v>
      </c>
    </row>
    <row r="139" spans="1:9" x14ac:dyDescent="0.25">
      <c r="A139" s="16" t="s">
        <v>610</v>
      </c>
      <c r="B139" s="17" t="s">
        <v>5656</v>
      </c>
      <c r="C139" s="17" t="s">
        <v>5657</v>
      </c>
      <c r="D139" s="17" t="s">
        <v>5341</v>
      </c>
      <c r="E139" s="17" t="s">
        <v>5658</v>
      </c>
      <c r="F139" s="17" t="s">
        <v>5498</v>
      </c>
      <c r="G139" s="17" t="s">
        <v>5370</v>
      </c>
      <c r="H139" s="17" t="s">
        <v>5371</v>
      </c>
      <c r="I139" s="18">
        <v>53</v>
      </c>
    </row>
    <row r="140" spans="1:9" x14ac:dyDescent="0.25">
      <c r="A140" s="12" t="s">
        <v>590</v>
      </c>
      <c r="B140" s="13" t="s">
        <v>5659</v>
      </c>
      <c r="C140" s="13" t="s">
        <v>5660</v>
      </c>
      <c r="D140" s="13" t="s">
        <v>5350</v>
      </c>
      <c r="E140" s="13" t="s">
        <v>5661</v>
      </c>
      <c r="F140" s="13" t="s">
        <v>5661</v>
      </c>
      <c r="G140" s="13" t="s">
        <v>5370</v>
      </c>
      <c r="H140" s="13" t="s">
        <v>5371</v>
      </c>
      <c r="I140" s="14">
        <v>25</v>
      </c>
    </row>
    <row r="141" spans="1:9" x14ac:dyDescent="0.25">
      <c r="A141" s="16" t="s">
        <v>644</v>
      </c>
      <c r="B141" s="17" t="s">
        <v>5662</v>
      </c>
      <c r="C141" s="17" t="s">
        <v>5663</v>
      </c>
      <c r="D141" s="17" t="s">
        <v>5357</v>
      </c>
      <c r="E141" s="17" t="s">
        <v>5664</v>
      </c>
      <c r="F141" s="17" t="s">
        <v>5423</v>
      </c>
      <c r="G141" s="17" t="s">
        <v>5398</v>
      </c>
      <c r="H141" s="17" t="s">
        <v>5399</v>
      </c>
      <c r="I141" s="18">
        <v>57</v>
      </c>
    </row>
    <row r="142" spans="1:9" x14ac:dyDescent="0.25">
      <c r="A142" s="12" t="s">
        <v>68</v>
      </c>
      <c r="B142" s="13" t="s">
        <v>5665</v>
      </c>
      <c r="C142" s="13" t="s">
        <v>5666</v>
      </c>
      <c r="D142" s="13" t="s">
        <v>5341</v>
      </c>
      <c r="E142" s="13" t="s">
        <v>5471</v>
      </c>
      <c r="F142" s="13" t="s">
        <v>5352</v>
      </c>
      <c r="G142" s="13" t="s">
        <v>5353</v>
      </c>
      <c r="H142" s="13" t="s">
        <v>5354</v>
      </c>
      <c r="I142" s="14">
        <v>53</v>
      </c>
    </row>
    <row r="143" spans="1:9" x14ac:dyDescent="0.25">
      <c r="A143" s="12" t="s">
        <v>928</v>
      </c>
      <c r="B143" s="13" t="s">
        <v>5665</v>
      </c>
      <c r="C143" s="13" t="s">
        <v>5666</v>
      </c>
      <c r="D143" s="13" t="s">
        <v>5357</v>
      </c>
      <c r="E143" s="13" t="s">
        <v>5667</v>
      </c>
      <c r="F143" s="13" t="s">
        <v>5436</v>
      </c>
      <c r="G143" s="13" t="s">
        <v>5353</v>
      </c>
      <c r="H143" s="13" t="s">
        <v>5354</v>
      </c>
      <c r="I143" s="14">
        <v>68</v>
      </c>
    </row>
    <row r="144" spans="1:9" x14ac:dyDescent="0.25">
      <c r="A144" s="16" t="s">
        <v>323</v>
      </c>
      <c r="B144" s="17" t="s">
        <v>5665</v>
      </c>
      <c r="C144" s="17" t="s">
        <v>5666</v>
      </c>
      <c r="D144" s="17" t="s">
        <v>5350</v>
      </c>
      <c r="E144" s="17" t="s">
        <v>5668</v>
      </c>
      <c r="F144" s="17" t="s">
        <v>5669</v>
      </c>
      <c r="G144" s="17" t="s">
        <v>5370</v>
      </c>
      <c r="H144" s="17" t="s">
        <v>5371</v>
      </c>
      <c r="I144" s="18">
        <v>77</v>
      </c>
    </row>
    <row r="145" spans="1:9" x14ac:dyDescent="0.25">
      <c r="A145" s="16" t="s">
        <v>341</v>
      </c>
      <c r="B145" s="17" t="s">
        <v>5670</v>
      </c>
      <c r="C145" s="17" t="s">
        <v>5671</v>
      </c>
      <c r="D145" s="17" t="s">
        <v>5357</v>
      </c>
      <c r="E145" s="17" t="s">
        <v>5400</v>
      </c>
      <c r="F145" s="17" t="s">
        <v>5400</v>
      </c>
      <c r="G145" s="17" t="s">
        <v>5344</v>
      </c>
      <c r="H145" s="17" t="s">
        <v>5345</v>
      </c>
      <c r="I145" s="18">
        <v>59</v>
      </c>
    </row>
    <row r="146" spans="1:9" x14ac:dyDescent="0.25">
      <c r="A146" s="16" t="s">
        <v>996</v>
      </c>
      <c r="B146" s="17" t="s">
        <v>5672</v>
      </c>
      <c r="C146" s="17" t="s">
        <v>5673</v>
      </c>
      <c r="D146" s="17" t="s">
        <v>5357</v>
      </c>
      <c r="E146" s="17" t="s">
        <v>5455</v>
      </c>
      <c r="F146" s="17" t="s">
        <v>5436</v>
      </c>
      <c r="G146" s="17" t="s">
        <v>5353</v>
      </c>
      <c r="H146" s="17" t="s">
        <v>5354</v>
      </c>
      <c r="I146" s="18">
        <v>51</v>
      </c>
    </row>
    <row r="147" spans="1:9" x14ac:dyDescent="0.25">
      <c r="A147" s="16" t="s">
        <v>1139</v>
      </c>
      <c r="B147" s="17" t="s">
        <v>5672</v>
      </c>
      <c r="C147" s="17" t="s">
        <v>5674</v>
      </c>
      <c r="D147" s="17" t="s">
        <v>5341</v>
      </c>
      <c r="E147" s="17" t="s">
        <v>5455</v>
      </c>
      <c r="F147" s="17" t="s">
        <v>5436</v>
      </c>
      <c r="G147" s="17" t="s">
        <v>5353</v>
      </c>
      <c r="H147" s="17" t="s">
        <v>5354</v>
      </c>
      <c r="I147" s="18">
        <v>38</v>
      </c>
    </row>
    <row r="148" spans="1:9" x14ac:dyDescent="0.25">
      <c r="A148" s="12" t="s">
        <v>612</v>
      </c>
      <c r="B148" s="13" t="s">
        <v>5672</v>
      </c>
      <c r="C148" s="13" t="s">
        <v>5673</v>
      </c>
      <c r="D148" s="13" t="s">
        <v>5341</v>
      </c>
      <c r="E148" s="13" t="s">
        <v>5675</v>
      </c>
      <c r="F148" s="13" t="s">
        <v>5369</v>
      </c>
      <c r="G148" s="13" t="s">
        <v>5370</v>
      </c>
      <c r="H148" s="13" t="s">
        <v>5371</v>
      </c>
      <c r="I148" s="14">
        <v>60</v>
      </c>
    </row>
    <row r="149" spans="1:9" x14ac:dyDescent="0.25">
      <c r="A149" s="12" t="s">
        <v>722</v>
      </c>
      <c r="B149" s="13" t="s">
        <v>5672</v>
      </c>
      <c r="C149" s="13" t="s">
        <v>5674</v>
      </c>
      <c r="D149" s="13" t="s">
        <v>5341</v>
      </c>
      <c r="E149" s="13" t="s">
        <v>5676</v>
      </c>
      <c r="F149" s="13" t="s">
        <v>5677</v>
      </c>
      <c r="G149" s="13" t="s">
        <v>5344</v>
      </c>
      <c r="H149" s="13" t="s">
        <v>5345</v>
      </c>
      <c r="I149" s="14">
        <v>33</v>
      </c>
    </row>
    <row r="150" spans="1:9" x14ac:dyDescent="0.25">
      <c r="A150" s="12" t="s">
        <v>774</v>
      </c>
      <c r="B150" s="13" t="s">
        <v>5678</v>
      </c>
      <c r="C150" s="13" t="s">
        <v>5679</v>
      </c>
      <c r="D150" s="13" t="s">
        <v>5357</v>
      </c>
      <c r="E150" s="13" t="s">
        <v>5485</v>
      </c>
      <c r="F150" s="13" t="s">
        <v>5486</v>
      </c>
      <c r="G150" s="13" t="s">
        <v>5398</v>
      </c>
      <c r="H150" s="13" t="s">
        <v>5399</v>
      </c>
      <c r="I150" s="14">
        <v>62</v>
      </c>
    </row>
    <row r="151" spans="1:9" x14ac:dyDescent="0.25">
      <c r="A151" s="12" t="s">
        <v>1002</v>
      </c>
      <c r="B151" s="13" t="s">
        <v>5680</v>
      </c>
      <c r="C151" s="13" t="s">
        <v>5545</v>
      </c>
      <c r="D151" s="13" t="s">
        <v>5350</v>
      </c>
      <c r="E151" s="13" t="s">
        <v>5426</v>
      </c>
      <c r="F151" s="13" t="s">
        <v>5352</v>
      </c>
      <c r="G151" s="13" t="s">
        <v>5353</v>
      </c>
      <c r="H151" s="13" t="s">
        <v>5354</v>
      </c>
      <c r="I151" s="14">
        <v>31</v>
      </c>
    </row>
    <row r="152" spans="1:9" x14ac:dyDescent="0.25">
      <c r="A152" s="12" t="s">
        <v>2698</v>
      </c>
      <c r="B152" s="13" t="s">
        <v>5681</v>
      </c>
      <c r="C152" s="13" t="s">
        <v>5682</v>
      </c>
      <c r="D152" s="13" t="s">
        <v>5341</v>
      </c>
      <c r="E152" s="13" t="s">
        <v>5426</v>
      </c>
      <c r="F152" s="13" t="s">
        <v>5352</v>
      </c>
      <c r="G152" s="13" t="s">
        <v>5353</v>
      </c>
      <c r="H152" s="13" t="s">
        <v>5354</v>
      </c>
      <c r="I152" s="14">
        <v>52</v>
      </c>
    </row>
    <row r="153" spans="1:9" x14ac:dyDescent="0.25">
      <c r="A153" s="12" t="s">
        <v>628</v>
      </c>
      <c r="B153" s="13" t="s">
        <v>5681</v>
      </c>
      <c r="C153" s="13" t="s">
        <v>5683</v>
      </c>
      <c r="D153" s="13" t="s">
        <v>5341</v>
      </c>
      <c r="E153" s="13" t="s">
        <v>5684</v>
      </c>
      <c r="F153" s="13" t="s">
        <v>5685</v>
      </c>
      <c r="G153" s="13" t="s">
        <v>5366</v>
      </c>
      <c r="H153" s="13" t="s">
        <v>5367</v>
      </c>
      <c r="I153" s="14">
        <v>55</v>
      </c>
    </row>
    <row r="154" spans="1:9" x14ac:dyDescent="0.25">
      <c r="A154" s="16" t="s">
        <v>635</v>
      </c>
      <c r="B154" s="17" t="s">
        <v>5686</v>
      </c>
      <c r="C154" s="17" t="s">
        <v>5687</v>
      </c>
      <c r="D154" s="17" t="s">
        <v>5357</v>
      </c>
      <c r="E154" s="17" t="s">
        <v>5472</v>
      </c>
      <c r="F154" s="17" t="s">
        <v>5352</v>
      </c>
      <c r="G154" s="17" t="s">
        <v>5353</v>
      </c>
      <c r="H154" s="17" t="s">
        <v>5354</v>
      </c>
      <c r="I154" s="18">
        <v>60</v>
      </c>
    </row>
    <row r="155" spans="1:9" x14ac:dyDescent="0.25">
      <c r="A155" s="12" t="s">
        <v>98</v>
      </c>
      <c r="B155" s="13" t="s">
        <v>5686</v>
      </c>
      <c r="C155" s="13" t="s">
        <v>5688</v>
      </c>
      <c r="D155" s="13" t="s">
        <v>5357</v>
      </c>
      <c r="E155" s="13" t="s">
        <v>5431</v>
      </c>
      <c r="F155" s="13" t="s">
        <v>5431</v>
      </c>
      <c r="G155" s="13" t="s">
        <v>5370</v>
      </c>
      <c r="H155" s="13" t="s">
        <v>5371</v>
      </c>
      <c r="I155" s="14">
        <v>69</v>
      </c>
    </row>
    <row r="156" spans="1:9" x14ac:dyDescent="0.25">
      <c r="A156" s="16" t="s">
        <v>281</v>
      </c>
      <c r="B156" s="17" t="s">
        <v>5686</v>
      </c>
      <c r="C156" s="17" t="s">
        <v>5688</v>
      </c>
      <c r="D156" s="17" t="s">
        <v>5357</v>
      </c>
      <c r="E156" s="17" t="s">
        <v>5442</v>
      </c>
      <c r="F156" s="17" t="s">
        <v>5363</v>
      </c>
      <c r="G156" s="17" t="s">
        <v>5353</v>
      </c>
      <c r="H156" s="17" t="s">
        <v>5354</v>
      </c>
      <c r="I156" s="18">
        <v>68</v>
      </c>
    </row>
    <row r="157" spans="1:9" x14ac:dyDescent="0.25">
      <c r="A157" s="12" t="s">
        <v>1201</v>
      </c>
      <c r="B157" s="13" t="s">
        <v>5686</v>
      </c>
      <c r="C157" s="13" t="s">
        <v>5689</v>
      </c>
      <c r="D157" s="13" t="s">
        <v>5350</v>
      </c>
      <c r="E157" s="13" t="s">
        <v>5690</v>
      </c>
      <c r="F157" s="13" t="s">
        <v>5691</v>
      </c>
      <c r="G157" s="13" t="s">
        <v>5398</v>
      </c>
      <c r="H157" s="13" t="s">
        <v>5399</v>
      </c>
      <c r="I157" s="14">
        <v>35</v>
      </c>
    </row>
    <row r="158" spans="1:9" x14ac:dyDescent="0.25">
      <c r="A158" s="16" t="s">
        <v>1286</v>
      </c>
      <c r="B158" s="17" t="s">
        <v>5692</v>
      </c>
      <c r="C158" s="17" t="s">
        <v>5693</v>
      </c>
      <c r="D158" s="17" t="s">
        <v>5357</v>
      </c>
      <c r="E158" s="17" t="s">
        <v>5694</v>
      </c>
      <c r="F158" s="17" t="s">
        <v>5486</v>
      </c>
      <c r="G158" s="17" t="s">
        <v>5398</v>
      </c>
      <c r="H158" s="17" t="s">
        <v>5399</v>
      </c>
      <c r="I158" s="18">
        <v>70</v>
      </c>
    </row>
    <row r="159" spans="1:9" x14ac:dyDescent="0.25">
      <c r="A159" s="16" t="s">
        <v>120</v>
      </c>
      <c r="B159" s="17" t="s">
        <v>5695</v>
      </c>
      <c r="C159" s="17" t="s">
        <v>5696</v>
      </c>
      <c r="D159" s="17" t="s">
        <v>5357</v>
      </c>
      <c r="E159" s="17" t="s">
        <v>5697</v>
      </c>
      <c r="F159" s="17" t="s">
        <v>5359</v>
      </c>
      <c r="G159" s="17" t="s">
        <v>5344</v>
      </c>
      <c r="H159" s="17" t="s">
        <v>5345</v>
      </c>
      <c r="I159" s="18">
        <v>71</v>
      </c>
    </row>
    <row r="160" spans="1:9" x14ac:dyDescent="0.25">
      <c r="A160" s="16" t="s">
        <v>1233</v>
      </c>
      <c r="B160" s="17" t="s">
        <v>5695</v>
      </c>
      <c r="C160" s="17" t="s">
        <v>5696</v>
      </c>
      <c r="D160" s="17" t="s">
        <v>5357</v>
      </c>
      <c r="E160" s="17" t="s">
        <v>5698</v>
      </c>
      <c r="F160" s="17" t="s">
        <v>5359</v>
      </c>
      <c r="G160" s="17" t="s">
        <v>5344</v>
      </c>
      <c r="H160" s="17" t="s">
        <v>5345</v>
      </c>
      <c r="I160" s="18">
        <v>43</v>
      </c>
    </row>
    <row r="161" spans="1:9" x14ac:dyDescent="0.25">
      <c r="A161" s="16" t="s">
        <v>1198</v>
      </c>
      <c r="B161" s="17" t="s">
        <v>5699</v>
      </c>
      <c r="C161" s="17" t="s">
        <v>5700</v>
      </c>
      <c r="D161" s="17" t="s">
        <v>5341</v>
      </c>
      <c r="E161" s="17" t="s">
        <v>5458</v>
      </c>
      <c r="F161" s="17" t="s">
        <v>5454</v>
      </c>
      <c r="G161" s="17" t="s">
        <v>5353</v>
      </c>
      <c r="H161" s="17" t="s">
        <v>5354</v>
      </c>
      <c r="I161" s="18">
        <v>76</v>
      </c>
    </row>
    <row r="162" spans="1:9" x14ac:dyDescent="0.25">
      <c r="A162" s="16" t="s">
        <v>81</v>
      </c>
      <c r="B162" s="17" t="s">
        <v>5701</v>
      </c>
      <c r="C162" s="17" t="s">
        <v>5702</v>
      </c>
      <c r="D162" s="17" t="s">
        <v>5341</v>
      </c>
      <c r="E162" s="17" t="s">
        <v>5489</v>
      </c>
      <c r="F162" s="17" t="s">
        <v>5390</v>
      </c>
      <c r="G162" s="17" t="s">
        <v>5353</v>
      </c>
      <c r="H162" s="17" t="s">
        <v>5354</v>
      </c>
      <c r="I162" s="18">
        <v>52</v>
      </c>
    </row>
    <row r="163" spans="1:9" x14ac:dyDescent="0.25">
      <c r="A163" s="12" t="s">
        <v>1984</v>
      </c>
      <c r="B163" s="13" t="s">
        <v>5701</v>
      </c>
      <c r="C163" s="13" t="s">
        <v>5703</v>
      </c>
      <c r="D163" s="13" t="s">
        <v>5357</v>
      </c>
      <c r="E163" s="13" t="s">
        <v>5475</v>
      </c>
      <c r="F163" s="13" t="s">
        <v>5476</v>
      </c>
      <c r="G163" s="13" t="s">
        <v>5344</v>
      </c>
      <c r="H163" s="13" t="s">
        <v>5345</v>
      </c>
      <c r="I163" s="14">
        <v>33</v>
      </c>
    </row>
    <row r="164" spans="1:9" x14ac:dyDescent="0.25">
      <c r="A164" s="12" t="s">
        <v>1956</v>
      </c>
      <c r="B164" s="13" t="s">
        <v>5701</v>
      </c>
      <c r="C164" s="13" t="s">
        <v>5704</v>
      </c>
      <c r="D164" s="13" t="s">
        <v>5350</v>
      </c>
      <c r="E164" s="13" t="s">
        <v>5705</v>
      </c>
      <c r="F164" s="13" t="s">
        <v>5423</v>
      </c>
      <c r="G164" s="13" t="s">
        <v>5398</v>
      </c>
      <c r="H164" s="13" t="s">
        <v>5399</v>
      </c>
      <c r="I164" s="14">
        <v>33</v>
      </c>
    </row>
    <row r="165" spans="1:9" x14ac:dyDescent="0.25">
      <c r="A165" s="12" t="s">
        <v>1549</v>
      </c>
      <c r="B165" s="13" t="s">
        <v>5701</v>
      </c>
      <c r="C165" s="13" t="s">
        <v>5702</v>
      </c>
      <c r="D165" s="13" t="s">
        <v>5357</v>
      </c>
      <c r="E165" s="13" t="s">
        <v>5576</v>
      </c>
      <c r="F165" s="13" t="s">
        <v>5423</v>
      </c>
      <c r="G165" s="13" t="s">
        <v>5398</v>
      </c>
      <c r="H165" s="13" t="s">
        <v>5399</v>
      </c>
      <c r="I165" s="14">
        <v>39</v>
      </c>
    </row>
    <row r="166" spans="1:9" x14ac:dyDescent="0.25">
      <c r="A166" s="16" t="s">
        <v>607</v>
      </c>
      <c r="B166" s="17" t="s">
        <v>5701</v>
      </c>
      <c r="C166" s="17" t="s">
        <v>5702</v>
      </c>
      <c r="D166" s="17" t="s">
        <v>5357</v>
      </c>
      <c r="E166" s="17" t="s">
        <v>5706</v>
      </c>
      <c r="F166" s="17" t="s">
        <v>5622</v>
      </c>
      <c r="G166" s="17" t="s">
        <v>5398</v>
      </c>
      <c r="H166" s="17" t="s">
        <v>5399</v>
      </c>
      <c r="I166" s="18">
        <v>60</v>
      </c>
    </row>
    <row r="167" spans="1:9" x14ac:dyDescent="0.25">
      <c r="A167" s="12" t="s">
        <v>560</v>
      </c>
      <c r="B167" s="13" t="s">
        <v>5707</v>
      </c>
      <c r="C167" s="13" t="s">
        <v>5708</v>
      </c>
      <c r="D167" s="13" t="s">
        <v>5357</v>
      </c>
      <c r="E167" s="13" t="s">
        <v>5709</v>
      </c>
      <c r="F167" s="13" t="s">
        <v>5365</v>
      </c>
      <c r="G167" s="13" t="s">
        <v>5366</v>
      </c>
      <c r="H167" s="13" t="s">
        <v>5367</v>
      </c>
      <c r="I167" s="14">
        <v>67</v>
      </c>
    </row>
    <row r="168" spans="1:9" x14ac:dyDescent="0.25">
      <c r="A168" s="12" t="s">
        <v>83</v>
      </c>
      <c r="B168" s="13" t="s">
        <v>5710</v>
      </c>
      <c r="C168" s="13" t="s">
        <v>5642</v>
      </c>
      <c r="D168" s="13" t="s">
        <v>5341</v>
      </c>
      <c r="E168" s="13" t="s">
        <v>5342</v>
      </c>
      <c r="F168" s="13" t="s">
        <v>5343</v>
      </c>
      <c r="G168" s="13" t="s">
        <v>5344</v>
      </c>
      <c r="H168" s="13" t="s">
        <v>5345</v>
      </c>
      <c r="I168" s="14">
        <v>54</v>
      </c>
    </row>
    <row r="169" spans="1:9" x14ac:dyDescent="0.25">
      <c r="A169" s="16" t="s">
        <v>2153</v>
      </c>
      <c r="B169" s="17" t="s">
        <v>5710</v>
      </c>
      <c r="C169" s="17" t="s">
        <v>5711</v>
      </c>
      <c r="D169" s="17" t="s">
        <v>5357</v>
      </c>
      <c r="E169" s="17" t="s">
        <v>5489</v>
      </c>
      <c r="F169" s="17" t="s">
        <v>5390</v>
      </c>
      <c r="G169" s="17" t="s">
        <v>5353</v>
      </c>
      <c r="H169" s="17" t="s">
        <v>5354</v>
      </c>
      <c r="I169" s="18">
        <v>29</v>
      </c>
    </row>
    <row r="170" spans="1:9" x14ac:dyDescent="0.25">
      <c r="A170" s="12" t="s">
        <v>305</v>
      </c>
      <c r="B170" s="13" t="s">
        <v>5710</v>
      </c>
      <c r="C170" s="13" t="s">
        <v>5712</v>
      </c>
      <c r="D170" s="13" t="s">
        <v>5357</v>
      </c>
      <c r="E170" s="13" t="s">
        <v>5455</v>
      </c>
      <c r="F170" s="13" t="s">
        <v>5436</v>
      </c>
      <c r="G170" s="13" t="s">
        <v>5353</v>
      </c>
      <c r="H170" s="13" t="s">
        <v>5354</v>
      </c>
      <c r="I170" s="14">
        <v>56</v>
      </c>
    </row>
    <row r="171" spans="1:9" x14ac:dyDescent="0.25">
      <c r="A171" s="12" t="s">
        <v>1080</v>
      </c>
      <c r="B171" s="13" t="s">
        <v>5710</v>
      </c>
      <c r="C171" s="13" t="s">
        <v>5711</v>
      </c>
      <c r="D171" s="13" t="s">
        <v>5357</v>
      </c>
      <c r="E171" s="13" t="s">
        <v>5442</v>
      </c>
      <c r="F171" s="13" t="s">
        <v>5363</v>
      </c>
      <c r="G171" s="13" t="s">
        <v>5353</v>
      </c>
      <c r="H171" s="13" t="s">
        <v>5354</v>
      </c>
      <c r="I171" s="14">
        <v>40</v>
      </c>
    </row>
    <row r="172" spans="1:9" x14ac:dyDescent="0.25">
      <c r="A172" s="12" t="s">
        <v>176</v>
      </c>
      <c r="B172" s="13" t="s">
        <v>5713</v>
      </c>
      <c r="C172" s="13" t="s">
        <v>5642</v>
      </c>
      <c r="D172" s="13" t="s">
        <v>5350</v>
      </c>
      <c r="E172" s="13" t="s">
        <v>5714</v>
      </c>
      <c r="F172" s="13" t="s">
        <v>5715</v>
      </c>
      <c r="G172" s="13" t="s">
        <v>5366</v>
      </c>
      <c r="H172" s="13" t="s">
        <v>5367</v>
      </c>
      <c r="I172" s="14">
        <v>37</v>
      </c>
    </row>
    <row r="173" spans="1:9" x14ac:dyDescent="0.25">
      <c r="A173" s="12" t="s">
        <v>780</v>
      </c>
      <c r="B173" s="13" t="s">
        <v>5713</v>
      </c>
      <c r="C173" s="13" t="s">
        <v>5642</v>
      </c>
      <c r="D173" s="13" t="s">
        <v>5341</v>
      </c>
      <c r="E173" s="13" t="s">
        <v>5716</v>
      </c>
      <c r="F173" s="13" t="s">
        <v>5716</v>
      </c>
      <c r="G173" s="13" t="s">
        <v>5344</v>
      </c>
      <c r="H173" s="13" t="s">
        <v>5345</v>
      </c>
      <c r="I173" s="14">
        <v>27</v>
      </c>
    </row>
    <row r="174" spans="1:9" x14ac:dyDescent="0.25">
      <c r="A174" s="16" t="s">
        <v>343</v>
      </c>
      <c r="B174" s="17" t="s">
        <v>5717</v>
      </c>
      <c r="C174" s="17" t="s">
        <v>5718</v>
      </c>
      <c r="D174" s="17" t="s">
        <v>5357</v>
      </c>
      <c r="E174" s="17" t="s">
        <v>5719</v>
      </c>
      <c r="F174" s="17" t="s">
        <v>5720</v>
      </c>
      <c r="G174" s="17" t="s">
        <v>5398</v>
      </c>
      <c r="H174" s="17" t="s">
        <v>5399</v>
      </c>
      <c r="I174" s="18">
        <v>69</v>
      </c>
    </row>
    <row r="175" spans="1:9" x14ac:dyDescent="0.25">
      <c r="A175" s="16" t="s">
        <v>194</v>
      </c>
      <c r="B175" s="17" t="s">
        <v>5717</v>
      </c>
      <c r="C175" s="17" t="s">
        <v>5721</v>
      </c>
      <c r="D175" s="17" t="s">
        <v>5350</v>
      </c>
      <c r="E175" s="17" t="s">
        <v>5722</v>
      </c>
      <c r="F175" s="17" t="s">
        <v>5580</v>
      </c>
      <c r="G175" s="17" t="s">
        <v>5366</v>
      </c>
      <c r="H175" s="17" t="s">
        <v>5367</v>
      </c>
      <c r="I175" s="18">
        <v>47</v>
      </c>
    </row>
    <row r="176" spans="1:9" x14ac:dyDescent="0.25">
      <c r="A176" s="12" t="s">
        <v>871</v>
      </c>
      <c r="B176" s="13" t="s">
        <v>5717</v>
      </c>
      <c r="C176" s="13" t="s">
        <v>5721</v>
      </c>
      <c r="D176" s="13" t="s">
        <v>5357</v>
      </c>
      <c r="E176" s="13" t="s">
        <v>5723</v>
      </c>
      <c r="F176" s="13" t="s">
        <v>5352</v>
      </c>
      <c r="G176" s="13" t="s">
        <v>5353</v>
      </c>
      <c r="H176" s="13" t="s">
        <v>5354</v>
      </c>
      <c r="I176" s="14">
        <v>42</v>
      </c>
    </row>
    <row r="177" spans="1:9" x14ac:dyDescent="0.25">
      <c r="A177" s="16" t="s">
        <v>1726</v>
      </c>
      <c r="B177" s="17" t="s">
        <v>5717</v>
      </c>
      <c r="C177" s="17" t="s">
        <v>5724</v>
      </c>
      <c r="D177" s="17" t="s">
        <v>5357</v>
      </c>
      <c r="E177" s="17" t="s">
        <v>5725</v>
      </c>
      <c r="F177" s="17" t="s">
        <v>5726</v>
      </c>
      <c r="G177" s="17" t="s">
        <v>5366</v>
      </c>
      <c r="H177" s="17" t="s">
        <v>5367</v>
      </c>
      <c r="I177" s="18">
        <v>44</v>
      </c>
    </row>
    <row r="178" spans="1:9" x14ac:dyDescent="0.25">
      <c r="A178" s="16" t="s">
        <v>1193</v>
      </c>
      <c r="B178" s="17" t="s">
        <v>5717</v>
      </c>
      <c r="C178" s="17" t="s">
        <v>5721</v>
      </c>
      <c r="D178" s="17" t="s">
        <v>5341</v>
      </c>
      <c r="E178" s="17" t="s">
        <v>5727</v>
      </c>
      <c r="F178" s="17" t="s">
        <v>5387</v>
      </c>
      <c r="G178" s="17" t="s">
        <v>5344</v>
      </c>
      <c r="H178" s="17" t="s">
        <v>5345</v>
      </c>
      <c r="I178" s="18">
        <v>46</v>
      </c>
    </row>
    <row r="179" spans="1:9" x14ac:dyDescent="0.25">
      <c r="A179" s="16" t="s">
        <v>734</v>
      </c>
      <c r="B179" s="17" t="s">
        <v>5728</v>
      </c>
      <c r="C179" s="17" t="s">
        <v>5729</v>
      </c>
      <c r="D179" s="17" t="s">
        <v>5357</v>
      </c>
      <c r="E179" s="17" t="s">
        <v>5435</v>
      </c>
      <c r="F179" s="17" t="s">
        <v>5436</v>
      </c>
      <c r="G179" s="17" t="s">
        <v>5353</v>
      </c>
      <c r="H179" s="17" t="s">
        <v>5354</v>
      </c>
      <c r="I179" s="18">
        <v>52</v>
      </c>
    </row>
    <row r="180" spans="1:9" x14ac:dyDescent="0.25">
      <c r="A180" s="12" t="s">
        <v>630</v>
      </c>
      <c r="B180" s="13" t="s">
        <v>5728</v>
      </c>
      <c r="C180" s="13" t="s">
        <v>5729</v>
      </c>
      <c r="D180" s="13" t="s">
        <v>5341</v>
      </c>
      <c r="E180" s="13" t="s">
        <v>5426</v>
      </c>
      <c r="F180" s="13" t="s">
        <v>5352</v>
      </c>
      <c r="G180" s="13" t="s">
        <v>5353</v>
      </c>
      <c r="H180" s="13" t="s">
        <v>5354</v>
      </c>
      <c r="I180" s="14">
        <v>69</v>
      </c>
    </row>
    <row r="181" spans="1:9" x14ac:dyDescent="0.25">
      <c r="A181" s="12" t="s">
        <v>3016</v>
      </c>
      <c r="B181" s="13" t="s">
        <v>5728</v>
      </c>
      <c r="C181" s="13" t="s">
        <v>5730</v>
      </c>
      <c r="D181" s="13" t="s">
        <v>5350</v>
      </c>
      <c r="E181" s="13" t="s">
        <v>5731</v>
      </c>
      <c r="F181" s="13" t="s">
        <v>5394</v>
      </c>
      <c r="G181" s="13" t="s">
        <v>5366</v>
      </c>
      <c r="H181" s="13" t="s">
        <v>5367</v>
      </c>
      <c r="I181" s="14">
        <v>66</v>
      </c>
    </row>
    <row r="182" spans="1:9" x14ac:dyDescent="0.25">
      <c r="A182" s="16" t="s">
        <v>2127</v>
      </c>
      <c r="B182" s="17" t="s">
        <v>5732</v>
      </c>
      <c r="C182" s="17" t="s">
        <v>5733</v>
      </c>
      <c r="D182" s="17" t="s">
        <v>5357</v>
      </c>
      <c r="E182" s="17" t="s">
        <v>5734</v>
      </c>
      <c r="F182" s="17" t="s">
        <v>5397</v>
      </c>
      <c r="G182" s="17" t="s">
        <v>5398</v>
      </c>
      <c r="H182" s="17" t="s">
        <v>5399</v>
      </c>
      <c r="I182" s="18">
        <v>70</v>
      </c>
    </row>
    <row r="183" spans="1:9" x14ac:dyDescent="0.25">
      <c r="A183" s="12" t="s">
        <v>94</v>
      </c>
      <c r="B183" s="13" t="s">
        <v>5735</v>
      </c>
      <c r="C183" s="13" t="s">
        <v>5736</v>
      </c>
      <c r="D183" s="13" t="s">
        <v>5341</v>
      </c>
      <c r="E183" s="13" t="s">
        <v>5455</v>
      </c>
      <c r="F183" s="13" t="s">
        <v>5436</v>
      </c>
      <c r="G183" s="13" t="s">
        <v>5353</v>
      </c>
      <c r="H183" s="13" t="s">
        <v>5354</v>
      </c>
      <c r="I183" s="14">
        <v>70</v>
      </c>
    </row>
    <row r="184" spans="1:9" x14ac:dyDescent="0.25">
      <c r="A184" s="12" t="s">
        <v>761</v>
      </c>
      <c r="B184" s="13" t="s">
        <v>5737</v>
      </c>
      <c r="C184" s="13" t="s">
        <v>5738</v>
      </c>
      <c r="D184" s="13" t="s">
        <v>5341</v>
      </c>
      <c r="E184" s="13" t="s">
        <v>5426</v>
      </c>
      <c r="F184" s="13" t="s">
        <v>5352</v>
      </c>
      <c r="G184" s="13" t="s">
        <v>5353</v>
      </c>
      <c r="H184" s="13" t="s">
        <v>5354</v>
      </c>
      <c r="I184" s="14">
        <v>32</v>
      </c>
    </row>
    <row r="185" spans="1:9" x14ac:dyDescent="0.25">
      <c r="A185" s="12" t="s">
        <v>460</v>
      </c>
      <c r="B185" s="13" t="s">
        <v>5737</v>
      </c>
      <c r="C185" s="13" t="s">
        <v>5739</v>
      </c>
      <c r="D185" s="13" t="s">
        <v>5357</v>
      </c>
      <c r="E185" s="13" t="s">
        <v>5740</v>
      </c>
      <c r="F185" s="13" t="s">
        <v>5359</v>
      </c>
      <c r="G185" s="13" t="s">
        <v>5344</v>
      </c>
      <c r="H185" s="13" t="s">
        <v>5345</v>
      </c>
      <c r="I185" s="14">
        <v>39</v>
      </c>
    </row>
    <row r="186" spans="1:9" x14ac:dyDescent="0.25">
      <c r="A186" s="12" t="s">
        <v>137</v>
      </c>
      <c r="B186" s="13" t="s">
        <v>5741</v>
      </c>
      <c r="C186" s="13" t="s">
        <v>5742</v>
      </c>
      <c r="D186" s="13" t="s">
        <v>5357</v>
      </c>
      <c r="E186" s="13" t="s">
        <v>5743</v>
      </c>
      <c r="F186" s="13" t="s">
        <v>5744</v>
      </c>
      <c r="G186" s="13" t="s">
        <v>5398</v>
      </c>
      <c r="H186" s="13" t="s">
        <v>5399</v>
      </c>
      <c r="I186" s="14">
        <v>53</v>
      </c>
    </row>
    <row r="187" spans="1:9" x14ac:dyDescent="0.25">
      <c r="A187" s="16" t="s">
        <v>531</v>
      </c>
      <c r="B187" s="17" t="s">
        <v>5741</v>
      </c>
      <c r="C187" s="17" t="s">
        <v>5745</v>
      </c>
      <c r="D187" s="17" t="s">
        <v>5357</v>
      </c>
      <c r="E187" s="17" t="s">
        <v>5607</v>
      </c>
      <c r="F187" s="17" t="s">
        <v>5397</v>
      </c>
      <c r="G187" s="17" t="s">
        <v>5398</v>
      </c>
      <c r="H187" s="17" t="s">
        <v>5399</v>
      </c>
      <c r="I187" s="18">
        <v>69</v>
      </c>
    </row>
    <row r="188" spans="1:9" x14ac:dyDescent="0.25">
      <c r="A188" s="16" t="s">
        <v>458</v>
      </c>
      <c r="B188" s="17" t="s">
        <v>5741</v>
      </c>
      <c r="C188" s="17" t="s">
        <v>5745</v>
      </c>
      <c r="D188" s="17" t="s">
        <v>5357</v>
      </c>
      <c r="E188" s="17" t="s">
        <v>5455</v>
      </c>
      <c r="F188" s="17" t="s">
        <v>5436</v>
      </c>
      <c r="G188" s="17" t="s">
        <v>5353</v>
      </c>
      <c r="H188" s="17" t="s">
        <v>5354</v>
      </c>
      <c r="I188" s="18">
        <v>54</v>
      </c>
    </row>
    <row r="189" spans="1:9" x14ac:dyDescent="0.25">
      <c r="A189" s="12" t="s">
        <v>1292</v>
      </c>
      <c r="B189" s="13" t="s">
        <v>5741</v>
      </c>
      <c r="C189" s="13" t="s">
        <v>5746</v>
      </c>
      <c r="D189" s="13" t="s">
        <v>5357</v>
      </c>
      <c r="E189" s="13" t="s">
        <v>5747</v>
      </c>
      <c r="F189" s="13" t="s">
        <v>5454</v>
      </c>
      <c r="G189" s="13" t="s">
        <v>5353</v>
      </c>
      <c r="H189" s="13" t="s">
        <v>5354</v>
      </c>
      <c r="I189" s="14">
        <v>30</v>
      </c>
    </row>
    <row r="190" spans="1:9" x14ac:dyDescent="0.25">
      <c r="A190" s="12" t="s">
        <v>595</v>
      </c>
      <c r="B190" s="13" t="s">
        <v>5748</v>
      </c>
      <c r="C190" s="13" t="s">
        <v>5749</v>
      </c>
      <c r="D190" s="13" t="s">
        <v>5357</v>
      </c>
      <c r="E190" s="13" t="s">
        <v>5431</v>
      </c>
      <c r="F190" s="13" t="s">
        <v>5431</v>
      </c>
      <c r="G190" s="13" t="s">
        <v>5370</v>
      </c>
      <c r="H190" s="13" t="s">
        <v>5371</v>
      </c>
      <c r="I190" s="14">
        <v>39</v>
      </c>
    </row>
    <row r="191" spans="1:9" x14ac:dyDescent="0.25">
      <c r="A191" s="12" t="s">
        <v>562</v>
      </c>
      <c r="B191" s="13" t="s">
        <v>5750</v>
      </c>
      <c r="C191" s="13" t="s">
        <v>5751</v>
      </c>
      <c r="D191" s="13" t="s">
        <v>5357</v>
      </c>
      <c r="E191" s="13" t="s">
        <v>5613</v>
      </c>
      <c r="F191" s="13" t="s">
        <v>5614</v>
      </c>
      <c r="G191" s="13" t="s">
        <v>5398</v>
      </c>
      <c r="H191" s="13" t="s">
        <v>5399</v>
      </c>
      <c r="I191" s="14">
        <v>53</v>
      </c>
    </row>
    <row r="192" spans="1:9" x14ac:dyDescent="0.25">
      <c r="A192" s="16" t="s">
        <v>1539</v>
      </c>
      <c r="B192" s="17" t="s">
        <v>5752</v>
      </c>
      <c r="C192" s="17" t="s">
        <v>5753</v>
      </c>
      <c r="D192" s="17" t="s">
        <v>5357</v>
      </c>
      <c r="E192" s="17" t="s">
        <v>5754</v>
      </c>
      <c r="F192" s="17" t="s">
        <v>5755</v>
      </c>
      <c r="G192" s="17" t="s">
        <v>5366</v>
      </c>
      <c r="H192" s="17" t="s">
        <v>5367</v>
      </c>
      <c r="I192" s="18">
        <v>72</v>
      </c>
    </row>
    <row r="193" spans="1:9" x14ac:dyDescent="0.25">
      <c r="A193" s="12" t="s">
        <v>1053</v>
      </c>
      <c r="B193" s="13" t="s">
        <v>5756</v>
      </c>
      <c r="C193" s="13" t="s">
        <v>5757</v>
      </c>
      <c r="D193" s="13" t="s">
        <v>5341</v>
      </c>
      <c r="E193" s="13" t="s">
        <v>5541</v>
      </c>
      <c r="F193" s="13" t="s">
        <v>5359</v>
      </c>
      <c r="G193" s="13" t="s">
        <v>5344</v>
      </c>
      <c r="H193" s="13" t="s">
        <v>5345</v>
      </c>
      <c r="I193" s="14">
        <v>52</v>
      </c>
    </row>
    <row r="194" spans="1:9" x14ac:dyDescent="0.25">
      <c r="A194" s="16" t="s">
        <v>142</v>
      </c>
      <c r="B194" s="17" t="s">
        <v>5756</v>
      </c>
      <c r="C194" s="17" t="s">
        <v>5742</v>
      </c>
      <c r="D194" s="17" t="s">
        <v>5357</v>
      </c>
      <c r="E194" s="17" t="s">
        <v>5380</v>
      </c>
      <c r="F194" s="17" t="s">
        <v>5381</v>
      </c>
      <c r="G194" s="17" t="s">
        <v>5353</v>
      </c>
      <c r="H194" s="17" t="s">
        <v>5354</v>
      </c>
      <c r="I194" s="18">
        <v>57</v>
      </c>
    </row>
    <row r="195" spans="1:9" x14ac:dyDescent="0.25">
      <c r="A195" s="16" t="s">
        <v>328</v>
      </c>
      <c r="B195" s="17" t="s">
        <v>5758</v>
      </c>
      <c r="C195" s="17" t="s">
        <v>5759</v>
      </c>
      <c r="D195" s="17" t="s">
        <v>5350</v>
      </c>
      <c r="E195" s="17" t="s">
        <v>5760</v>
      </c>
      <c r="F195" s="17" t="s">
        <v>5585</v>
      </c>
      <c r="G195" s="17" t="s">
        <v>5398</v>
      </c>
      <c r="H195" s="17" t="s">
        <v>5399</v>
      </c>
      <c r="I195" s="18">
        <v>43</v>
      </c>
    </row>
    <row r="196" spans="1:9" x14ac:dyDescent="0.25">
      <c r="A196" s="16" t="s">
        <v>440</v>
      </c>
      <c r="B196" s="17" t="s">
        <v>5761</v>
      </c>
      <c r="C196" s="17" t="s">
        <v>5762</v>
      </c>
      <c r="D196" s="17" t="s">
        <v>5350</v>
      </c>
      <c r="E196" s="17" t="s">
        <v>5763</v>
      </c>
      <c r="F196" s="17" t="s">
        <v>5436</v>
      </c>
      <c r="G196" s="17" t="s">
        <v>5353</v>
      </c>
      <c r="H196" s="17" t="s">
        <v>5354</v>
      </c>
      <c r="I196" s="18">
        <v>35</v>
      </c>
    </row>
    <row r="197" spans="1:9" x14ac:dyDescent="0.25">
      <c r="A197" s="16" t="s">
        <v>921</v>
      </c>
      <c r="B197" s="17" t="s">
        <v>5764</v>
      </c>
      <c r="C197" s="17" t="s">
        <v>5765</v>
      </c>
      <c r="D197" s="17" t="s">
        <v>5357</v>
      </c>
      <c r="E197" s="17" t="s">
        <v>5766</v>
      </c>
      <c r="F197" s="17" t="s">
        <v>5767</v>
      </c>
      <c r="G197" s="17" t="s">
        <v>5370</v>
      </c>
      <c r="H197" s="17" t="s">
        <v>5371</v>
      </c>
      <c r="I197" s="18">
        <v>34</v>
      </c>
    </row>
    <row r="198" spans="1:9" x14ac:dyDescent="0.25">
      <c r="A198" s="12" t="s">
        <v>356</v>
      </c>
      <c r="B198" s="13" t="s">
        <v>5764</v>
      </c>
      <c r="C198" s="13" t="s">
        <v>5515</v>
      </c>
      <c r="D198" s="13" t="s">
        <v>5357</v>
      </c>
      <c r="E198" s="13" t="s">
        <v>5458</v>
      </c>
      <c r="F198" s="13" t="s">
        <v>5454</v>
      </c>
      <c r="G198" s="13" t="s">
        <v>5353</v>
      </c>
      <c r="H198" s="13" t="s">
        <v>5354</v>
      </c>
      <c r="I198" s="14">
        <v>55</v>
      </c>
    </row>
    <row r="199" spans="1:9" x14ac:dyDescent="0.25">
      <c r="A199" s="12" t="s">
        <v>718</v>
      </c>
      <c r="B199" s="13" t="s">
        <v>5764</v>
      </c>
      <c r="C199" s="13" t="s">
        <v>5768</v>
      </c>
      <c r="D199" s="13" t="s">
        <v>5350</v>
      </c>
      <c r="E199" s="13" t="s">
        <v>5706</v>
      </c>
      <c r="F199" s="13" t="s">
        <v>5622</v>
      </c>
      <c r="G199" s="13" t="s">
        <v>5398</v>
      </c>
      <c r="H199" s="13" t="s">
        <v>5399</v>
      </c>
      <c r="I199" s="14">
        <v>70</v>
      </c>
    </row>
    <row r="200" spans="1:9" x14ac:dyDescent="0.25">
      <c r="A200" s="12" t="s">
        <v>706</v>
      </c>
      <c r="B200" s="13" t="s">
        <v>5764</v>
      </c>
      <c r="C200" s="13" t="s">
        <v>5515</v>
      </c>
      <c r="D200" s="13" t="s">
        <v>5341</v>
      </c>
      <c r="E200" s="13" t="s">
        <v>5431</v>
      </c>
      <c r="F200" s="13" t="s">
        <v>5431</v>
      </c>
      <c r="G200" s="13" t="s">
        <v>5370</v>
      </c>
      <c r="H200" s="13" t="s">
        <v>5371</v>
      </c>
      <c r="I200" s="14">
        <v>74</v>
      </c>
    </row>
    <row r="201" spans="1:9" x14ac:dyDescent="0.25">
      <c r="A201" s="16" t="s">
        <v>1569</v>
      </c>
      <c r="B201" s="17" t="s">
        <v>5769</v>
      </c>
      <c r="C201" s="17" t="s">
        <v>5770</v>
      </c>
      <c r="D201" s="17" t="s">
        <v>5341</v>
      </c>
      <c r="E201" s="17" t="s">
        <v>5771</v>
      </c>
      <c r="F201" s="17" t="s">
        <v>5359</v>
      </c>
      <c r="G201" s="17" t="s">
        <v>5344</v>
      </c>
      <c r="H201" s="17" t="s">
        <v>5345</v>
      </c>
      <c r="I201" s="18">
        <v>54</v>
      </c>
    </row>
    <row r="202" spans="1:9" x14ac:dyDescent="0.25">
      <c r="A202" s="12" t="s">
        <v>1102</v>
      </c>
      <c r="B202" s="13" t="s">
        <v>5769</v>
      </c>
      <c r="C202" s="13" t="s">
        <v>5770</v>
      </c>
      <c r="D202" s="13" t="s">
        <v>5357</v>
      </c>
      <c r="E202" s="13" t="s">
        <v>5772</v>
      </c>
      <c r="F202" s="13" t="s">
        <v>5773</v>
      </c>
      <c r="G202" s="13" t="s">
        <v>5370</v>
      </c>
      <c r="H202" s="13" t="s">
        <v>5371</v>
      </c>
      <c r="I202" s="14">
        <v>75</v>
      </c>
    </row>
    <row r="203" spans="1:9" x14ac:dyDescent="0.25">
      <c r="A203" s="16" t="s">
        <v>90</v>
      </c>
      <c r="B203" s="17" t="s">
        <v>5774</v>
      </c>
      <c r="C203" s="17" t="s">
        <v>5775</v>
      </c>
      <c r="D203" s="17" t="s">
        <v>5357</v>
      </c>
      <c r="E203" s="17" t="s">
        <v>5667</v>
      </c>
      <c r="F203" s="17" t="s">
        <v>5436</v>
      </c>
      <c r="G203" s="17" t="s">
        <v>5353</v>
      </c>
      <c r="H203" s="17" t="s">
        <v>5354</v>
      </c>
      <c r="I203" s="18">
        <v>77</v>
      </c>
    </row>
    <row r="204" spans="1:9" x14ac:dyDescent="0.25">
      <c r="A204" s="12" t="s">
        <v>1096</v>
      </c>
      <c r="B204" s="13" t="s">
        <v>5774</v>
      </c>
      <c r="C204" s="13" t="s">
        <v>5775</v>
      </c>
      <c r="D204" s="13" t="s">
        <v>5357</v>
      </c>
      <c r="E204" s="13" t="s">
        <v>5776</v>
      </c>
      <c r="F204" s="13" t="s">
        <v>5407</v>
      </c>
      <c r="G204" s="13" t="s">
        <v>5366</v>
      </c>
      <c r="H204" s="13" t="s">
        <v>5367</v>
      </c>
      <c r="I204" s="14">
        <v>45</v>
      </c>
    </row>
    <row r="205" spans="1:9" x14ac:dyDescent="0.25">
      <c r="A205" s="12" t="s">
        <v>513</v>
      </c>
      <c r="B205" s="13" t="s">
        <v>5777</v>
      </c>
      <c r="C205" s="13" t="s">
        <v>5575</v>
      </c>
      <c r="D205" s="13" t="s">
        <v>5341</v>
      </c>
      <c r="E205" s="13" t="s">
        <v>5400</v>
      </c>
      <c r="F205" s="13" t="s">
        <v>5400</v>
      </c>
      <c r="G205" s="13" t="s">
        <v>5344</v>
      </c>
      <c r="H205" s="13" t="s">
        <v>5345</v>
      </c>
      <c r="I205" s="14">
        <v>79</v>
      </c>
    </row>
    <row r="206" spans="1:9" x14ac:dyDescent="0.25">
      <c r="A206" s="12" t="s">
        <v>1566</v>
      </c>
      <c r="B206" s="13" t="s">
        <v>5777</v>
      </c>
      <c r="C206" s="13" t="s">
        <v>5575</v>
      </c>
      <c r="D206" s="13" t="s">
        <v>5357</v>
      </c>
      <c r="E206" s="13" t="s">
        <v>5778</v>
      </c>
      <c r="F206" s="13" t="s">
        <v>5594</v>
      </c>
      <c r="G206" s="13" t="s">
        <v>5344</v>
      </c>
      <c r="H206" s="13" t="s">
        <v>5345</v>
      </c>
      <c r="I206" s="14">
        <v>49</v>
      </c>
    </row>
    <row r="207" spans="1:9" x14ac:dyDescent="0.25">
      <c r="A207" s="16" t="s">
        <v>668</v>
      </c>
      <c r="B207" s="17" t="s">
        <v>5777</v>
      </c>
      <c r="C207" s="17" t="s">
        <v>5575</v>
      </c>
      <c r="D207" s="17" t="s">
        <v>5350</v>
      </c>
      <c r="E207" s="17" t="s">
        <v>5779</v>
      </c>
      <c r="F207" s="17" t="s">
        <v>5523</v>
      </c>
      <c r="G207" s="17" t="s">
        <v>5398</v>
      </c>
      <c r="H207" s="17" t="s">
        <v>5399</v>
      </c>
      <c r="I207" s="18">
        <v>44</v>
      </c>
    </row>
    <row r="208" spans="1:9" x14ac:dyDescent="0.25">
      <c r="A208" s="12" t="s">
        <v>593</v>
      </c>
      <c r="B208" s="13" t="s">
        <v>5780</v>
      </c>
      <c r="C208" s="13" t="s">
        <v>5781</v>
      </c>
      <c r="D208" s="13" t="s">
        <v>5341</v>
      </c>
      <c r="E208" s="13" t="s">
        <v>5522</v>
      </c>
      <c r="F208" s="13" t="s">
        <v>5523</v>
      </c>
      <c r="G208" s="13" t="s">
        <v>5398</v>
      </c>
      <c r="H208" s="13" t="s">
        <v>5399</v>
      </c>
      <c r="I208" s="14">
        <v>79</v>
      </c>
    </row>
    <row r="209" spans="1:9" x14ac:dyDescent="0.25">
      <c r="A209" s="16" t="s">
        <v>816</v>
      </c>
      <c r="B209" s="17" t="s">
        <v>5782</v>
      </c>
      <c r="C209" s="17" t="s">
        <v>5783</v>
      </c>
      <c r="D209" s="17" t="s">
        <v>5350</v>
      </c>
      <c r="E209" s="17" t="s">
        <v>5784</v>
      </c>
      <c r="F209" s="17" t="s">
        <v>5486</v>
      </c>
      <c r="G209" s="17" t="s">
        <v>5398</v>
      </c>
      <c r="H209" s="17" t="s">
        <v>5399</v>
      </c>
      <c r="I209" s="18">
        <v>38</v>
      </c>
    </row>
    <row r="210" spans="1:9" x14ac:dyDescent="0.25">
      <c r="A210" s="12" t="s">
        <v>108</v>
      </c>
      <c r="B210" s="13" t="s">
        <v>5782</v>
      </c>
      <c r="C210" s="13" t="s">
        <v>5785</v>
      </c>
      <c r="D210" s="13" t="s">
        <v>5341</v>
      </c>
      <c r="E210" s="13" t="s">
        <v>5471</v>
      </c>
      <c r="F210" s="13" t="s">
        <v>5352</v>
      </c>
      <c r="G210" s="13" t="s">
        <v>5353</v>
      </c>
      <c r="H210" s="13" t="s">
        <v>5354</v>
      </c>
      <c r="I210" s="14">
        <v>36</v>
      </c>
    </row>
    <row r="211" spans="1:9" x14ac:dyDescent="0.25">
      <c r="A211" s="12" t="s">
        <v>1722</v>
      </c>
      <c r="B211" s="13" t="s">
        <v>5782</v>
      </c>
      <c r="C211" s="13" t="s">
        <v>5785</v>
      </c>
      <c r="D211" s="13" t="s">
        <v>5357</v>
      </c>
      <c r="E211" s="13" t="s">
        <v>5786</v>
      </c>
      <c r="F211" s="13" t="s">
        <v>5512</v>
      </c>
      <c r="G211" s="13" t="s">
        <v>5398</v>
      </c>
      <c r="H211" s="13" t="s">
        <v>5399</v>
      </c>
      <c r="I211" s="14">
        <v>49</v>
      </c>
    </row>
    <row r="212" spans="1:9" x14ac:dyDescent="0.25">
      <c r="A212" s="16" t="s">
        <v>805</v>
      </c>
      <c r="B212" s="17" t="s">
        <v>5782</v>
      </c>
      <c r="C212" s="17" t="s">
        <v>5785</v>
      </c>
      <c r="D212" s="17" t="s">
        <v>5341</v>
      </c>
      <c r="E212" s="17" t="s">
        <v>5787</v>
      </c>
      <c r="F212" s="17" t="s">
        <v>5788</v>
      </c>
      <c r="G212" s="17" t="s">
        <v>5370</v>
      </c>
      <c r="H212" s="17" t="s">
        <v>5371</v>
      </c>
      <c r="I212" s="18">
        <v>74</v>
      </c>
    </row>
    <row r="213" spans="1:9" x14ac:dyDescent="0.25">
      <c r="A213" s="16" t="s">
        <v>1227</v>
      </c>
      <c r="B213" s="17" t="s">
        <v>5789</v>
      </c>
      <c r="C213" s="17" t="s">
        <v>5790</v>
      </c>
      <c r="D213" s="17" t="s">
        <v>5350</v>
      </c>
      <c r="E213" s="17" t="s">
        <v>5791</v>
      </c>
      <c r="F213" s="17" t="s">
        <v>5359</v>
      </c>
      <c r="G213" s="17" t="s">
        <v>5344</v>
      </c>
      <c r="H213" s="17" t="s">
        <v>5345</v>
      </c>
      <c r="I213" s="18">
        <v>42</v>
      </c>
    </row>
    <row r="214" spans="1:9" x14ac:dyDescent="0.25">
      <c r="A214" s="12" t="s">
        <v>1184</v>
      </c>
      <c r="B214" s="13" t="s">
        <v>5792</v>
      </c>
      <c r="C214" s="13" t="s">
        <v>5793</v>
      </c>
      <c r="D214" s="13" t="s">
        <v>5357</v>
      </c>
      <c r="E214" s="13" t="s">
        <v>5794</v>
      </c>
      <c r="F214" s="13" t="s">
        <v>5430</v>
      </c>
      <c r="G214" s="13" t="s">
        <v>5398</v>
      </c>
      <c r="H214" s="13" t="s">
        <v>5399</v>
      </c>
      <c r="I214" s="14">
        <v>28</v>
      </c>
    </row>
    <row r="215" spans="1:9" x14ac:dyDescent="0.25">
      <c r="A215" s="12" t="s">
        <v>505</v>
      </c>
      <c r="B215" s="13" t="s">
        <v>5795</v>
      </c>
      <c r="C215" s="13" t="s">
        <v>5796</v>
      </c>
      <c r="D215" s="13" t="s">
        <v>5341</v>
      </c>
      <c r="E215" s="13" t="s">
        <v>5468</v>
      </c>
      <c r="F215" s="13" t="s">
        <v>5468</v>
      </c>
      <c r="G215" s="13" t="s">
        <v>5366</v>
      </c>
      <c r="H215" s="13" t="s">
        <v>5367</v>
      </c>
      <c r="I215" s="14">
        <v>71</v>
      </c>
    </row>
    <row r="216" spans="1:9" x14ac:dyDescent="0.25">
      <c r="A216" s="16" t="s">
        <v>488</v>
      </c>
      <c r="B216" s="17" t="s">
        <v>5795</v>
      </c>
      <c r="C216" s="17" t="s">
        <v>5796</v>
      </c>
      <c r="D216" s="17" t="s">
        <v>5357</v>
      </c>
      <c r="E216" s="17" t="s">
        <v>5442</v>
      </c>
      <c r="F216" s="17" t="s">
        <v>5363</v>
      </c>
      <c r="G216" s="17" t="s">
        <v>5353</v>
      </c>
      <c r="H216" s="17" t="s">
        <v>5354</v>
      </c>
      <c r="I216" s="18">
        <v>80</v>
      </c>
    </row>
    <row r="217" spans="1:9" x14ac:dyDescent="0.25">
      <c r="A217" s="16" t="s">
        <v>1400</v>
      </c>
      <c r="B217" s="17" t="s">
        <v>5797</v>
      </c>
      <c r="C217" s="17" t="s">
        <v>5798</v>
      </c>
      <c r="D217" s="17" t="s">
        <v>5350</v>
      </c>
      <c r="E217" s="17" t="s">
        <v>5799</v>
      </c>
      <c r="F217" s="17" t="s">
        <v>5715</v>
      </c>
      <c r="G217" s="17" t="s">
        <v>5366</v>
      </c>
      <c r="H217" s="17" t="s">
        <v>5367</v>
      </c>
      <c r="I217" s="18">
        <v>52</v>
      </c>
    </row>
    <row r="218" spans="1:9" x14ac:dyDescent="0.25">
      <c r="A218" s="16" t="s">
        <v>128</v>
      </c>
      <c r="B218" s="17" t="s">
        <v>5797</v>
      </c>
      <c r="C218" s="17" t="s">
        <v>5800</v>
      </c>
      <c r="D218" s="17" t="s">
        <v>5341</v>
      </c>
      <c r="E218" s="17" t="s">
        <v>5801</v>
      </c>
      <c r="F218" s="17" t="s">
        <v>5359</v>
      </c>
      <c r="G218" s="17" t="s">
        <v>5344</v>
      </c>
      <c r="H218" s="17" t="s">
        <v>5345</v>
      </c>
      <c r="I218" s="18">
        <v>52</v>
      </c>
    </row>
    <row r="219" spans="1:9" x14ac:dyDescent="0.25">
      <c r="A219" s="16" t="s">
        <v>1082</v>
      </c>
      <c r="B219" s="17" t="s">
        <v>5797</v>
      </c>
      <c r="C219" s="17" t="s">
        <v>5800</v>
      </c>
      <c r="D219" s="17" t="s">
        <v>5357</v>
      </c>
      <c r="E219" s="17" t="s">
        <v>5716</v>
      </c>
      <c r="F219" s="17" t="s">
        <v>5716</v>
      </c>
      <c r="G219" s="17" t="s">
        <v>5344</v>
      </c>
      <c r="H219" s="17" t="s">
        <v>5345</v>
      </c>
      <c r="I219" s="18">
        <v>37</v>
      </c>
    </row>
    <row r="220" spans="1:9" x14ac:dyDescent="0.25">
      <c r="A220" s="16" t="s">
        <v>443</v>
      </c>
      <c r="B220" s="17" t="s">
        <v>5797</v>
      </c>
      <c r="C220" s="17" t="s">
        <v>5798</v>
      </c>
      <c r="D220" s="17" t="s">
        <v>5341</v>
      </c>
      <c r="E220" s="17" t="s">
        <v>5802</v>
      </c>
      <c r="F220" s="17" t="s">
        <v>5476</v>
      </c>
      <c r="G220" s="17" t="s">
        <v>5344</v>
      </c>
      <c r="H220" s="17" t="s">
        <v>5345</v>
      </c>
      <c r="I220" s="18">
        <v>28</v>
      </c>
    </row>
    <row r="221" spans="1:9" x14ac:dyDescent="0.25">
      <c r="A221" s="16" t="s">
        <v>941</v>
      </c>
      <c r="B221" s="17" t="s">
        <v>5797</v>
      </c>
      <c r="C221" s="17" t="s">
        <v>5803</v>
      </c>
      <c r="D221" s="17" t="s">
        <v>5341</v>
      </c>
      <c r="E221" s="17" t="s">
        <v>5804</v>
      </c>
      <c r="F221" s="17" t="s">
        <v>5614</v>
      </c>
      <c r="G221" s="17" t="s">
        <v>5398</v>
      </c>
      <c r="H221" s="17" t="s">
        <v>5399</v>
      </c>
      <c r="I221" s="18">
        <v>75</v>
      </c>
    </row>
    <row r="222" spans="1:9" x14ac:dyDescent="0.25">
      <c r="A222" s="12" t="s">
        <v>150</v>
      </c>
      <c r="B222" s="13" t="s">
        <v>5805</v>
      </c>
      <c r="C222" s="13" t="s">
        <v>5806</v>
      </c>
      <c r="D222" s="13" t="s">
        <v>5341</v>
      </c>
      <c r="E222" s="13" t="s">
        <v>5771</v>
      </c>
      <c r="F222" s="13" t="s">
        <v>5359</v>
      </c>
      <c r="G222" s="13" t="s">
        <v>5344</v>
      </c>
      <c r="H222" s="13" t="s">
        <v>5345</v>
      </c>
      <c r="I222" s="14">
        <v>51</v>
      </c>
    </row>
    <row r="223" spans="1:9" x14ac:dyDescent="0.25">
      <c r="A223" s="16" t="s">
        <v>43</v>
      </c>
      <c r="B223" s="17" t="s">
        <v>5807</v>
      </c>
      <c r="C223" s="17" t="s">
        <v>5808</v>
      </c>
      <c r="D223" s="17" t="s">
        <v>5341</v>
      </c>
      <c r="E223" s="17" t="s">
        <v>5809</v>
      </c>
      <c r="F223" s="17" t="s">
        <v>5359</v>
      </c>
      <c r="G223" s="17" t="s">
        <v>5344</v>
      </c>
      <c r="H223" s="17" t="s">
        <v>5345</v>
      </c>
      <c r="I223" s="18">
        <v>25</v>
      </c>
    </row>
    <row r="224" spans="1:9" x14ac:dyDescent="0.25">
      <c r="A224" s="12" t="s">
        <v>994</v>
      </c>
      <c r="B224" s="13" t="s">
        <v>5810</v>
      </c>
      <c r="C224" s="13" t="s">
        <v>5811</v>
      </c>
      <c r="D224" s="13" t="s">
        <v>5357</v>
      </c>
      <c r="E224" s="13" t="s">
        <v>5426</v>
      </c>
      <c r="F224" s="13" t="s">
        <v>5352</v>
      </c>
      <c r="G224" s="13" t="s">
        <v>5353</v>
      </c>
      <c r="H224" s="13" t="s">
        <v>5354</v>
      </c>
      <c r="I224" s="14">
        <v>69</v>
      </c>
    </row>
    <row r="225" spans="1:9" x14ac:dyDescent="0.25">
      <c r="A225" s="12" t="s">
        <v>55</v>
      </c>
      <c r="B225" s="13" t="s">
        <v>5812</v>
      </c>
      <c r="C225" s="13" t="s">
        <v>5813</v>
      </c>
      <c r="D225" s="13" t="s">
        <v>5357</v>
      </c>
      <c r="E225" s="13" t="s">
        <v>5814</v>
      </c>
      <c r="F225" s="13" t="s">
        <v>5397</v>
      </c>
      <c r="G225" s="13" t="s">
        <v>5398</v>
      </c>
      <c r="H225" s="13" t="s">
        <v>5399</v>
      </c>
      <c r="I225" s="14">
        <v>76</v>
      </c>
    </row>
    <row r="226" spans="1:9" x14ac:dyDescent="0.25">
      <c r="A226" s="16" t="s">
        <v>309</v>
      </c>
      <c r="B226" s="17" t="s">
        <v>5815</v>
      </c>
      <c r="C226" s="17" t="s">
        <v>5816</v>
      </c>
      <c r="D226" s="17" t="s">
        <v>5350</v>
      </c>
      <c r="E226" s="17" t="s">
        <v>5817</v>
      </c>
      <c r="F226" s="17" t="s">
        <v>5352</v>
      </c>
      <c r="G226" s="17" t="s">
        <v>5353</v>
      </c>
      <c r="H226" s="17" t="s">
        <v>5354</v>
      </c>
      <c r="I226" s="18">
        <v>78</v>
      </c>
    </row>
    <row r="227" spans="1:9" x14ac:dyDescent="0.25">
      <c r="A227" s="16" t="s">
        <v>1357</v>
      </c>
      <c r="B227" s="17" t="s">
        <v>5815</v>
      </c>
      <c r="C227" s="17" t="s">
        <v>5818</v>
      </c>
      <c r="D227" s="17" t="s">
        <v>5357</v>
      </c>
      <c r="E227" s="17" t="s">
        <v>5819</v>
      </c>
      <c r="F227" s="17" t="s">
        <v>5359</v>
      </c>
      <c r="G227" s="17" t="s">
        <v>5344</v>
      </c>
      <c r="H227" s="17" t="s">
        <v>5345</v>
      </c>
      <c r="I227" s="18">
        <v>55</v>
      </c>
    </row>
    <row r="228" spans="1:9" x14ac:dyDescent="0.25">
      <c r="A228" s="12" t="s">
        <v>756</v>
      </c>
      <c r="B228" s="13" t="s">
        <v>5815</v>
      </c>
      <c r="C228" s="13" t="s">
        <v>5818</v>
      </c>
      <c r="D228" s="13" t="s">
        <v>5350</v>
      </c>
      <c r="E228" s="13" t="s">
        <v>5466</v>
      </c>
      <c r="F228" s="13" t="s">
        <v>5359</v>
      </c>
      <c r="G228" s="13" t="s">
        <v>5344</v>
      </c>
      <c r="H228" s="13" t="s">
        <v>5345</v>
      </c>
      <c r="I228" s="14">
        <v>45</v>
      </c>
    </row>
    <row r="229" spans="1:9" x14ac:dyDescent="0.25">
      <c r="A229" s="12" t="s">
        <v>1122</v>
      </c>
      <c r="B229" s="13" t="s">
        <v>5820</v>
      </c>
      <c r="C229" s="13" t="s">
        <v>5821</v>
      </c>
      <c r="D229" s="13" t="s">
        <v>5341</v>
      </c>
      <c r="E229" s="13" t="s">
        <v>5822</v>
      </c>
      <c r="F229" s="13" t="s">
        <v>5823</v>
      </c>
      <c r="G229" s="13" t="s">
        <v>5398</v>
      </c>
      <c r="H229" s="13" t="s">
        <v>5399</v>
      </c>
      <c r="I229" s="14">
        <v>57</v>
      </c>
    </row>
    <row r="230" spans="1:9" x14ac:dyDescent="0.25">
      <c r="A230" s="12" t="s">
        <v>47</v>
      </c>
      <c r="B230" s="13" t="s">
        <v>5820</v>
      </c>
      <c r="C230" s="13" t="s">
        <v>5821</v>
      </c>
      <c r="D230" s="13" t="s">
        <v>5341</v>
      </c>
      <c r="E230" s="13" t="s">
        <v>5804</v>
      </c>
      <c r="F230" s="13" t="s">
        <v>5614</v>
      </c>
      <c r="G230" s="13" t="s">
        <v>5398</v>
      </c>
      <c r="H230" s="13" t="s">
        <v>5399</v>
      </c>
      <c r="I230" s="14">
        <v>48</v>
      </c>
    </row>
    <row r="231" spans="1:9" x14ac:dyDescent="0.25">
      <c r="A231" s="12" t="s">
        <v>412</v>
      </c>
      <c r="B231" s="13" t="s">
        <v>5824</v>
      </c>
      <c r="C231" s="13" t="s">
        <v>5825</v>
      </c>
      <c r="D231" s="13" t="s">
        <v>5357</v>
      </c>
      <c r="E231" s="13" t="s">
        <v>5819</v>
      </c>
      <c r="F231" s="13" t="s">
        <v>5359</v>
      </c>
      <c r="G231" s="13" t="s">
        <v>5344</v>
      </c>
      <c r="H231" s="13" t="s">
        <v>5345</v>
      </c>
      <c r="I231" s="14">
        <v>44</v>
      </c>
    </row>
    <row r="232" spans="1:9" x14ac:dyDescent="0.25">
      <c r="A232" s="16" t="s">
        <v>878</v>
      </c>
      <c r="B232" s="17" t="s">
        <v>5824</v>
      </c>
      <c r="C232" s="17" t="s">
        <v>5825</v>
      </c>
      <c r="D232" s="17" t="s">
        <v>5341</v>
      </c>
      <c r="E232" s="17" t="s">
        <v>5431</v>
      </c>
      <c r="F232" s="17" t="s">
        <v>5431</v>
      </c>
      <c r="G232" s="17" t="s">
        <v>5370</v>
      </c>
      <c r="H232" s="17" t="s">
        <v>5371</v>
      </c>
      <c r="I232" s="18">
        <v>50</v>
      </c>
    </row>
    <row r="233" spans="1:9" x14ac:dyDescent="0.25">
      <c r="A233" s="12" t="s">
        <v>838</v>
      </c>
      <c r="B233" s="13" t="s">
        <v>5826</v>
      </c>
      <c r="C233" s="13" t="s">
        <v>5827</v>
      </c>
      <c r="D233" s="13" t="s">
        <v>5350</v>
      </c>
      <c r="E233" s="13" t="s">
        <v>5828</v>
      </c>
      <c r="F233" s="13" t="s">
        <v>5359</v>
      </c>
      <c r="G233" s="13" t="s">
        <v>5344</v>
      </c>
      <c r="H233" s="13" t="s">
        <v>5345</v>
      </c>
      <c r="I233" s="14">
        <v>70</v>
      </c>
    </row>
    <row r="234" spans="1:9" x14ac:dyDescent="0.25">
      <c r="A234" s="16" t="s">
        <v>795</v>
      </c>
      <c r="B234" s="17" t="s">
        <v>5829</v>
      </c>
      <c r="C234" s="17" t="s">
        <v>5830</v>
      </c>
      <c r="D234" s="17" t="s">
        <v>5357</v>
      </c>
      <c r="E234" s="17" t="s">
        <v>5471</v>
      </c>
      <c r="F234" s="17" t="s">
        <v>5352</v>
      </c>
      <c r="G234" s="17" t="s">
        <v>5353</v>
      </c>
      <c r="H234" s="17" t="s">
        <v>5354</v>
      </c>
      <c r="I234" s="18">
        <v>54</v>
      </c>
    </row>
    <row r="235" spans="1:9" x14ac:dyDescent="0.25">
      <c r="A235" s="16" t="s">
        <v>247</v>
      </c>
      <c r="B235" s="17" t="s">
        <v>5829</v>
      </c>
      <c r="C235" s="17" t="s">
        <v>5831</v>
      </c>
      <c r="D235" s="17" t="s">
        <v>5357</v>
      </c>
      <c r="E235" s="17" t="s">
        <v>5832</v>
      </c>
      <c r="F235" s="17" t="s">
        <v>5539</v>
      </c>
      <c r="G235" s="17" t="s">
        <v>5366</v>
      </c>
      <c r="H235" s="17" t="s">
        <v>5367</v>
      </c>
      <c r="I235" s="18">
        <v>71</v>
      </c>
    </row>
    <row r="236" spans="1:9" x14ac:dyDescent="0.25">
      <c r="A236" s="12" t="s">
        <v>726</v>
      </c>
      <c r="B236" s="13" t="s">
        <v>5833</v>
      </c>
      <c r="C236" s="13" t="s">
        <v>5834</v>
      </c>
      <c r="D236" s="13" t="s">
        <v>5341</v>
      </c>
      <c r="E236" s="13" t="s">
        <v>5579</v>
      </c>
      <c r="F236" s="13" t="s">
        <v>5580</v>
      </c>
      <c r="G236" s="13" t="s">
        <v>5366</v>
      </c>
      <c r="H236" s="13" t="s">
        <v>5367</v>
      </c>
      <c r="I236" s="14">
        <v>32</v>
      </c>
    </row>
    <row r="237" spans="1:9" x14ac:dyDescent="0.25">
      <c r="A237" s="16" t="s">
        <v>372</v>
      </c>
      <c r="B237" s="17" t="s">
        <v>5833</v>
      </c>
      <c r="C237" s="17" t="s">
        <v>5835</v>
      </c>
      <c r="D237" s="17" t="s">
        <v>5357</v>
      </c>
      <c r="E237" s="17" t="s">
        <v>5463</v>
      </c>
      <c r="F237" s="17" t="s">
        <v>5454</v>
      </c>
      <c r="G237" s="17" t="s">
        <v>5353</v>
      </c>
      <c r="H237" s="17" t="s">
        <v>5354</v>
      </c>
      <c r="I237" s="18">
        <v>45</v>
      </c>
    </row>
    <row r="238" spans="1:9" x14ac:dyDescent="0.25">
      <c r="A238" s="16" t="s">
        <v>338</v>
      </c>
      <c r="B238" s="17" t="s">
        <v>5833</v>
      </c>
      <c r="C238" s="17" t="s">
        <v>5834</v>
      </c>
      <c r="D238" s="17" t="s">
        <v>5357</v>
      </c>
      <c r="E238" s="17" t="s">
        <v>5836</v>
      </c>
      <c r="F238" s="17" t="s">
        <v>5637</v>
      </c>
      <c r="G238" s="17" t="s">
        <v>5366</v>
      </c>
      <c r="H238" s="17" t="s">
        <v>5367</v>
      </c>
      <c r="I238" s="18">
        <v>68</v>
      </c>
    </row>
    <row r="239" spans="1:9" x14ac:dyDescent="0.25">
      <c r="A239" s="12" t="s">
        <v>1107</v>
      </c>
      <c r="B239" s="13" t="s">
        <v>5837</v>
      </c>
      <c r="C239" s="13" t="s">
        <v>5838</v>
      </c>
      <c r="D239" s="13" t="s">
        <v>5341</v>
      </c>
      <c r="E239" s="13" t="s">
        <v>5839</v>
      </c>
      <c r="F239" s="13" t="s">
        <v>5594</v>
      </c>
      <c r="G239" s="13" t="s">
        <v>5344</v>
      </c>
      <c r="H239" s="13" t="s">
        <v>5345</v>
      </c>
      <c r="I239" s="14">
        <v>78</v>
      </c>
    </row>
    <row r="240" spans="1:9" x14ac:dyDescent="0.25">
      <c r="A240" s="12" t="s">
        <v>904</v>
      </c>
      <c r="B240" s="13" t="s">
        <v>5840</v>
      </c>
      <c r="C240" s="13" t="s">
        <v>5841</v>
      </c>
      <c r="D240" s="13" t="s">
        <v>5341</v>
      </c>
      <c r="E240" s="13" t="s">
        <v>5842</v>
      </c>
      <c r="F240" s="13" t="s">
        <v>5842</v>
      </c>
      <c r="G240" s="13" t="s">
        <v>5366</v>
      </c>
      <c r="H240" s="13" t="s">
        <v>5367</v>
      </c>
      <c r="I240" s="14">
        <v>66</v>
      </c>
    </row>
    <row r="241" spans="1:9" x14ac:dyDescent="0.25">
      <c r="A241" s="12" t="s">
        <v>1532</v>
      </c>
      <c r="B241" s="13" t="s">
        <v>5840</v>
      </c>
      <c r="C241" s="13" t="s">
        <v>5704</v>
      </c>
      <c r="D241" s="13" t="s">
        <v>5350</v>
      </c>
      <c r="E241" s="13" t="s">
        <v>5843</v>
      </c>
      <c r="F241" s="13" t="s">
        <v>5377</v>
      </c>
      <c r="G241" s="13" t="s">
        <v>5366</v>
      </c>
      <c r="H241" s="13" t="s">
        <v>5367</v>
      </c>
      <c r="I241" s="14">
        <v>26</v>
      </c>
    </row>
    <row r="242" spans="1:9" x14ac:dyDescent="0.25">
      <c r="A242" s="12" t="s">
        <v>765</v>
      </c>
      <c r="B242" s="13" t="s">
        <v>5840</v>
      </c>
      <c r="C242" s="13" t="s">
        <v>5844</v>
      </c>
      <c r="D242" s="13" t="s">
        <v>5341</v>
      </c>
      <c r="E242" s="13" t="s">
        <v>5845</v>
      </c>
      <c r="F242" s="13" t="s">
        <v>5527</v>
      </c>
      <c r="G242" s="13" t="s">
        <v>5344</v>
      </c>
      <c r="H242" s="13" t="s">
        <v>5345</v>
      </c>
      <c r="I242" s="14">
        <v>80</v>
      </c>
    </row>
    <row r="243" spans="1:9" x14ac:dyDescent="0.25">
      <c r="A243" s="16" t="s">
        <v>622</v>
      </c>
      <c r="B243" s="17" t="s">
        <v>5840</v>
      </c>
      <c r="C243" s="17" t="s">
        <v>5460</v>
      </c>
      <c r="D243" s="17" t="s">
        <v>5350</v>
      </c>
      <c r="E243" s="17" t="s">
        <v>5431</v>
      </c>
      <c r="F243" s="17" t="s">
        <v>5431</v>
      </c>
      <c r="G243" s="17" t="s">
        <v>5370</v>
      </c>
      <c r="H243" s="17" t="s">
        <v>5371</v>
      </c>
      <c r="I243" s="18">
        <v>47</v>
      </c>
    </row>
    <row r="244" spans="1:9" x14ac:dyDescent="0.25">
      <c r="A244" s="16" t="s">
        <v>1716</v>
      </c>
      <c r="B244" s="17" t="s">
        <v>5840</v>
      </c>
      <c r="C244" s="17" t="s">
        <v>5704</v>
      </c>
      <c r="D244" s="17" t="s">
        <v>5341</v>
      </c>
      <c r="E244" s="17" t="s">
        <v>5817</v>
      </c>
      <c r="F244" s="17" t="s">
        <v>5352</v>
      </c>
      <c r="G244" s="17" t="s">
        <v>5353</v>
      </c>
      <c r="H244" s="17" t="s">
        <v>5354</v>
      </c>
      <c r="I244" s="18">
        <v>60</v>
      </c>
    </row>
    <row r="245" spans="1:9" x14ac:dyDescent="0.25">
      <c r="A245" s="12" t="s">
        <v>516</v>
      </c>
      <c r="B245" s="13" t="s">
        <v>5846</v>
      </c>
      <c r="C245" s="13" t="s">
        <v>5847</v>
      </c>
      <c r="D245" s="13" t="s">
        <v>5357</v>
      </c>
      <c r="E245" s="13" t="s">
        <v>5848</v>
      </c>
      <c r="F245" s="13" t="s">
        <v>5637</v>
      </c>
      <c r="G245" s="13" t="s">
        <v>5366</v>
      </c>
      <c r="H245" s="13" t="s">
        <v>5367</v>
      </c>
      <c r="I245" s="14">
        <v>59</v>
      </c>
    </row>
    <row r="246" spans="1:9" x14ac:dyDescent="0.25">
      <c r="A246" s="12" t="s">
        <v>414</v>
      </c>
      <c r="B246" s="13" t="s">
        <v>5849</v>
      </c>
      <c r="C246" s="13" t="s">
        <v>5850</v>
      </c>
      <c r="D246" s="13" t="s">
        <v>5341</v>
      </c>
      <c r="E246" s="13" t="s">
        <v>5851</v>
      </c>
      <c r="F246" s="13" t="s">
        <v>5852</v>
      </c>
      <c r="G246" s="13" t="s">
        <v>5366</v>
      </c>
      <c r="H246" s="13" t="s">
        <v>5367</v>
      </c>
      <c r="I246" s="14">
        <v>42</v>
      </c>
    </row>
    <row r="247" spans="1:9" x14ac:dyDescent="0.25">
      <c r="A247" s="16" t="s">
        <v>1640</v>
      </c>
      <c r="B247" s="17" t="s">
        <v>5849</v>
      </c>
      <c r="C247" s="17" t="s">
        <v>5850</v>
      </c>
      <c r="D247" s="17" t="s">
        <v>5341</v>
      </c>
      <c r="E247" s="17" t="s">
        <v>5853</v>
      </c>
      <c r="F247" s="17" t="s">
        <v>5854</v>
      </c>
      <c r="G247" s="17" t="s">
        <v>5398</v>
      </c>
      <c r="H247" s="17" t="s">
        <v>5399</v>
      </c>
      <c r="I247" s="18">
        <v>66</v>
      </c>
    </row>
    <row r="248" spans="1:9" x14ac:dyDescent="0.25">
      <c r="A248" s="12" t="s">
        <v>283</v>
      </c>
      <c r="B248" s="13" t="s">
        <v>5849</v>
      </c>
      <c r="C248" s="13" t="s">
        <v>5855</v>
      </c>
      <c r="D248" s="13" t="s">
        <v>5357</v>
      </c>
      <c r="E248" s="13" t="s">
        <v>5554</v>
      </c>
      <c r="F248" s="13" t="s">
        <v>5436</v>
      </c>
      <c r="G248" s="13" t="s">
        <v>5353</v>
      </c>
      <c r="H248" s="13" t="s">
        <v>5354</v>
      </c>
      <c r="I248" s="14">
        <v>49</v>
      </c>
    </row>
    <row r="249" spans="1:9" x14ac:dyDescent="0.25">
      <c r="A249" s="16" t="s">
        <v>273</v>
      </c>
      <c r="B249" s="17" t="s">
        <v>5856</v>
      </c>
      <c r="C249" s="17" t="s">
        <v>5857</v>
      </c>
      <c r="D249" s="17" t="s">
        <v>5350</v>
      </c>
      <c r="E249" s="17" t="s">
        <v>5858</v>
      </c>
      <c r="F249" s="17" t="s">
        <v>5407</v>
      </c>
      <c r="G249" s="17" t="s">
        <v>5366</v>
      </c>
      <c r="H249" s="17" t="s">
        <v>5367</v>
      </c>
      <c r="I249" s="18">
        <v>71</v>
      </c>
    </row>
    <row r="250" spans="1:9" x14ac:dyDescent="0.25">
      <c r="A250" s="16" t="s">
        <v>1129</v>
      </c>
      <c r="B250" s="17" t="s">
        <v>5856</v>
      </c>
      <c r="C250" s="17" t="s">
        <v>5859</v>
      </c>
      <c r="D250" s="17" t="s">
        <v>5350</v>
      </c>
      <c r="E250" s="17" t="s">
        <v>5458</v>
      </c>
      <c r="F250" s="17" t="s">
        <v>5454</v>
      </c>
      <c r="G250" s="17" t="s">
        <v>5353</v>
      </c>
      <c r="H250" s="17" t="s">
        <v>5354</v>
      </c>
      <c r="I250" s="18">
        <v>27</v>
      </c>
    </row>
    <row r="251" spans="1:9" x14ac:dyDescent="0.25">
      <c r="A251" s="12" t="s">
        <v>2181</v>
      </c>
      <c r="B251" s="13" t="s">
        <v>5856</v>
      </c>
      <c r="C251" s="13" t="s">
        <v>5859</v>
      </c>
      <c r="D251" s="13" t="s">
        <v>5341</v>
      </c>
      <c r="E251" s="13" t="s">
        <v>5698</v>
      </c>
      <c r="F251" s="13" t="s">
        <v>5359</v>
      </c>
      <c r="G251" s="13" t="s">
        <v>5344</v>
      </c>
      <c r="H251" s="13" t="s">
        <v>5345</v>
      </c>
      <c r="I251" s="14">
        <v>75</v>
      </c>
    </row>
    <row r="252" spans="1:9" x14ac:dyDescent="0.25">
      <c r="A252" s="16" t="s">
        <v>1482</v>
      </c>
      <c r="B252" s="17" t="s">
        <v>5860</v>
      </c>
      <c r="C252" s="17" t="s">
        <v>5861</v>
      </c>
      <c r="D252" s="17" t="s">
        <v>5357</v>
      </c>
      <c r="E252" s="17" t="s">
        <v>5862</v>
      </c>
      <c r="F252" s="17" t="s">
        <v>5863</v>
      </c>
      <c r="G252" s="17" t="s">
        <v>5344</v>
      </c>
      <c r="H252" s="17" t="s">
        <v>5345</v>
      </c>
      <c r="I252" s="18">
        <v>63</v>
      </c>
    </row>
    <row r="253" spans="1:9" x14ac:dyDescent="0.25">
      <c r="A253" s="16" t="s">
        <v>387</v>
      </c>
      <c r="B253" s="17" t="s">
        <v>5860</v>
      </c>
      <c r="C253" s="17" t="s">
        <v>5864</v>
      </c>
      <c r="D253" s="17" t="s">
        <v>5357</v>
      </c>
      <c r="E253" s="17" t="s">
        <v>5567</v>
      </c>
      <c r="F253" s="17" t="s">
        <v>5454</v>
      </c>
      <c r="G253" s="17" t="s">
        <v>5353</v>
      </c>
      <c r="H253" s="17" t="s">
        <v>5354</v>
      </c>
      <c r="I253" s="18">
        <v>70</v>
      </c>
    </row>
    <row r="254" spans="1:9" x14ac:dyDescent="0.25">
      <c r="A254" s="12" t="s">
        <v>377</v>
      </c>
      <c r="B254" s="13" t="s">
        <v>5860</v>
      </c>
      <c r="C254" s="13" t="s">
        <v>5864</v>
      </c>
      <c r="D254" s="13" t="s">
        <v>5357</v>
      </c>
      <c r="E254" s="13" t="s">
        <v>5658</v>
      </c>
      <c r="F254" s="13" t="s">
        <v>5498</v>
      </c>
      <c r="G254" s="13" t="s">
        <v>5370</v>
      </c>
      <c r="H254" s="13" t="s">
        <v>5371</v>
      </c>
      <c r="I254" s="14">
        <v>53</v>
      </c>
    </row>
    <row r="255" spans="1:9" x14ac:dyDescent="0.25">
      <c r="A255" s="16" t="s">
        <v>842</v>
      </c>
      <c r="B255" s="17" t="s">
        <v>5865</v>
      </c>
      <c r="C255" s="17" t="s">
        <v>5866</v>
      </c>
      <c r="D255" s="17" t="s">
        <v>5357</v>
      </c>
      <c r="E255" s="17" t="s">
        <v>5867</v>
      </c>
      <c r="F255" s="17" t="s">
        <v>5390</v>
      </c>
      <c r="G255" s="17" t="s">
        <v>5353</v>
      </c>
      <c r="H255" s="17" t="s">
        <v>5354</v>
      </c>
      <c r="I255" s="18">
        <v>71</v>
      </c>
    </row>
    <row r="256" spans="1:9" x14ac:dyDescent="0.25">
      <c r="A256" s="16" t="s">
        <v>87</v>
      </c>
      <c r="B256" s="17" t="s">
        <v>5865</v>
      </c>
      <c r="C256" s="17" t="s">
        <v>5868</v>
      </c>
      <c r="D256" s="17" t="s">
        <v>5350</v>
      </c>
      <c r="E256" s="17" t="s">
        <v>5869</v>
      </c>
      <c r="F256" s="17" t="s">
        <v>5669</v>
      </c>
      <c r="G256" s="17" t="s">
        <v>5370</v>
      </c>
      <c r="H256" s="17" t="s">
        <v>5371</v>
      </c>
      <c r="I256" s="18">
        <v>64</v>
      </c>
    </row>
    <row r="257" spans="1:9" x14ac:dyDescent="0.25">
      <c r="A257" s="16" t="s">
        <v>2022</v>
      </c>
      <c r="B257" s="17" t="s">
        <v>5865</v>
      </c>
      <c r="C257" s="17" t="s">
        <v>5868</v>
      </c>
      <c r="D257" s="17" t="s">
        <v>5350</v>
      </c>
      <c r="E257" s="17" t="s">
        <v>5870</v>
      </c>
      <c r="F257" s="17" t="s">
        <v>5755</v>
      </c>
      <c r="G257" s="17" t="s">
        <v>5366</v>
      </c>
      <c r="H257" s="17" t="s">
        <v>5367</v>
      </c>
      <c r="I257" s="18">
        <v>45</v>
      </c>
    </row>
    <row r="258" spans="1:9" x14ac:dyDescent="0.25">
      <c r="A258" s="12" t="s">
        <v>720</v>
      </c>
      <c r="B258" s="13" t="s">
        <v>5871</v>
      </c>
      <c r="C258" s="13" t="s">
        <v>5855</v>
      </c>
      <c r="D258" s="13" t="s">
        <v>5341</v>
      </c>
      <c r="E258" s="13" t="s">
        <v>5872</v>
      </c>
      <c r="F258" s="13" t="s">
        <v>5639</v>
      </c>
      <c r="G258" s="13" t="s">
        <v>5366</v>
      </c>
      <c r="H258" s="13" t="s">
        <v>5367</v>
      </c>
      <c r="I258" s="14">
        <v>35</v>
      </c>
    </row>
    <row r="259" spans="1:9" x14ac:dyDescent="0.25">
      <c r="A259" s="12" t="s">
        <v>1475</v>
      </c>
      <c r="B259" s="13" t="s">
        <v>5873</v>
      </c>
      <c r="C259" s="13" t="s">
        <v>5874</v>
      </c>
      <c r="D259" s="13" t="s">
        <v>5357</v>
      </c>
      <c r="E259" s="13" t="s">
        <v>5426</v>
      </c>
      <c r="F259" s="13" t="s">
        <v>5352</v>
      </c>
      <c r="G259" s="13" t="s">
        <v>5353</v>
      </c>
      <c r="H259" s="13" t="s">
        <v>5354</v>
      </c>
      <c r="I259" s="14">
        <v>69</v>
      </c>
    </row>
    <row r="260" spans="1:9" x14ac:dyDescent="0.25">
      <c r="A260" s="12" t="s">
        <v>845</v>
      </c>
      <c r="B260" s="13" t="s">
        <v>5875</v>
      </c>
      <c r="C260" s="13" t="s">
        <v>5876</v>
      </c>
      <c r="D260" s="13" t="s">
        <v>5357</v>
      </c>
      <c r="E260" s="13" t="s">
        <v>5458</v>
      </c>
      <c r="F260" s="13" t="s">
        <v>5454</v>
      </c>
      <c r="G260" s="13" t="s">
        <v>5353</v>
      </c>
      <c r="H260" s="13" t="s">
        <v>5354</v>
      </c>
      <c r="I260" s="14">
        <v>50</v>
      </c>
    </row>
    <row r="261" spans="1:9" x14ac:dyDescent="0.25">
      <c r="A261" s="16" t="s">
        <v>1308</v>
      </c>
      <c r="B261" s="17" t="s">
        <v>5877</v>
      </c>
      <c r="C261" s="17" t="s">
        <v>5878</v>
      </c>
      <c r="D261" s="17" t="s">
        <v>5357</v>
      </c>
      <c r="E261" s="17" t="s">
        <v>5458</v>
      </c>
      <c r="F261" s="17" t="s">
        <v>5454</v>
      </c>
      <c r="G261" s="17" t="s">
        <v>5353</v>
      </c>
      <c r="H261" s="17" t="s">
        <v>5354</v>
      </c>
      <c r="I261" s="18">
        <v>73</v>
      </c>
    </row>
    <row r="262" spans="1:9" x14ac:dyDescent="0.25">
      <c r="A262" s="12" t="s">
        <v>351</v>
      </c>
      <c r="B262" s="13" t="s">
        <v>5877</v>
      </c>
      <c r="C262" s="13" t="s">
        <v>5879</v>
      </c>
      <c r="D262" s="13" t="s">
        <v>5350</v>
      </c>
      <c r="E262" s="13" t="s">
        <v>5431</v>
      </c>
      <c r="F262" s="13" t="s">
        <v>5431</v>
      </c>
      <c r="G262" s="13" t="s">
        <v>5370</v>
      </c>
      <c r="H262" s="13" t="s">
        <v>5371</v>
      </c>
      <c r="I262" s="14">
        <v>38</v>
      </c>
    </row>
    <row r="263" spans="1:9" x14ac:dyDescent="0.25">
      <c r="A263" s="16" t="s">
        <v>814</v>
      </c>
      <c r="B263" s="17" t="s">
        <v>5877</v>
      </c>
      <c r="C263" s="17" t="s">
        <v>5878</v>
      </c>
      <c r="D263" s="17" t="s">
        <v>5341</v>
      </c>
      <c r="E263" s="17" t="s">
        <v>5435</v>
      </c>
      <c r="F263" s="17" t="s">
        <v>5436</v>
      </c>
      <c r="G263" s="17" t="s">
        <v>5353</v>
      </c>
      <c r="H263" s="17" t="s">
        <v>5354</v>
      </c>
      <c r="I263" s="18">
        <v>44</v>
      </c>
    </row>
    <row r="264" spans="1:9" x14ac:dyDescent="0.25">
      <c r="A264" s="16" t="s">
        <v>389</v>
      </c>
      <c r="B264" s="17" t="s">
        <v>5880</v>
      </c>
      <c r="C264" s="17" t="s">
        <v>5881</v>
      </c>
      <c r="D264" s="17" t="s">
        <v>5357</v>
      </c>
      <c r="E264" s="17" t="s">
        <v>5431</v>
      </c>
      <c r="F264" s="17" t="s">
        <v>5431</v>
      </c>
      <c r="G264" s="17" t="s">
        <v>5370</v>
      </c>
      <c r="H264" s="17" t="s">
        <v>5371</v>
      </c>
      <c r="I264" s="18">
        <v>60</v>
      </c>
    </row>
    <row r="265" spans="1:9" x14ac:dyDescent="0.25">
      <c r="A265" s="12" t="s">
        <v>962</v>
      </c>
      <c r="B265" s="13" t="s">
        <v>5882</v>
      </c>
      <c r="C265" s="13" t="s">
        <v>5883</v>
      </c>
      <c r="D265" s="13" t="s">
        <v>5341</v>
      </c>
      <c r="E265" s="13" t="s">
        <v>5426</v>
      </c>
      <c r="F265" s="13" t="s">
        <v>5352</v>
      </c>
      <c r="G265" s="13" t="s">
        <v>5353</v>
      </c>
      <c r="H265" s="13" t="s">
        <v>5354</v>
      </c>
      <c r="I265" s="14">
        <v>27</v>
      </c>
    </row>
    <row r="266" spans="1:9" x14ac:dyDescent="0.25">
      <c r="A266" s="12" t="s">
        <v>847</v>
      </c>
      <c r="B266" s="13" t="s">
        <v>5882</v>
      </c>
      <c r="C266" s="13" t="s">
        <v>5884</v>
      </c>
      <c r="D266" s="13" t="s">
        <v>5357</v>
      </c>
      <c r="E266" s="13" t="s">
        <v>5885</v>
      </c>
      <c r="F266" s="13" t="s">
        <v>5886</v>
      </c>
      <c r="G266" s="13" t="s">
        <v>5370</v>
      </c>
      <c r="H266" s="13" t="s">
        <v>5371</v>
      </c>
      <c r="I266" s="14">
        <v>55</v>
      </c>
    </row>
    <row r="267" spans="1:9" x14ac:dyDescent="0.25">
      <c r="A267" s="12" t="s">
        <v>1182</v>
      </c>
      <c r="B267" s="13" t="s">
        <v>5882</v>
      </c>
      <c r="C267" s="13" t="s">
        <v>5884</v>
      </c>
      <c r="D267" s="13" t="s">
        <v>5341</v>
      </c>
      <c r="E267" s="13" t="s">
        <v>5426</v>
      </c>
      <c r="F267" s="13" t="s">
        <v>5352</v>
      </c>
      <c r="G267" s="13" t="s">
        <v>5353</v>
      </c>
      <c r="H267" s="13" t="s">
        <v>5354</v>
      </c>
      <c r="I267" s="14">
        <v>73</v>
      </c>
    </row>
    <row r="268" spans="1:9" x14ac:dyDescent="0.25">
      <c r="A268" s="16" t="s">
        <v>62</v>
      </c>
      <c r="B268" s="17" t="s">
        <v>5882</v>
      </c>
      <c r="C268" s="17" t="s">
        <v>5883</v>
      </c>
      <c r="D268" s="17" t="s">
        <v>5341</v>
      </c>
      <c r="E268" s="17" t="s">
        <v>5887</v>
      </c>
      <c r="F268" s="17" t="s">
        <v>5888</v>
      </c>
      <c r="G268" s="17" t="s">
        <v>5366</v>
      </c>
      <c r="H268" s="17" t="s">
        <v>5367</v>
      </c>
      <c r="I268" s="18">
        <v>70</v>
      </c>
    </row>
    <row r="269" spans="1:9" x14ac:dyDescent="0.25">
      <c r="A269" s="12" t="s">
        <v>652</v>
      </c>
      <c r="B269" s="13" t="s">
        <v>5889</v>
      </c>
      <c r="C269" s="13" t="s">
        <v>5890</v>
      </c>
      <c r="D269" s="13" t="s">
        <v>5357</v>
      </c>
      <c r="E269" s="13" t="s">
        <v>5891</v>
      </c>
      <c r="F269" s="13" t="s">
        <v>5669</v>
      </c>
      <c r="G269" s="13" t="s">
        <v>5370</v>
      </c>
      <c r="H269" s="13" t="s">
        <v>5371</v>
      </c>
      <c r="I269" s="14">
        <v>60</v>
      </c>
    </row>
    <row r="270" spans="1:9" x14ac:dyDescent="0.25">
      <c r="A270" s="12" t="s">
        <v>792</v>
      </c>
      <c r="B270" s="13" t="s">
        <v>5892</v>
      </c>
      <c r="C270" s="13" t="s">
        <v>5893</v>
      </c>
      <c r="D270" s="13" t="s">
        <v>5341</v>
      </c>
      <c r="E270" s="13" t="s">
        <v>5894</v>
      </c>
      <c r="F270" s="13" t="s">
        <v>5726</v>
      </c>
      <c r="G270" s="13" t="s">
        <v>5366</v>
      </c>
      <c r="H270" s="13" t="s">
        <v>5367</v>
      </c>
      <c r="I270" s="14">
        <v>43</v>
      </c>
    </row>
    <row r="271" spans="1:9" x14ac:dyDescent="0.25">
      <c r="A271" s="16" t="s">
        <v>178</v>
      </c>
      <c r="B271" s="17" t="s">
        <v>5895</v>
      </c>
      <c r="C271" s="17" t="s">
        <v>5896</v>
      </c>
      <c r="D271" s="17" t="s">
        <v>5341</v>
      </c>
      <c r="E271" s="17" t="s">
        <v>5431</v>
      </c>
      <c r="F271" s="17" t="s">
        <v>5431</v>
      </c>
      <c r="G271" s="17" t="s">
        <v>5370</v>
      </c>
      <c r="H271" s="17" t="s">
        <v>5371</v>
      </c>
      <c r="I271" s="18">
        <v>47</v>
      </c>
    </row>
    <row r="272" spans="1:9" x14ac:dyDescent="0.25">
      <c r="A272" s="16" t="s">
        <v>482</v>
      </c>
      <c r="B272" s="17" t="s">
        <v>5895</v>
      </c>
      <c r="C272" s="17" t="s">
        <v>5896</v>
      </c>
      <c r="D272" s="17" t="s">
        <v>5357</v>
      </c>
      <c r="E272" s="17" t="s">
        <v>5426</v>
      </c>
      <c r="F272" s="17" t="s">
        <v>5352</v>
      </c>
      <c r="G272" s="17" t="s">
        <v>5353</v>
      </c>
      <c r="H272" s="17" t="s">
        <v>5354</v>
      </c>
      <c r="I272" s="18">
        <v>45</v>
      </c>
    </row>
    <row r="273" spans="1:9" x14ac:dyDescent="0.25">
      <c r="A273" s="16" t="s">
        <v>1889</v>
      </c>
      <c r="B273" s="17" t="s">
        <v>5897</v>
      </c>
      <c r="C273" s="17" t="s">
        <v>5898</v>
      </c>
      <c r="D273" s="17" t="s">
        <v>5350</v>
      </c>
      <c r="E273" s="17" t="s">
        <v>5431</v>
      </c>
      <c r="F273" s="17" t="s">
        <v>5431</v>
      </c>
      <c r="G273" s="17" t="s">
        <v>5370</v>
      </c>
      <c r="H273" s="17" t="s">
        <v>5371</v>
      </c>
      <c r="I273" s="18">
        <v>45</v>
      </c>
    </row>
    <row r="274" spans="1:9" x14ac:dyDescent="0.25">
      <c r="A274" s="12" t="s">
        <v>116</v>
      </c>
      <c r="B274" s="13" t="s">
        <v>5899</v>
      </c>
      <c r="C274" s="13" t="s">
        <v>5900</v>
      </c>
      <c r="D274" s="13" t="s">
        <v>5357</v>
      </c>
      <c r="E274" s="13" t="s">
        <v>5901</v>
      </c>
      <c r="F274" s="13" t="s">
        <v>5480</v>
      </c>
      <c r="G274" s="13" t="s">
        <v>5366</v>
      </c>
      <c r="H274" s="13" t="s">
        <v>5367</v>
      </c>
      <c r="I274" s="14">
        <v>47</v>
      </c>
    </row>
    <row r="275" spans="1:9" x14ac:dyDescent="0.25">
      <c r="A275" s="16" t="s">
        <v>538</v>
      </c>
      <c r="B275" s="17" t="s">
        <v>5902</v>
      </c>
      <c r="C275" s="17" t="s">
        <v>5903</v>
      </c>
      <c r="D275" s="17" t="s">
        <v>5357</v>
      </c>
      <c r="E275" s="17" t="s">
        <v>5904</v>
      </c>
      <c r="F275" s="17" t="s">
        <v>5436</v>
      </c>
      <c r="G275" s="17" t="s">
        <v>5353</v>
      </c>
      <c r="H275" s="17" t="s">
        <v>5354</v>
      </c>
      <c r="I275" s="18">
        <v>80</v>
      </c>
    </row>
    <row r="276" spans="1:9" x14ac:dyDescent="0.25">
      <c r="A276" s="16" t="s">
        <v>184</v>
      </c>
      <c r="B276" s="17" t="s">
        <v>5905</v>
      </c>
      <c r="C276" s="17" t="s">
        <v>5906</v>
      </c>
      <c r="D276" s="17" t="s">
        <v>5357</v>
      </c>
      <c r="E276" s="17" t="s">
        <v>5828</v>
      </c>
      <c r="F276" s="17" t="s">
        <v>5359</v>
      </c>
      <c r="G276" s="17" t="s">
        <v>5344</v>
      </c>
      <c r="H276" s="17" t="s">
        <v>5345</v>
      </c>
      <c r="I276" s="18">
        <v>49</v>
      </c>
    </row>
    <row r="277" spans="1:9" x14ac:dyDescent="0.25">
      <c r="A277" s="12" t="s">
        <v>131</v>
      </c>
      <c r="B277" s="13" t="s">
        <v>5905</v>
      </c>
      <c r="C277" s="13" t="s">
        <v>5907</v>
      </c>
      <c r="D277" s="13" t="s">
        <v>5357</v>
      </c>
      <c r="E277" s="13" t="s">
        <v>5908</v>
      </c>
      <c r="F277" s="13" t="s">
        <v>5407</v>
      </c>
      <c r="G277" s="13" t="s">
        <v>5366</v>
      </c>
      <c r="H277" s="13" t="s">
        <v>5367</v>
      </c>
      <c r="I277" s="14">
        <v>71</v>
      </c>
    </row>
    <row r="278" spans="1:9" x14ac:dyDescent="0.25">
      <c r="A278" s="16" t="s">
        <v>642</v>
      </c>
      <c r="B278" s="17" t="s">
        <v>5905</v>
      </c>
      <c r="C278" s="17" t="s">
        <v>5909</v>
      </c>
      <c r="D278" s="17" t="s">
        <v>5341</v>
      </c>
      <c r="E278" s="17" t="s">
        <v>5458</v>
      </c>
      <c r="F278" s="17" t="s">
        <v>5454</v>
      </c>
      <c r="G278" s="17" t="s">
        <v>5353</v>
      </c>
      <c r="H278" s="17" t="s">
        <v>5354</v>
      </c>
      <c r="I278" s="18">
        <v>43</v>
      </c>
    </row>
    <row r="279" spans="1:9" x14ac:dyDescent="0.25">
      <c r="A279" s="16" t="s">
        <v>162</v>
      </c>
      <c r="B279" s="17" t="s">
        <v>5905</v>
      </c>
      <c r="C279" s="17" t="s">
        <v>5909</v>
      </c>
      <c r="D279" s="17" t="s">
        <v>5357</v>
      </c>
      <c r="E279" s="17" t="s">
        <v>5910</v>
      </c>
      <c r="F279" s="17" t="s">
        <v>5359</v>
      </c>
      <c r="G279" s="17" t="s">
        <v>5344</v>
      </c>
      <c r="H279" s="17" t="s">
        <v>5345</v>
      </c>
      <c r="I279" s="18">
        <v>38</v>
      </c>
    </row>
    <row r="280" spans="1:9" x14ac:dyDescent="0.25">
      <c r="A280" s="16" t="s">
        <v>452</v>
      </c>
      <c r="B280" s="17" t="s">
        <v>5905</v>
      </c>
      <c r="C280" s="17" t="s">
        <v>5906</v>
      </c>
      <c r="D280" s="17" t="s">
        <v>5341</v>
      </c>
      <c r="E280" s="17" t="s">
        <v>5911</v>
      </c>
      <c r="F280" s="17" t="s">
        <v>5498</v>
      </c>
      <c r="G280" s="17" t="s">
        <v>5370</v>
      </c>
      <c r="H280" s="17" t="s">
        <v>5371</v>
      </c>
      <c r="I280" s="18">
        <v>33</v>
      </c>
    </row>
    <row r="281" spans="1:9" x14ac:dyDescent="0.25">
      <c r="A281" s="16" t="s">
        <v>1339</v>
      </c>
      <c r="B281" s="17" t="s">
        <v>5905</v>
      </c>
      <c r="C281" s="17" t="s">
        <v>5909</v>
      </c>
      <c r="D281" s="17" t="s">
        <v>5357</v>
      </c>
      <c r="E281" s="17" t="s">
        <v>5912</v>
      </c>
      <c r="F281" s="17" t="s">
        <v>5359</v>
      </c>
      <c r="G281" s="17" t="s">
        <v>5344</v>
      </c>
      <c r="H281" s="17" t="s">
        <v>5345</v>
      </c>
      <c r="I281" s="18">
        <v>51</v>
      </c>
    </row>
    <row r="282" spans="1:9" x14ac:dyDescent="0.25">
      <c r="A282" s="12" t="s">
        <v>77</v>
      </c>
      <c r="B282" s="13" t="s">
        <v>5905</v>
      </c>
      <c r="C282" s="13" t="s">
        <v>5907</v>
      </c>
      <c r="D282" s="13" t="s">
        <v>5341</v>
      </c>
      <c r="E282" s="13" t="s">
        <v>5913</v>
      </c>
      <c r="F282" s="13" t="s">
        <v>5348</v>
      </c>
      <c r="G282" s="13" t="s">
        <v>5344</v>
      </c>
      <c r="H282" s="13" t="s">
        <v>5345</v>
      </c>
      <c r="I282" s="14">
        <v>64</v>
      </c>
    </row>
    <row r="283" spans="1:9" x14ac:dyDescent="0.25">
      <c r="A283" s="16" t="s">
        <v>1615</v>
      </c>
      <c r="B283" s="17" t="s">
        <v>5914</v>
      </c>
      <c r="C283" s="17" t="s">
        <v>5915</v>
      </c>
      <c r="D283" s="17" t="s">
        <v>5357</v>
      </c>
      <c r="E283" s="17" t="s">
        <v>5435</v>
      </c>
      <c r="F283" s="17" t="s">
        <v>5436</v>
      </c>
      <c r="G283" s="17" t="s">
        <v>5353</v>
      </c>
      <c r="H283" s="17" t="s">
        <v>5354</v>
      </c>
      <c r="I283" s="18">
        <v>26</v>
      </c>
    </row>
    <row r="284" spans="1:9" x14ac:dyDescent="0.25">
      <c r="A284" s="16" t="s">
        <v>1148</v>
      </c>
      <c r="B284" s="17" t="s">
        <v>5916</v>
      </c>
      <c r="C284" s="17" t="s">
        <v>5460</v>
      </c>
      <c r="D284" s="17" t="s">
        <v>5341</v>
      </c>
      <c r="E284" s="17" t="s">
        <v>5583</v>
      </c>
      <c r="F284" s="17" t="s">
        <v>5661</v>
      </c>
      <c r="G284" s="17" t="s">
        <v>5370</v>
      </c>
      <c r="H284" s="17" t="s">
        <v>5371</v>
      </c>
      <c r="I284" s="18">
        <v>36</v>
      </c>
    </row>
    <row r="285" spans="1:9" x14ac:dyDescent="0.25">
      <c r="A285" s="16" t="s">
        <v>620</v>
      </c>
      <c r="B285" s="17" t="s">
        <v>5916</v>
      </c>
      <c r="C285" s="17" t="s">
        <v>5884</v>
      </c>
      <c r="D285" s="17" t="s">
        <v>5341</v>
      </c>
      <c r="E285" s="17" t="s">
        <v>5917</v>
      </c>
      <c r="F285" s="17" t="s">
        <v>5423</v>
      </c>
      <c r="G285" s="17" t="s">
        <v>5398</v>
      </c>
      <c r="H285" s="17" t="s">
        <v>5399</v>
      </c>
      <c r="I285" s="18">
        <v>69</v>
      </c>
    </row>
    <row r="286" spans="1:9" x14ac:dyDescent="0.25">
      <c r="A286" s="12" t="s">
        <v>787</v>
      </c>
      <c r="B286" s="13" t="s">
        <v>5916</v>
      </c>
      <c r="C286" s="13" t="s">
        <v>5918</v>
      </c>
      <c r="D286" s="13" t="s">
        <v>5341</v>
      </c>
      <c r="E286" s="13" t="s">
        <v>5380</v>
      </c>
      <c r="F286" s="13" t="s">
        <v>5381</v>
      </c>
      <c r="G286" s="13" t="s">
        <v>5353</v>
      </c>
      <c r="H286" s="13" t="s">
        <v>5354</v>
      </c>
      <c r="I286" s="14">
        <v>74</v>
      </c>
    </row>
    <row r="287" spans="1:9" x14ac:dyDescent="0.25">
      <c r="A287" s="16" t="s">
        <v>110</v>
      </c>
      <c r="B287" s="17" t="s">
        <v>5919</v>
      </c>
      <c r="C287" s="17" t="s">
        <v>5920</v>
      </c>
      <c r="D287" s="17" t="s">
        <v>5341</v>
      </c>
      <c r="E287" s="17" t="s">
        <v>5400</v>
      </c>
      <c r="F287" s="17" t="s">
        <v>5400</v>
      </c>
      <c r="G287" s="17" t="s">
        <v>5344</v>
      </c>
      <c r="H287" s="17" t="s">
        <v>5345</v>
      </c>
      <c r="I287" s="18">
        <v>60</v>
      </c>
    </row>
    <row r="288" spans="1:9" x14ac:dyDescent="0.25">
      <c r="A288" s="16" t="s">
        <v>1087</v>
      </c>
      <c r="B288" s="17" t="s">
        <v>5919</v>
      </c>
      <c r="C288" s="17" t="s">
        <v>5920</v>
      </c>
      <c r="D288" s="17" t="s">
        <v>5350</v>
      </c>
      <c r="E288" s="17" t="s">
        <v>5667</v>
      </c>
      <c r="F288" s="17" t="s">
        <v>5436</v>
      </c>
      <c r="G288" s="17" t="s">
        <v>5353</v>
      </c>
      <c r="H288" s="17" t="s">
        <v>5354</v>
      </c>
      <c r="I288" s="18">
        <v>67</v>
      </c>
    </row>
    <row r="289" spans="1:9" x14ac:dyDescent="0.25">
      <c r="A289" s="12" t="s">
        <v>336</v>
      </c>
      <c r="B289" s="13" t="s">
        <v>5919</v>
      </c>
      <c r="C289" s="13" t="s">
        <v>5517</v>
      </c>
      <c r="D289" s="13" t="s">
        <v>5350</v>
      </c>
      <c r="E289" s="13" t="s">
        <v>5921</v>
      </c>
      <c r="F289" s="13" t="s">
        <v>5480</v>
      </c>
      <c r="G289" s="13" t="s">
        <v>5366</v>
      </c>
      <c r="H289" s="13" t="s">
        <v>5367</v>
      </c>
      <c r="I289" s="14">
        <v>70</v>
      </c>
    </row>
    <row r="290" spans="1:9" x14ac:dyDescent="0.25">
      <c r="A290" s="16" t="s">
        <v>71</v>
      </c>
      <c r="B290" s="17" t="s">
        <v>5919</v>
      </c>
      <c r="C290" s="17" t="s">
        <v>5517</v>
      </c>
      <c r="D290" s="17" t="s">
        <v>5350</v>
      </c>
      <c r="E290" s="17" t="s">
        <v>5426</v>
      </c>
      <c r="F290" s="17" t="s">
        <v>5352</v>
      </c>
      <c r="G290" s="17" t="s">
        <v>5353</v>
      </c>
      <c r="H290" s="17" t="s">
        <v>5354</v>
      </c>
      <c r="I290" s="18">
        <v>80</v>
      </c>
    </row>
    <row r="291" spans="1:9" x14ac:dyDescent="0.25">
      <c r="A291" s="16" t="s">
        <v>802</v>
      </c>
      <c r="B291" s="17" t="s">
        <v>5922</v>
      </c>
      <c r="C291" s="17" t="s">
        <v>5923</v>
      </c>
      <c r="D291" s="17" t="s">
        <v>5357</v>
      </c>
      <c r="E291" s="17" t="s">
        <v>5376</v>
      </c>
      <c r="F291" s="17" t="s">
        <v>5377</v>
      </c>
      <c r="G291" s="17" t="s">
        <v>5366</v>
      </c>
      <c r="H291" s="17" t="s">
        <v>5367</v>
      </c>
      <c r="I291" s="18">
        <v>61</v>
      </c>
    </row>
    <row r="292" spans="1:9" x14ac:dyDescent="0.25">
      <c r="A292" s="16" t="s">
        <v>1066</v>
      </c>
      <c r="B292" s="17" t="s">
        <v>5922</v>
      </c>
      <c r="C292" s="17" t="s">
        <v>5924</v>
      </c>
      <c r="D292" s="17" t="s">
        <v>5341</v>
      </c>
      <c r="E292" s="17" t="s">
        <v>5776</v>
      </c>
      <c r="F292" s="17" t="s">
        <v>5483</v>
      </c>
      <c r="G292" s="17" t="s">
        <v>5366</v>
      </c>
      <c r="H292" s="17" t="s">
        <v>5367</v>
      </c>
      <c r="I292" s="18">
        <v>57</v>
      </c>
    </row>
    <row r="293" spans="1:9" x14ac:dyDescent="0.25">
      <c r="A293" s="16" t="s">
        <v>490</v>
      </c>
      <c r="B293" s="17" t="s">
        <v>5925</v>
      </c>
      <c r="C293" s="17" t="s">
        <v>5926</v>
      </c>
      <c r="D293" s="17" t="s">
        <v>5357</v>
      </c>
      <c r="E293" s="17" t="s">
        <v>5380</v>
      </c>
      <c r="F293" s="17" t="s">
        <v>5381</v>
      </c>
      <c r="G293" s="17" t="s">
        <v>5353</v>
      </c>
      <c r="H293" s="17" t="s">
        <v>5354</v>
      </c>
      <c r="I293" s="18">
        <v>31</v>
      </c>
    </row>
    <row r="294" spans="1:9" x14ac:dyDescent="0.25">
      <c r="A294" s="12" t="s">
        <v>886</v>
      </c>
      <c r="B294" s="13" t="s">
        <v>5925</v>
      </c>
      <c r="C294" s="13" t="s">
        <v>5927</v>
      </c>
      <c r="D294" s="13" t="s">
        <v>5350</v>
      </c>
      <c r="E294" s="13" t="s">
        <v>5455</v>
      </c>
      <c r="F294" s="13" t="s">
        <v>5436</v>
      </c>
      <c r="G294" s="13" t="s">
        <v>5353</v>
      </c>
      <c r="H294" s="13" t="s">
        <v>5354</v>
      </c>
      <c r="I294" s="14">
        <v>30</v>
      </c>
    </row>
    <row r="295" spans="1:9" x14ac:dyDescent="0.25">
      <c r="A295" s="16" t="s">
        <v>307</v>
      </c>
      <c r="B295" s="17" t="s">
        <v>5925</v>
      </c>
      <c r="C295" s="17" t="s">
        <v>5927</v>
      </c>
      <c r="D295" s="17" t="s">
        <v>5341</v>
      </c>
      <c r="E295" s="17" t="s">
        <v>5928</v>
      </c>
      <c r="F295" s="17" t="s">
        <v>5423</v>
      </c>
      <c r="G295" s="17" t="s">
        <v>5398</v>
      </c>
      <c r="H295" s="17" t="s">
        <v>5399</v>
      </c>
      <c r="I295" s="18">
        <v>77</v>
      </c>
    </row>
    <row r="296" spans="1:9" x14ac:dyDescent="0.25">
      <c r="A296" s="12" t="s">
        <v>840</v>
      </c>
      <c r="B296" s="13" t="s">
        <v>5925</v>
      </c>
      <c r="C296" s="13" t="s">
        <v>5927</v>
      </c>
      <c r="D296" s="13" t="s">
        <v>5357</v>
      </c>
      <c r="E296" s="13" t="s">
        <v>5383</v>
      </c>
      <c r="F296" s="13" t="s">
        <v>5365</v>
      </c>
      <c r="G296" s="13" t="s">
        <v>5366</v>
      </c>
      <c r="H296" s="13" t="s">
        <v>5367</v>
      </c>
      <c r="I296" s="14">
        <v>52</v>
      </c>
    </row>
    <row r="297" spans="1:9" x14ac:dyDescent="0.25">
      <c r="A297" s="16" t="s">
        <v>2037</v>
      </c>
      <c r="B297" s="17" t="s">
        <v>5929</v>
      </c>
      <c r="C297" s="17" t="s">
        <v>5642</v>
      </c>
      <c r="D297" s="17" t="s">
        <v>5357</v>
      </c>
      <c r="E297" s="17" t="s">
        <v>5814</v>
      </c>
      <c r="F297" s="17" t="s">
        <v>5397</v>
      </c>
      <c r="G297" s="17" t="s">
        <v>5398</v>
      </c>
      <c r="H297" s="17" t="s">
        <v>5399</v>
      </c>
      <c r="I297" s="18">
        <v>67</v>
      </c>
    </row>
    <row r="298" spans="1:9" x14ac:dyDescent="0.25">
      <c r="A298" s="16" t="s">
        <v>299</v>
      </c>
      <c r="B298" s="17" t="s">
        <v>5929</v>
      </c>
      <c r="C298" s="17" t="s">
        <v>5642</v>
      </c>
      <c r="D298" s="17" t="s">
        <v>5341</v>
      </c>
      <c r="E298" s="17" t="s">
        <v>5930</v>
      </c>
      <c r="F298" s="17" t="s">
        <v>5685</v>
      </c>
      <c r="G298" s="17" t="s">
        <v>5366</v>
      </c>
      <c r="H298" s="17" t="s">
        <v>5367</v>
      </c>
      <c r="I298" s="18">
        <v>36</v>
      </c>
    </row>
    <row r="299" spans="1:9" x14ac:dyDescent="0.25">
      <c r="A299" s="16" t="s">
        <v>520</v>
      </c>
      <c r="B299" s="17" t="s">
        <v>5931</v>
      </c>
      <c r="C299" s="17" t="s">
        <v>5932</v>
      </c>
      <c r="D299" s="17" t="s">
        <v>5350</v>
      </c>
      <c r="E299" s="17" t="s">
        <v>5400</v>
      </c>
      <c r="F299" s="17" t="s">
        <v>5400</v>
      </c>
      <c r="G299" s="17" t="s">
        <v>5344</v>
      </c>
      <c r="H299" s="17" t="s">
        <v>5345</v>
      </c>
      <c r="I299" s="18">
        <v>38</v>
      </c>
    </row>
    <row r="300" spans="1:9" x14ac:dyDescent="0.25">
      <c r="A300" s="16" t="s">
        <v>2558</v>
      </c>
      <c r="B300" s="17" t="s">
        <v>5933</v>
      </c>
      <c r="C300" s="17" t="s">
        <v>5934</v>
      </c>
      <c r="D300" s="17" t="s">
        <v>5341</v>
      </c>
      <c r="E300" s="17" t="s">
        <v>5497</v>
      </c>
      <c r="F300" s="17" t="s">
        <v>5498</v>
      </c>
      <c r="G300" s="17" t="s">
        <v>5370</v>
      </c>
      <c r="H300" s="17" t="s">
        <v>5371</v>
      </c>
      <c r="I300" s="18">
        <v>36</v>
      </c>
    </row>
    <row r="301" spans="1:9" x14ac:dyDescent="0.25">
      <c r="A301" s="16" t="s">
        <v>1373</v>
      </c>
      <c r="B301" s="17" t="s">
        <v>5935</v>
      </c>
      <c r="C301" s="17" t="s">
        <v>5936</v>
      </c>
      <c r="D301" s="17" t="s">
        <v>5341</v>
      </c>
      <c r="E301" s="17" t="s">
        <v>5489</v>
      </c>
      <c r="F301" s="17" t="s">
        <v>5390</v>
      </c>
      <c r="G301" s="17" t="s">
        <v>5353</v>
      </c>
      <c r="H301" s="17" t="s">
        <v>5354</v>
      </c>
      <c r="I301" s="18">
        <v>36</v>
      </c>
    </row>
    <row r="302" spans="1:9" x14ac:dyDescent="0.25">
      <c r="A302" s="12" t="s">
        <v>1522</v>
      </c>
      <c r="B302" s="13" t="s">
        <v>5937</v>
      </c>
      <c r="C302" s="13" t="s">
        <v>5938</v>
      </c>
      <c r="D302" s="13" t="s">
        <v>5350</v>
      </c>
      <c r="E302" s="13" t="s">
        <v>5939</v>
      </c>
      <c r="F302" s="13" t="s">
        <v>5940</v>
      </c>
      <c r="G302" s="13" t="s">
        <v>5370</v>
      </c>
      <c r="H302" s="13" t="s">
        <v>5371</v>
      </c>
      <c r="I302" s="14">
        <v>62</v>
      </c>
    </row>
    <row r="303" spans="1:9" x14ac:dyDescent="0.25">
      <c r="A303" s="12" t="s">
        <v>124</v>
      </c>
      <c r="B303" s="13" t="s">
        <v>5941</v>
      </c>
      <c r="C303" s="13" t="s">
        <v>5942</v>
      </c>
      <c r="D303" s="13" t="s">
        <v>5357</v>
      </c>
      <c r="E303" s="13" t="s">
        <v>5442</v>
      </c>
      <c r="F303" s="13" t="s">
        <v>5363</v>
      </c>
      <c r="G303" s="13" t="s">
        <v>5353</v>
      </c>
      <c r="H303" s="13" t="s">
        <v>5354</v>
      </c>
      <c r="I303" s="14">
        <v>41</v>
      </c>
    </row>
    <row r="304" spans="1:9" x14ac:dyDescent="0.25">
      <c r="A304" s="12" t="s">
        <v>1006</v>
      </c>
      <c r="B304" s="13" t="s">
        <v>5941</v>
      </c>
      <c r="C304" s="13" t="s">
        <v>5943</v>
      </c>
      <c r="D304" s="13" t="s">
        <v>5357</v>
      </c>
      <c r="E304" s="13" t="s">
        <v>5944</v>
      </c>
      <c r="F304" s="13" t="s">
        <v>5945</v>
      </c>
      <c r="G304" s="13" t="s">
        <v>5398</v>
      </c>
      <c r="H304" s="13" t="s">
        <v>5399</v>
      </c>
      <c r="I304" s="14">
        <v>74</v>
      </c>
    </row>
    <row r="305" spans="1:9" x14ac:dyDescent="0.25">
      <c r="A305" s="12" t="s">
        <v>366</v>
      </c>
      <c r="B305" s="13" t="s">
        <v>5946</v>
      </c>
      <c r="C305" s="13" t="s">
        <v>5947</v>
      </c>
      <c r="D305" s="13" t="s">
        <v>5341</v>
      </c>
      <c r="E305" s="13" t="s">
        <v>5948</v>
      </c>
      <c r="F305" s="13" t="s">
        <v>5407</v>
      </c>
      <c r="G305" s="13" t="s">
        <v>5366</v>
      </c>
      <c r="H305" s="13" t="s">
        <v>5367</v>
      </c>
      <c r="I305" s="14">
        <v>37</v>
      </c>
    </row>
    <row r="306" spans="1:9" x14ac:dyDescent="0.25">
      <c r="A306" s="12" t="s">
        <v>1495</v>
      </c>
      <c r="B306" s="13" t="s">
        <v>5949</v>
      </c>
      <c r="C306" s="13" t="s">
        <v>5950</v>
      </c>
      <c r="D306" s="13" t="s">
        <v>5341</v>
      </c>
      <c r="E306" s="13" t="s">
        <v>5951</v>
      </c>
      <c r="F306" s="13" t="s">
        <v>5423</v>
      </c>
      <c r="G306" s="13" t="s">
        <v>5398</v>
      </c>
      <c r="H306" s="13" t="s">
        <v>5399</v>
      </c>
      <c r="I306" s="14">
        <v>75</v>
      </c>
    </row>
    <row r="307" spans="1:9" x14ac:dyDescent="0.25">
      <c r="A307" s="16" t="s">
        <v>472</v>
      </c>
      <c r="B307" s="17" t="s">
        <v>5952</v>
      </c>
      <c r="C307" s="17" t="s">
        <v>5953</v>
      </c>
      <c r="D307" s="17" t="s">
        <v>5341</v>
      </c>
      <c r="E307" s="17" t="s">
        <v>5571</v>
      </c>
      <c r="F307" s="17" t="s">
        <v>5454</v>
      </c>
      <c r="G307" s="17" t="s">
        <v>5353</v>
      </c>
      <c r="H307" s="17" t="s">
        <v>5354</v>
      </c>
      <c r="I307" s="18">
        <v>67</v>
      </c>
    </row>
    <row r="308" spans="1:9" x14ac:dyDescent="0.25">
      <c r="A308" s="16" t="s">
        <v>251</v>
      </c>
      <c r="B308" s="17" t="s">
        <v>5952</v>
      </c>
      <c r="C308" s="17" t="s">
        <v>5954</v>
      </c>
      <c r="D308" s="17" t="s">
        <v>5357</v>
      </c>
      <c r="E308" s="17" t="s">
        <v>5955</v>
      </c>
      <c r="F308" s="17" t="s">
        <v>5387</v>
      </c>
      <c r="G308" s="17" t="s">
        <v>5344</v>
      </c>
      <c r="H308" s="17" t="s">
        <v>5345</v>
      </c>
      <c r="I308" s="18">
        <v>30</v>
      </c>
    </row>
    <row r="309" spans="1:9" x14ac:dyDescent="0.25">
      <c r="A309" s="16" t="s">
        <v>1404</v>
      </c>
      <c r="B309" s="17" t="s">
        <v>5956</v>
      </c>
      <c r="C309" s="17" t="s">
        <v>5957</v>
      </c>
      <c r="D309" s="17" t="s">
        <v>5350</v>
      </c>
      <c r="E309" s="17" t="s">
        <v>5958</v>
      </c>
      <c r="F309" s="17" t="s">
        <v>5498</v>
      </c>
      <c r="G309" s="17" t="s">
        <v>5370</v>
      </c>
      <c r="H309" s="17" t="s">
        <v>5371</v>
      </c>
      <c r="I309" s="18">
        <v>51</v>
      </c>
    </row>
    <row r="310" spans="1:9" x14ac:dyDescent="0.25">
      <c r="A310" s="16" t="s">
        <v>182</v>
      </c>
      <c r="B310" s="17" t="s">
        <v>5956</v>
      </c>
      <c r="C310" s="17" t="s">
        <v>5957</v>
      </c>
      <c r="D310" s="17" t="s">
        <v>5357</v>
      </c>
      <c r="E310" s="17" t="s">
        <v>5401</v>
      </c>
      <c r="F310" s="17" t="s">
        <v>5352</v>
      </c>
      <c r="G310" s="17" t="s">
        <v>5353</v>
      </c>
      <c r="H310" s="17" t="s">
        <v>5354</v>
      </c>
      <c r="I310" s="18">
        <v>77</v>
      </c>
    </row>
    <row r="311" spans="1:9" x14ac:dyDescent="0.25">
      <c r="A311" s="12" t="s">
        <v>1248</v>
      </c>
      <c r="B311" s="13" t="s">
        <v>5956</v>
      </c>
      <c r="C311" s="13" t="s">
        <v>5959</v>
      </c>
      <c r="D311" s="13" t="s">
        <v>5350</v>
      </c>
      <c r="E311" s="13" t="s">
        <v>5960</v>
      </c>
      <c r="F311" s="13" t="s">
        <v>5715</v>
      </c>
      <c r="G311" s="13" t="s">
        <v>5366</v>
      </c>
      <c r="H311" s="13" t="s">
        <v>5367</v>
      </c>
      <c r="I311" s="14">
        <v>64</v>
      </c>
    </row>
    <row r="312" spans="1:9" x14ac:dyDescent="0.25">
      <c r="A312" s="16" t="s">
        <v>673</v>
      </c>
      <c r="B312" s="17" t="s">
        <v>5961</v>
      </c>
      <c r="C312" s="17" t="s">
        <v>5962</v>
      </c>
      <c r="D312" s="17" t="s">
        <v>5357</v>
      </c>
      <c r="E312" s="17" t="s">
        <v>5458</v>
      </c>
      <c r="F312" s="17" t="s">
        <v>5454</v>
      </c>
      <c r="G312" s="17" t="s">
        <v>5353</v>
      </c>
      <c r="H312" s="17" t="s">
        <v>5354</v>
      </c>
      <c r="I312" s="18">
        <v>28</v>
      </c>
    </row>
    <row r="313" spans="1:9" x14ac:dyDescent="0.25">
      <c r="A313" s="12" t="s">
        <v>160</v>
      </c>
      <c r="B313" s="13" t="s">
        <v>5961</v>
      </c>
      <c r="C313" s="13" t="s">
        <v>5962</v>
      </c>
      <c r="D313" s="13" t="s">
        <v>5341</v>
      </c>
      <c r="E313" s="13" t="s">
        <v>5963</v>
      </c>
      <c r="F313" s="13" t="s">
        <v>5523</v>
      </c>
      <c r="G313" s="13" t="s">
        <v>5398</v>
      </c>
      <c r="H313" s="13" t="s">
        <v>5399</v>
      </c>
      <c r="I313" s="14">
        <v>34</v>
      </c>
    </row>
    <row r="314" spans="1:9" x14ac:dyDescent="0.25">
      <c r="A314" s="16" t="s">
        <v>235</v>
      </c>
      <c r="B314" s="17" t="s">
        <v>5964</v>
      </c>
      <c r="C314" s="17" t="s">
        <v>5965</v>
      </c>
      <c r="D314" s="17" t="s">
        <v>5341</v>
      </c>
      <c r="E314" s="17" t="s">
        <v>5966</v>
      </c>
      <c r="F314" s="17" t="s">
        <v>5967</v>
      </c>
      <c r="G314" s="17" t="s">
        <v>5366</v>
      </c>
      <c r="H314" s="17" t="s">
        <v>5367</v>
      </c>
      <c r="I314" s="18">
        <v>51</v>
      </c>
    </row>
    <row r="315" spans="1:9" x14ac:dyDescent="0.25">
      <c r="A315" s="12" t="s">
        <v>27</v>
      </c>
      <c r="B315" s="13" t="s">
        <v>5968</v>
      </c>
      <c r="C315" s="13" t="s">
        <v>5969</v>
      </c>
      <c r="D315" s="13" t="s">
        <v>5350</v>
      </c>
      <c r="E315" s="13" t="s">
        <v>5426</v>
      </c>
      <c r="F315" s="13" t="s">
        <v>5352</v>
      </c>
      <c r="G315" s="13" t="s">
        <v>5353</v>
      </c>
      <c r="H315" s="13" t="s">
        <v>5354</v>
      </c>
      <c r="I315" s="14">
        <v>53</v>
      </c>
    </row>
    <row r="316" spans="1:9" x14ac:dyDescent="0.25">
      <c r="A316" s="16" t="s">
        <v>1164</v>
      </c>
      <c r="B316" s="17" t="s">
        <v>5968</v>
      </c>
      <c r="C316" s="17" t="s">
        <v>5970</v>
      </c>
      <c r="D316" s="17" t="s">
        <v>5357</v>
      </c>
      <c r="E316" s="17" t="s">
        <v>5463</v>
      </c>
      <c r="F316" s="17" t="s">
        <v>5454</v>
      </c>
      <c r="G316" s="17" t="s">
        <v>5353</v>
      </c>
      <c r="H316" s="17" t="s">
        <v>5354</v>
      </c>
      <c r="I316" s="18">
        <v>42</v>
      </c>
    </row>
    <row r="317" spans="1:9" x14ac:dyDescent="0.25">
      <c r="A317" s="16" t="s">
        <v>710</v>
      </c>
      <c r="B317" s="17" t="s">
        <v>5968</v>
      </c>
      <c r="C317" s="17" t="s">
        <v>5502</v>
      </c>
      <c r="D317" s="17" t="s">
        <v>5357</v>
      </c>
      <c r="E317" s="17" t="s">
        <v>5400</v>
      </c>
      <c r="F317" s="17" t="s">
        <v>5400</v>
      </c>
      <c r="G317" s="17" t="s">
        <v>5344</v>
      </c>
      <c r="H317" s="17" t="s">
        <v>5345</v>
      </c>
      <c r="I317" s="18">
        <v>80</v>
      </c>
    </row>
    <row r="318" spans="1:9" x14ac:dyDescent="0.25">
      <c r="A318" s="12" t="s">
        <v>1026</v>
      </c>
      <c r="B318" s="13" t="s">
        <v>5968</v>
      </c>
      <c r="C318" s="13" t="s">
        <v>5971</v>
      </c>
      <c r="D318" s="13" t="s">
        <v>5357</v>
      </c>
      <c r="E318" s="13" t="s">
        <v>5431</v>
      </c>
      <c r="F318" s="13" t="s">
        <v>5431</v>
      </c>
      <c r="G318" s="13" t="s">
        <v>5370</v>
      </c>
      <c r="H318" s="13" t="s">
        <v>5371</v>
      </c>
      <c r="I318" s="14">
        <v>50</v>
      </c>
    </row>
    <row r="319" spans="1:9" x14ac:dyDescent="0.25">
      <c r="A319" s="12" t="s">
        <v>41</v>
      </c>
      <c r="B319" s="13" t="s">
        <v>5968</v>
      </c>
      <c r="C319" s="13" t="s">
        <v>5970</v>
      </c>
      <c r="D319" s="13" t="s">
        <v>5357</v>
      </c>
      <c r="E319" s="13" t="s">
        <v>5458</v>
      </c>
      <c r="F319" s="13" t="s">
        <v>5454</v>
      </c>
      <c r="G319" s="13" t="s">
        <v>5353</v>
      </c>
      <c r="H319" s="13" t="s">
        <v>5354</v>
      </c>
      <c r="I319" s="14">
        <v>66</v>
      </c>
    </row>
    <row r="320" spans="1:9" x14ac:dyDescent="0.25">
      <c r="A320" s="12" t="s">
        <v>703</v>
      </c>
      <c r="B320" s="13" t="s">
        <v>5968</v>
      </c>
      <c r="C320" s="13" t="s">
        <v>5970</v>
      </c>
      <c r="D320" s="13" t="s">
        <v>5357</v>
      </c>
      <c r="E320" s="13" t="s">
        <v>5368</v>
      </c>
      <c r="F320" s="13" t="s">
        <v>5369</v>
      </c>
      <c r="G320" s="13" t="s">
        <v>5370</v>
      </c>
      <c r="H320" s="13" t="s">
        <v>5371</v>
      </c>
      <c r="I320" s="14">
        <v>62</v>
      </c>
    </row>
    <row r="321" spans="1:9" x14ac:dyDescent="0.25">
      <c r="A321" s="16" t="s">
        <v>1017</v>
      </c>
      <c r="B321" s="17" t="s">
        <v>5968</v>
      </c>
      <c r="C321" s="17" t="s">
        <v>5970</v>
      </c>
      <c r="D321" s="17" t="s">
        <v>5341</v>
      </c>
      <c r="E321" s="17" t="s">
        <v>5972</v>
      </c>
      <c r="F321" s="17" t="s">
        <v>5430</v>
      </c>
      <c r="G321" s="17" t="s">
        <v>5398</v>
      </c>
      <c r="H321" s="17" t="s">
        <v>5399</v>
      </c>
      <c r="I321" s="18">
        <v>52</v>
      </c>
    </row>
    <row r="322" spans="1:9" x14ac:dyDescent="0.25">
      <c r="A322" s="12" t="s">
        <v>700</v>
      </c>
      <c r="B322" s="13" t="s">
        <v>5973</v>
      </c>
      <c r="C322" s="13" t="s">
        <v>5757</v>
      </c>
      <c r="D322" s="13" t="s">
        <v>5350</v>
      </c>
      <c r="E322" s="13" t="s">
        <v>5974</v>
      </c>
      <c r="F322" s="13" t="s">
        <v>5390</v>
      </c>
      <c r="G322" s="13" t="s">
        <v>5353</v>
      </c>
      <c r="H322" s="13" t="s">
        <v>5354</v>
      </c>
      <c r="I322" s="14">
        <v>37</v>
      </c>
    </row>
    <row r="323" spans="1:9" x14ac:dyDescent="0.25">
      <c r="A323" s="16" t="s">
        <v>469</v>
      </c>
      <c r="B323" s="17" t="s">
        <v>5973</v>
      </c>
      <c r="C323" s="17" t="s">
        <v>5975</v>
      </c>
      <c r="D323" s="17" t="s">
        <v>5357</v>
      </c>
      <c r="E323" s="17" t="s">
        <v>5976</v>
      </c>
      <c r="F323" s="17" t="s">
        <v>5977</v>
      </c>
      <c r="G323" s="17" t="s">
        <v>5370</v>
      </c>
      <c r="H323" s="17" t="s">
        <v>5371</v>
      </c>
      <c r="I323" s="18">
        <v>70</v>
      </c>
    </row>
    <row r="324" spans="1:9" x14ac:dyDescent="0.25">
      <c r="A324" s="16" t="s">
        <v>225</v>
      </c>
      <c r="B324" s="17" t="s">
        <v>5973</v>
      </c>
      <c r="C324" s="17" t="s">
        <v>5975</v>
      </c>
      <c r="D324" s="17" t="s">
        <v>5341</v>
      </c>
      <c r="E324" s="17" t="s">
        <v>5978</v>
      </c>
      <c r="F324" s="17" t="s">
        <v>5558</v>
      </c>
      <c r="G324" s="17" t="s">
        <v>5366</v>
      </c>
      <c r="H324" s="17" t="s">
        <v>5367</v>
      </c>
      <c r="I324" s="18">
        <v>79</v>
      </c>
    </row>
    <row r="325" spans="1:9" x14ac:dyDescent="0.25">
      <c r="A325" s="12" t="s">
        <v>1145</v>
      </c>
      <c r="B325" s="13" t="s">
        <v>5979</v>
      </c>
      <c r="C325" s="13" t="s">
        <v>5980</v>
      </c>
      <c r="D325" s="13" t="s">
        <v>5341</v>
      </c>
      <c r="E325" s="13" t="s">
        <v>5503</v>
      </c>
      <c r="F325" s="13" t="s">
        <v>5407</v>
      </c>
      <c r="G325" s="13" t="s">
        <v>5366</v>
      </c>
      <c r="H325" s="13" t="s">
        <v>5367</v>
      </c>
      <c r="I325" s="14">
        <v>76</v>
      </c>
    </row>
    <row r="326" spans="1:9" x14ac:dyDescent="0.25">
      <c r="A326" s="16" t="s">
        <v>245</v>
      </c>
      <c r="B326" s="17" t="s">
        <v>5979</v>
      </c>
      <c r="C326" s="17" t="s">
        <v>5981</v>
      </c>
      <c r="D326" s="17" t="s">
        <v>5357</v>
      </c>
      <c r="E326" s="17" t="s">
        <v>5982</v>
      </c>
      <c r="F326" s="17" t="s">
        <v>5983</v>
      </c>
      <c r="G326" s="17" t="s">
        <v>5370</v>
      </c>
      <c r="H326" s="17" t="s">
        <v>5371</v>
      </c>
      <c r="I326" s="18">
        <v>28</v>
      </c>
    </row>
    <row r="327" spans="1:9" x14ac:dyDescent="0.25">
      <c r="A327" s="16" t="s">
        <v>223</v>
      </c>
      <c r="B327" s="17" t="s">
        <v>5979</v>
      </c>
      <c r="C327" s="17" t="s">
        <v>5980</v>
      </c>
      <c r="D327" s="17" t="s">
        <v>5350</v>
      </c>
      <c r="E327" s="17" t="s">
        <v>5984</v>
      </c>
      <c r="F327" s="17" t="s">
        <v>5375</v>
      </c>
      <c r="G327" s="17" t="s">
        <v>5344</v>
      </c>
      <c r="H327" s="17" t="s">
        <v>5345</v>
      </c>
      <c r="I327" s="18">
        <v>63</v>
      </c>
    </row>
    <row r="328" spans="1:9" x14ac:dyDescent="0.25">
      <c r="A328" s="12" t="s">
        <v>1119</v>
      </c>
      <c r="B328" s="13" t="s">
        <v>5985</v>
      </c>
      <c r="C328" s="13" t="s">
        <v>5674</v>
      </c>
      <c r="D328" s="13" t="s">
        <v>5357</v>
      </c>
      <c r="E328" s="13" t="s">
        <v>5986</v>
      </c>
      <c r="F328" s="13" t="s">
        <v>5486</v>
      </c>
      <c r="G328" s="13" t="s">
        <v>5398</v>
      </c>
      <c r="H328" s="13" t="s">
        <v>5399</v>
      </c>
      <c r="I328" s="14">
        <v>67</v>
      </c>
    </row>
    <row r="329" spans="1:9" x14ac:dyDescent="0.25">
      <c r="A329" s="12" t="s">
        <v>436</v>
      </c>
      <c r="B329" s="13" t="s">
        <v>5985</v>
      </c>
      <c r="C329" s="13" t="s">
        <v>5923</v>
      </c>
      <c r="D329" s="13" t="s">
        <v>5357</v>
      </c>
      <c r="E329" s="13" t="s">
        <v>5987</v>
      </c>
      <c r="F329" s="13" t="s">
        <v>5823</v>
      </c>
      <c r="G329" s="13" t="s">
        <v>5398</v>
      </c>
      <c r="H329" s="13" t="s">
        <v>5399</v>
      </c>
      <c r="I329" s="14">
        <v>34</v>
      </c>
    </row>
    <row r="330" spans="1:9" x14ac:dyDescent="0.25">
      <c r="A330" s="12" t="s">
        <v>1037</v>
      </c>
      <c r="B330" s="13" t="s">
        <v>5985</v>
      </c>
      <c r="C330" s="13" t="s">
        <v>5988</v>
      </c>
      <c r="D330" s="13" t="s">
        <v>5341</v>
      </c>
      <c r="E330" s="13" t="s">
        <v>5763</v>
      </c>
      <c r="F330" s="13" t="s">
        <v>5436</v>
      </c>
      <c r="G330" s="13" t="s">
        <v>5353</v>
      </c>
      <c r="H330" s="13" t="s">
        <v>5354</v>
      </c>
      <c r="I330" s="14">
        <v>48</v>
      </c>
    </row>
    <row r="331" spans="1:9" x14ac:dyDescent="0.25">
      <c r="A331" s="16" t="s">
        <v>1341</v>
      </c>
      <c r="B331" s="17" t="s">
        <v>5985</v>
      </c>
      <c r="C331" s="17" t="s">
        <v>5923</v>
      </c>
      <c r="D331" s="17" t="s">
        <v>5350</v>
      </c>
      <c r="E331" s="17" t="s">
        <v>5431</v>
      </c>
      <c r="F331" s="17" t="s">
        <v>5431</v>
      </c>
      <c r="G331" s="17" t="s">
        <v>5370</v>
      </c>
      <c r="H331" s="17" t="s">
        <v>5371</v>
      </c>
      <c r="I331" s="18">
        <v>75</v>
      </c>
    </row>
    <row r="332" spans="1:9" x14ac:dyDescent="0.25">
      <c r="A332" s="12" t="s">
        <v>810</v>
      </c>
      <c r="B332" s="13" t="s">
        <v>5989</v>
      </c>
      <c r="C332" s="13" t="s">
        <v>5990</v>
      </c>
      <c r="D332" s="13" t="s">
        <v>5357</v>
      </c>
      <c r="E332" s="13" t="s">
        <v>5400</v>
      </c>
      <c r="F332" s="13" t="s">
        <v>5400</v>
      </c>
      <c r="G332" s="13" t="s">
        <v>5344</v>
      </c>
      <c r="H332" s="13" t="s">
        <v>5345</v>
      </c>
      <c r="I332" s="14">
        <v>52</v>
      </c>
    </row>
    <row r="333" spans="1:9" x14ac:dyDescent="0.25">
      <c r="A333" s="16" t="s">
        <v>1594</v>
      </c>
      <c r="B333" s="17" t="s">
        <v>5989</v>
      </c>
      <c r="C333" s="17" t="s">
        <v>5990</v>
      </c>
      <c r="D333" s="17" t="s">
        <v>5341</v>
      </c>
      <c r="E333" s="17" t="s">
        <v>5869</v>
      </c>
      <c r="F333" s="17" t="s">
        <v>5669</v>
      </c>
      <c r="G333" s="17" t="s">
        <v>5370</v>
      </c>
      <c r="H333" s="17" t="s">
        <v>5371</v>
      </c>
      <c r="I333" s="18">
        <v>25</v>
      </c>
    </row>
    <row r="334" spans="1:9" x14ac:dyDescent="0.25">
      <c r="A334" s="16" t="s">
        <v>1462</v>
      </c>
      <c r="B334" s="17" t="s">
        <v>5991</v>
      </c>
      <c r="C334" s="17" t="s">
        <v>5992</v>
      </c>
      <c r="D334" s="17" t="s">
        <v>5341</v>
      </c>
      <c r="E334" s="17" t="s">
        <v>5993</v>
      </c>
      <c r="F334" s="17" t="s">
        <v>5352</v>
      </c>
      <c r="G334" s="17" t="s">
        <v>5353</v>
      </c>
      <c r="H334" s="17" t="s">
        <v>5354</v>
      </c>
      <c r="I334" s="18">
        <v>38</v>
      </c>
    </row>
    <row r="335" spans="1:9" x14ac:dyDescent="0.25">
      <c r="A335" s="12" t="s">
        <v>32</v>
      </c>
      <c r="B335" s="13" t="s">
        <v>5994</v>
      </c>
      <c r="C335" s="13" t="s">
        <v>5995</v>
      </c>
      <c r="D335" s="13" t="s">
        <v>5357</v>
      </c>
      <c r="E335" s="13" t="s">
        <v>5996</v>
      </c>
      <c r="F335" s="13" t="s">
        <v>5854</v>
      </c>
      <c r="G335" s="13" t="s">
        <v>5398</v>
      </c>
      <c r="H335" s="13" t="s">
        <v>5399</v>
      </c>
      <c r="I335" s="14">
        <v>42</v>
      </c>
    </row>
    <row r="336" spans="1:9" x14ac:dyDescent="0.25">
      <c r="A336" s="12" t="s">
        <v>892</v>
      </c>
      <c r="B336" s="13" t="s">
        <v>5994</v>
      </c>
      <c r="C336" s="13" t="s">
        <v>5537</v>
      </c>
      <c r="D336" s="13" t="s">
        <v>5357</v>
      </c>
      <c r="E336" s="13" t="s">
        <v>5475</v>
      </c>
      <c r="F336" s="13" t="s">
        <v>5476</v>
      </c>
      <c r="G336" s="13" t="s">
        <v>5344</v>
      </c>
      <c r="H336" s="13" t="s">
        <v>5345</v>
      </c>
      <c r="I336" s="14">
        <v>62</v>
      </c>
    </row>
    <row r="337" spans="1:9" x14ac:dyDescent="0.25">
      <c r="A337" s="12" t="s">
        <v>202</v>
      </c>
      <c r="B337" s="13" t="s">
        <v>5997</v>
      </c>
      <c r="C337" s="13" t="s">
        <v>5998</v>
      </c>
      <c r="D337" s="13" t="s">
        <v>5357</v>
      </c>
      <c r="E337" s="13" t="s">
        <v>5999</v>
      </c>
      <c r="F337" s="13" t="s">
        <v>5580</v>
      </c>
      <c r="G337" s="13" t="s">
        <v>5366</v>
      </c>
      <c r="H337" s="13" t="s">
        <v>5367</v>
      </c>
      <c r="I337" s="14">
        <v>51</v>
      </c>
    </row>
    <row r="338" spans="1:9" x14ac:dyDescent="0.25">
      <c r="A338" s="16" t="s">
        <v>476</v>
      </c>
      <c r="B338" s="17" t="s">
        <v>6000</v>
      </c>
      <c r="C338" s="17" t="s">
        <v>5604</v>
      </c>
      <c r="D338" s="17" t="s">
        <v>5357</v>
      </c>
      <c r="E338" s="17" t="s">
        <v>5468</v>
      </c>
      <c r="F338" s="17" t="s">
        <v>5468</v>
      </c>
      <c r="G338" s="17" t="s">
        <v>5366</v>
      </c>
      <c r="H338" s="17" t="s">
        <v>5367</v>
      </c>
      <c r="I338" s="18">
        <v>75</v>
      </c>
    </row>
    <row r="339" spans="1:9" x14ac:dyDescent="0.25">
      <c r="A339" s="16" t="s">
        <v>967</v>
      </c>
      <c r="B339" s="17" t="s">
        <v>6001</v>
      </c>
      <c r="C339" s="17" t="s">
        <v>5517</v>
      </c>
      <c r="D339" s="17" t="s">
        <v>5357</v>
      </c>
      <c r="E339" s="17" t="s">
        <v>6002</v>
      </c>
      <c r="F339" s="17" t="s">
        <v>5539</v>
      </c>
      <c r="G339" s="17" t="s">
        <v>5366</v>
      </c>
      <c r="H339" s="17" t="s">
        <v>5367</v>
      </c>
      <c r="I339" s="18">
        <v>69</v>
      </c>
    </row>
    <row r="340" spans="1:9" x14ac:dyDescent="0.25">
      <c r="A340" s="16" t="s">
        <v>615</v>
      </c>
      <c r="B340" s="17" t="s">
        <v>6001</v>
      </c>
      <c r="C340" s="17" t="s">
        <v>6003</v>
      </c>
      <c r="D340" s="17" t="s">
        <v>5341</v>
      </c>
      <c r="E340" s="17" t="s">
        <v>5921</v>
      </c>
      <c r="F340" s="17" t="s">
        <v>5480</v>
      </c>
      <c r="G340" s="17" t="s">
        <v>5366</v>
      </c>
      <c r="H340" s="17" t="s">
        <v>5367</v>
      </c>
      <c r="I340" s="18">
        <v>78</v>
      </c>
    </row>
    <row r="341" spans="1:9" x14ac:dyDescent="0.25">
      <c r="A341" s="12" t="s">
        <v>198</v>
      </c>
      <c r="B341" s="13" t="s">
        <v>6004</v>
      </c>
      <c r="C341" s="13" t="s">
        <v>6005</v>
      </c>
      <c r="D341" s="13" t="s">
        <v>5341</v>
      </c>
      <c r="E341" s="13" t="s">
        <v>5583</v>
      </c>
      <c r="F341" s="13" t="s">
        <v>5498</v>
      </c>
      <c r="G341" s="13" t="s">
        <v>5370</v>
      </c>
      <c r="H341" s="13" t="s">
        <v>5371</v>
      </c>
      <c r="I341" s="14">
        <v>67</v>
      </c>
    </row>
    <row r="342" spans="1:9" x14ac:dyDescent="0.25">
      <c r="A342" s="12" t="s">
        <v>790</v>
      </c>
      <c r="B342" s="13" t="s">
        <v>6006</v>
      </c>
      <c r="C342" s="13" t="s">
        <v>5452</v>
      </c>
      <c r="D342" s="13" t="s">
        <v>5341</v>
      </c>
      <c r="E342" s="13" t="s">
        <v>6007</v>
      </c>
      <c r="F342" s="13" t="s">
        <v>5436</v>
      </c>
      <c r="G342" s="13" t="s">
        <v>5353</v>
      </c>
      <c r="H342" s="13" t="s">
        <v>5354</v>
      </c>
      <c r="I342" s="14">
        <v>45</v>
      </c>
    </row>
    <row r="343" spans="1:9" x14ac:dyDescent="0.25">
      <c r="A343" s="12" t="s">
        <v>112</v>
      </c>
      <c r="B343" s="13" t="s">
        <v>6006</v>
      </c>
      <c r="C343" s="13" t="s">
        <v>6008</v>
      </c>
      <c r="D343" s="13" t="s">
        <v>5350</v>
      </c>
      <c r="E343" s="13" t="s">
        <v>6009</v>
      </c>
      <c r="F343" s="13" t="s">
        <v>6010</v>
      </c>
      <c r="G343" s="13" t="s">
        <v>5370</v>
      </c>
      <c r="H343" s="13" t="s">
        <v>5371</v>
      </c>
      <c r="I343" s="14">
        <v>61</v>
      </c>
    </row>
    <row r="344" spans="1:9" x14ac:dyDescent="0.25">
      <c r="A344" s="12" t="s">
        <v>1220</v>
      </c>
      <c r="B344" s="13" t="s">
        <v>6011</v>
      </c>
      <c r="C344" s="13" t="s">
        <v>5874</v>
      </c>
      <c r="D344" s="13" t="s">
        <v>5350</v>
      </c>
      <c r="E344" s="13" t="s">
        <v>6012</v>
      </c>
      <c r="F344" s="13" t="s">
        <v>6013</v>
      </c>
      <c r="G344" s="13" t="s">
        <v>5398</v>
      </c>
      <c r="H344" s="13" t="s">
        <v>5399</v>
      </c>
      <c r="I344" s="14">
        <v>74</v>
      </c>
    </row>
    <row r="345" spans="1:9" x14ac:dyDescent="0.25">
      <c r="A345" s="12" t="s">
        <v>231</v>
      </c>
      <c r="B345" s="13" t="s">
        <v>6014</v>
      </c>
      <c r="C345" s="13" t="s">
        <v>6015</v>
      </c>
      <c r="D345" s="13" t="s">
        <v>5350</v>
      </c>
      <c r="E345" s="13" t="s">
        <v>5734</v>
      </c>
      <c r="F345" s="13" t="s">
        <v>5397</v>
      </c>
      <c r="G345" s="13" t="s">
        <v>5398</v>
      </c>
      <c r="H345" s="13" t="s">
        <v>5399</v>
      </c>
      <c r="I345" s="14">
        <v>39</v>
      </c>
    </row>
    <row r="346" spans="1:9" x14ac:dyDescent="0.25">
      <c r="A346" s="16" t="s">
        <v>264</v>
      </c>
      <c r="B346" s="17" t="s">
        <v>6014</v>
      </c>
      <c r="C346" s="17" t="s">
        <v>5745</v>
      </c>
      <c r="D346" s="17" t="s">
        <v>5357</v>
      </c>
      <c r="E346" s="17" t="s">
        <v>6016</v>
      </c>
      <c r="F346" s="17" t="s">
        <v>6010</v>
      </c>
      <c r="G346" s="17" t="s">
        <v>5370</v>
      </c>
      <c r="H346" s="17" t="s">
        <v>5371</v>
      </c>
      <c r="I346" s="18">
        <v>27</v>
      </c>
    </row>
    <row r="347" spans="1:9" x14ac:dyDescent="0.25">
      <c r="A347" s="12" t="s">
        <v>402</v>
      </c>
      <c r="B347" s="13" t="s">
        <v>6017</v>
      </c>
      <c r="C347" s="13" t="s">
        <v>5830</v>
      </c>
      <c r="D347" s="13" t="s">
        <v>5357</v>
      </c>
      <c r="E347" s="13" t="s">
        <v>5400</v>
      </c>
      <c r="F347" s="13" t="s">
        <v>5400</v>
      </c>
      <c r="G347" s="13" t="s">
        <v>5344</v>
      </c>
      <c r="H347" s="13" t="s">
        <v>5345</v>
      </c>
      <c r="I347" s="14">
        <v>38</v>
      </c>
    </row>
    <row r="348" spans="1:9" x14ac:dyDescent="0.25">
      <c r="A348" s="12" t="s">
        <v>1011</v>
      </c>
      <c r="B348" s="13" t="s">
        <v>6018</v>
      </c>
      <c r="C348" s="13" t="s">
        <v>6019</v>
      </c>
      <c r="D348" s="13" t="s">
        <v>5341</v>
      </c>
      <c r="E348" s="13" t="s">
        <v>6020</v>
      </c>
      <c r="F348" s="13" t="s">
        <v>5509</v>
      </c>
      <c r="G348" s="13" t="s">
        <v>5344</v>
      </c>
      <c r="H348" s="13" t="s">
        <v>5345</v>
      </c>
      <c r="I348" s="14">
        <v>66</v>
      </c>
    </row>
    <row r="349" spans="1:9" x14ac:dyDescent="0.25">
      <c r="A349" s="12" t="s">
        <v>1015</v>
      </c>
      <c r="B349" s="13" t="s">
        <v>6018</v>
      </c>
      <c r="C349" s="13" t="s">
        <v>6019</v>
      </c>
      <c r="D349" s="13" t="s">
        <v>5357</v>
      </c>
      <c r="E349" s="13" t="s">
        <v>5471</v>
      </c>
      <c r="F349" s="13" t="s">
        <v>5352</v>
      </c>
      <c r="G349" s="13" t="s">
        <v>5353</v>
      </c>
      <c r="H349" s="13" t="s">
        <v>5354</v>
      </c>
      <c r="I349" s="14">
        <v>31</v>
      </c>
    </row>
    <row r="350" spans="1:9" x14ac:dyDescent="0.25">
      <c r="A350" s="16" t="s">
        <v>155</v>
      </c>
      <c r="B350" s="17" t="s">
        <v>6021</v>
      </c>
      <c r="C350" s="17" t="s">
        <v>6022</v>
      </c>
      <c r="D350" s="17" t="s">
        <v>5357</v>
      </c>
      <c r="E350" s="17" t="s">
        <v>5400</v>
      </c>
      <c r="F350" s="17" t="s">
        <v>5400</v>
      </c>
      <c r="G350" s="17" t="s">
        <v>5344</v>
      </c>
      <c r="H350" s="17" t="s">
        <v>5345</v>
      </c>
      <c r="I350" s="18">
        <v>31</v>
      </c>
    </row>
    <row r="351" spans="1:9" x14ac:dyDescent="0.25">
      <c r="A351" s="16" t="s">
        <v>186</v>
      </c>
      <c r="B351" s="17" t="s">
        <v>6021</v>
      </c>
      <c r="C351" s="17" t="s">
        <v>6023</v>
      </c>
      <c r="D351" s="17" t="s">
        <v>5357</v>
      </c>
      <c r="E351" s="17" t="s">
        <v>5431</v>
      </c>
      <c r="F351" s="17" t="s">
        <v>5431</v>
      </c>
      <c r="G351" s="17" t="s">
        <v>5370</v>
      </c>
      <c r="H351" s="17" t="s">
        <v>5371</v>
      </c>
      <c r="I351" s="18">
        <v>70</v>
      </c>
    </row>
    <row r="352" spans="1:9" x14ac:dyDescent="0.25">
      <c r="A352" s="16" t="s">
        <v>1424</v>
      </c>
      <c r="B352" s="17" t="s">
        <v>6021</v>
      </c>
      <c r="C352" s="17" t="s">
        <v>6022</v>
      </c>
      <c r="D352" s="17" t="s">
        <v>5357</v>
      </c>
      <c r="E352" s="17" t="s">
        <v>5716</v>
      </c>
      <c r="F352" s="17" t="s">
        <v>5716</v>
      </c>
      <c r="G352" s="17" t="s">
        <v>5344</v>
      </c>
      <c r="H352" s="17" t="s">
        <v>5345</v>
      </c>
      <c r="I352" s="18">
        <v>58</v>
      </c>
    </row>
    <row r="353" spans="1:9" x14ac:dyDescent="0.25">
      <c r="A353" s="16" t="s">
        <v>1398</v>
      </c>
      <c r="B353" s="17" t="s">
        <v>6024</v>
      </c>
      <c r="C353" s="17" t="s">
        <v>6025</v>
      </c>
      <c r="D353" s="17" t="s">
        <v>5357</v>
      </c>
      <c r="E353" s="17" t="s">
        <v>5658</v>
      </c>
      <c r="F353" s="17" t="s">
        <v>5498</v>
      </c>
      <c r="G353" s="17" t="s">
        <v>5370</v>
      </c>
      <c r="H353" s="17" t="s">
        <v>5371</v>
      </c>
      <c r="I353" s="18">
        <v>63</v>
      </c>
    </row>
    <row r="354" spans="1:9" x14ac:dyDescent="0.25">
      <c r="A354" s="12" t="s">
        <v>190</v>
      </c>
      <c r="B354" s="13" t="s">
        <v>6026</v>
      </c>
      <c r="C354" s="13" t="s">
        <v>6027</v>
      </c>
      <c r="D354" s="13" t="s">
        <v>5357</v>
      </c>
      <c r="E354" s="13" t="s">
        <v>5705</v>
      </c>
      <c r="F354" s="13" t="s">
        <v>5423</v>
      </c>
      <c r="G354" s="13" t="s">
        <v>5398</v>
      </c>
      <c r="H354" s="13" t="s">
        <v>5399</v>
      </c>
      <c r="I354" s="14">
        <v>50</v>
      </c>
    </row>
    <row r="355" spans="1:9" x14ac:dyDescent="0.25">
      <c r="A355" s="12" t="s">
        <v>1534</v>
      </c>
      <c r="B355" s="13" t="s">
        <v>6028</v>
      </c>
      <c r="C355" s="13" t="s">
        <v>5439</v>
      </c>
      <c r="D355" s="13" t="s">
        <v>5357</v>
      </c>
      <c r="E355" s="13" t="s">
        <v>5426</v>
      </c>
      <c r="F355" s="13" t="s">
        <v>5352</v>
      </c>
      <c r="G355" s="13" t="s">
        <v>5353</v>
      </c>
      <c r="H355" s="13" t="s">
        <v>5354</v>
      </c>
      <c r="I355" s="14">
        <v>41</v>
      </c>
    </row>
    <row r="356" spans="1:9" x14ac:dyDescent="0.25">
      <c r="A356" s="16" t="s">
        <v>571</v>
      </c>
      <c r="B356" s="17" t="s">
        <v>6028</v>
      </c>
      <c r="C356" s="17" t="s">
        <v>6029</v>
      </c>
      <c r="D356" s="17" t="s">
        <v>5341</v>
      </c>
      <c r="E356" s="17" t="s">
        <v>5435</v>
      </c>
      <c r="F356" s="17" t="s">
        <v>5436</v>
      </c>
      <c r="G356" s="17" t="s">
        <v>5353</v>
      </c>
      <c r="H356" s="17" t="s">
        <v>5354</v>
      </c>
      <c r="I356" s="18">
        <v>80</v>
      </c>
    </row>
    <row r="357" spans="1:9" x14ac:dyDescent="0.25">
      <c r="A357" s="16" t="s">
        <v>118</v>
      </c>
      <c r="B357" s="17" t="s">
        <v>6028</v>
      </c>
      <c r="C357" s="17" t="s">
        <v>6029</v>
      </c>
      <c r="D357" s="17" t="s">
        <v>5357</v>
      </c>
      <c r="E357" s="17" t="s">
        <v>5819</v>
      </c>
      <c r="F357" s="17" t="s">
        <v>5359</v>
      </c>
      <c r="G357" s="17" t="s">
        <v>5344</v>
      </c>
      <c r="H357" s="17" t="s">
        <v>5345</v>
      </c>
      <c r="I357" s="18">
        <v>25</v>
      </c>
    </row>
    <row r="358" spans="1:9" x14ac:dyDescent="0.25">
      <c r="A358" s="16" t="s">
        <v>268</v>
      </c>
      <c r="B358" s="17" t="s">
        <v>6030</v>
      </c>
      <c r="C358" s="17" t="s">
        <v>6031</v>
      </c>
      <c r="D358" s="17" t="s">
        <v>5341</v>
      </c>
      <c r="E358" s="17" t="s">
        <v>5552</v>
      </c>
      <c r="F358" s="17" t="s">
        <v>5423</v>
      </c>
      <c r="G358" s="17" t="s">
        <v>5398</v>
      </c>
      <c r="H358" s="17" t="s">
        <v>5399</v>
      </c>
      <c r="I358" s="18">
        <v>65</v>
      </c>
    </row>
    <row r="359" spans="1:9" x14ac:dyDescent="0.25">
      <c r="A359" s="16" t="s">
        <v>58</v>
      </c>
      <c r="B359" s="17" t="s">
        <v>6030</v>
      </c>
      <c r="C359" s="17" t="s">
        <v>6032</v>
      </c>
      <c r="D359" s="17" t="s">
        <v>5350</v>
      </c>
      <c r="E359" s="17" t="s">
        <v>5455</v>
      </c>
      <c r="F359" s="17" t="s">
        <v>5436</v>
      </c>
      <c r="G359" s="17" t="s">
        <v>5353</v>
      </c>
      <c r="H359" s="17" t="s">
        <v>5354</v>
      </c>
      <c r="I359" s="18">
        <v>73</v>
      </c>
    </row>
    <row r="360" spans="1:9" x14ac:dyDescent="0.25">
      <c r="A360" s="16" t="s">
        <v>1230</v>
      </c>
      <c r="B360" s="17" t="s">
        <v>6030</v>
      </c>
      <c r="C360" s="17" t="s">
        <v>5831</v>
      </c>
      <c r="D360" s="17" t="s">
        <v>5357</v>
      </c>
      <c r="E360" s="17" t="s">
        <v>5362</v>
      </c>
      <c r="F360" s="17" t="s">
        <v>5363</v>
      </c>
      <c r="G360" s="17" t="s">
        <v>5353</v>
      </c>
      <c r="H360" s="17" t="s">
        <v>5354</v>
      </c>
      <c r="I360" s="18">
        <v>66</v>
      </c>
    </row>
    <row r="361" spans="1:9" x14ac:dyDescent="0.25">
      <c r="A361" s="12" t="s">
        <v>422</v>
      </c>
      <c r="B361" s="13" t="s">
        <v>6033</v>
      </c>
      <c r="C361" s="13" t="s">
        <v>6034</v>
      </c>
      <c r="D361" s="13" t="s">
        <v>5357</v>
      </c>
      <c r="E361" s="13" t="s">
        <v>5442</v>
      </c>
      <c r="F361" s="13" t="s">
        <v>5363</v>
      </c>
      <c r="G361" s="13" t="s">
        <v>5353</v>
      </c>
      <c r="H361" s="13" t="s">
        <v>5354</v>
      </c>
      <c r="I361" s="14">
        <v>70</v>
      </c>
    </row>
    <row r="362" spans="1:9" x14ac:dyDescent="0.25">
      <c r="A362" s="16" t="s">
        <v>1660</v>
      </c>
      <c r="B362" s="17" t="s">
        <v>6035</v>
      </c>
      <c r="C362" s="17" t="s">
        <v>6036</v>
      </c>
      <c r="D362" s="17" t="s">
        <v>5357</v>
      </c>
      <c r="E362" s="17" t="s">
        <v>5347</v>
      </c>
      <c r="F362" s="17" t="s">
        <v>5348</v>
      </c>
      <c r="G362" s="17" t="s">
        <v>5344</v>
      </c>
      <c r="H362" s="17" t="s">
        <v>5345</v>
      </c>
      <c r="I362" s="18">
        <v>46</v>
      </c>
    </row>
    <row r="363" spans="1:9" x14ac:dyDescent="0.25">
      <c r="A363" s="12" t="s">
        <v>406</v>
      </c>
      <c r="B363" s="13" t="s">
        <v>6035</v>
      </c>
      <c r="C363" s="13" t="s">
        <v>6037</v>
      </c>
      <c r="D363" s="13" t="s">
        <v>5341</v>
      </c>
      <c r="E363" s="13" t="s">
        <v>5415</v>
      </c>
      <c r="F363" s="13" t="s">
        <v>5415</v>
      </c>
      <c r="G363" s="13" t="s">
        <v>5344</v>
      </c>
      <c r="H363" s="13" t="s">
        <v>5345</v>
      </c>
      <c r="I363" s="14">
        <v>67</v>
      </c>
    </row>
    <row r="364" spans="1:9" x14ac:dyDescent="0.25">
      <c r="A364" s="12" t="s">
        <v>1253</v>
      </c>
      <c r="B364" s="13" t="s">
        <v>6035</v>
      </c>
      <c r="C364" s="13" t="s">
        <v>6036</v>
      </c>
      <c r="D364" s="13" t="s">
        <v>5357</v>
      </c>
      <c r="E364" s="13" t="s">
        <v>6038</v>
      </c>
      <c r="F364" s="13" t="s">
        <v>5476</v>
      </c>
      <c r="G364" s="13" t="s">
        <v>5344</v>
      </c>
      <c r="H364" s="13" t="s">
        <v>5345</v>
      </c>
      <c r="I364" s="14">
        <v>45</v>
      </c>
    </row>
    <row r="365" spans="1:9" x14ac:dyDescent="0.25">
      <c r="A365" s="12" t="s">
        <v>1040</v>
      </c>
      <c r="B365" s="13" t="s">
        <v>6039</v>
      </c>
      <c r="C365" s="13" t="s">
        <v>6040</v>
      </c>
      <c r="D365" s="13" t="s">
        <v>5357</v>
      </c>
      <c r="E365" s="13" t="s">
        <v>6007</v>
      </c>
      <c r="F365" s="13" t="s">
        <v>5436</v>
      </c>
      <c r="G365" s="13" t="s">
        <v>5353</v>
      </c>
      <c r="H365" s="13" t="s">
        <v>5354</v>
      </c>
      <c r="I365" s="14">
        <v>36</v>
      </c>
    </row>
    <row r="366" spans="1:9" x14ac:dyDescent="0.25">
      <c r="A366" s="16" t="s">
        <v>361</v>
      </c>
      <c r="B366" s="17" t="s">
        <v>6039</v>
      </c>
      <c r="C366" s="17" t="s">
        <v>5980</v>
      </c>
      <c r="D366" s="17" t="s">
        <v>5341</v>
      </c>
      <c r="E366" s="17" t="s">
        <v>6041</v>
      </c>
      <c r="F366" s="17" t="s">
        <v>5369</v>
      </c>
      <c r="G366" s="17" t="s">
        <v>5370</v>
      </c>
      <c r="H366" s="17" t="s">
        <v>5371</v>
      </c>
      <c r="I366" s="18">
        <v>46</v>
      </c>
    </row>
    <row r="367" spans="1:9" x14ac:dyDescent="0.25">
      <c r="A367" s="16" t="s">
        <v>1150</v>
      </c>
      <c r="B367" s="17" t="s">
        <v>6039</v>
      </c>
      <c r="C367" s="17" t="s">
        <v>6040</v>
      </c>
      <c r="D367" s="17" t="s">
        <v>5357</v>
      </c>
      <c r="E367" s="17" t="s">
        <v>6042</v>
      </c>
      <c r="F367" s="17" t="s">
        <v>5359</v>
      </c>
      <c r="G367" s="17" t="s">
        <v>5344</v>
      </c>
      <c r="H367" s="17" t="s">
        <v>5345</v>
      </c>
      <c r="I367" s="18">
        <v>64</v>
      </c>
    </row>
    <row r="368" spans="1:9" x14ac:dyDescent="0.25">
      <c r="A368" s="16" t="s">
        <v>663</v>
      </c>
      <c r="B368" s="17" t="s">
        <v>6043</v>
      </c>
      <c r="C368" s="17" t="s">
        <v>6044</v>
      </c>
      <c r="D368" s="17" t="s">
        <v>5350</v>
      </c>
      <c r="E368" s="17" t="s">
        <v>5445</v>
      </c>
      <c r="F368" s="17" t="s">
        <v>5446</v>
      </c>
      <c r="G368" s="17" t="s">
        <v>5353</v>
      </c>
      <c r="H368" s="17" t="s">
        <v>5354</v>
      </c>
      <c r="I368" s="18">
        <v>32</v>
      </c>
    </row>
    <row r="369" spans="1:9" x14ac:dyDescent="0.25">
      <c r="A369" s="16" t="s">
        <v>1326</v>
      </c>
      <c r="B369" s="17" t="s">
        <v>6043</v>
      </c>
      <c r="C369" s="17" t="s">
        <v>6044</v>
      </c>
      <c r="D369" s="17" t="s">
        <v>5341</v>
      </c>
      <c r="E369" s="17" t="s">
        <v>6045</v>
      </c>
      <c r="F369" s="17" t="s">
        <v>5677</v>
      </c>
      <c r="G369" s="17" t="s">
        <v>5344</v>
      </c>
      <c r="H369" s="17" t="s">
        <v>5345</v>
      </c>
      <c r="I369" s="18">
        <v>39</v>
      </c>
    </row>
    <row r="370" spans="1:9" x14ac:dyDescent="0.25">
      <c r="A370" s="16" t="s">
        <v>798</v>
      </c>
      <c r="B370" s="17" t="s">
        <v>6046</v>
      </c>
      <c r="C370" s="17" t="s">
        <v>5959</v>
      </c>
      <c r="D370" s="17" t="s">
        <v>5357</v>
      </c>
      <c r="E370" s="17" t="s">
        <v>5455</v>
      </c>
      <c r="F370" s="17" t="s">
        <v>5436</v>
      </c>
      <c r="G370" s="17" t="s">
        <v>5353</v>
      </c>
      <c r="H370" s="17" t="s">
        <v>5354</v>
      </c>
      <c r="I370" s="18">
        <v>43</v>
      </c>
    </row>
    <row r="371" spans="1:9" x14ac:dyDescent="0.25">
      <c r="A371" s="12" t="s">
        <v>975</v>
      </c>
      <c r="B371" s="13" t="s">
        <v>6047</v>
      </c>
      <c r="C371" s="13" t="s">
        <v>6048</v>
      </c>
      <c r="D371" s="13" t="s">
        <v>5341</v>
      </c>
      <c r="E371" s="13" t="s">
        <v>5763</v>
      </c>
      <c r="F371" s="13" t="s">
        <v>5436</v>
      </c>
      <c r="G371" s="13" t="s">
        <v>5353</v>
      </c>
      <c r="H371" s="13" t="s">
        <v>5354</v>
      </c>
      <c r="I371" s="14">
        <v>80</v>
      </c>
    </row>
    <row r="372" spans="1:9" x14ac:dyDescent="0.25">
      <c r="A372" s="12" t="s">
        <v>518</v>
      </c>
      <c r="B372" s="13" t="s">
        <v>6047</v>
      </c>
      <c r="C372" s="13" t="s">
        <v>6048</v>
      </c>
      <c r="D372" s="13" t="s">
        <v>5357</v>
      </c>
      <c r="E372" s="13" t="s">
        <v>5843</v>
      </c>
      <c r="F372" s="13" t="s">
        <v>5377</v>
      </c>
      <c r="G372" s="13" t="s">
        <v>5366</v>
      </c>
      <c r="H372" s="13" t="s">
        <v>5367</v>
      </c>
      <c r="I372" s="14">
        <v>47</v>
      </c>
    </row>
    <row r="373" spans="1:9" x14ac:dyDescent="0.25">
      <c r="A373" s="16" t="s">
        <v>466</v>
      </c>
      <c r="B373" s="17" t="s">
        <v>6047</v>
      </c>
      <c r="C373" s="17" t="s">
        <v>6048</v>
      </c>
      <c r="D373" s="17" t="s">
        <v>5350</v>
      </c>
      <c r="E373" s="17" t="s">
        <v>5621</v>
      </c>
      <c r="F373" s="17" t="s">
        <v>5622</v>
      </c>
      <c r="G373" s="17" t="s">
        <v>5398</v>
      </c>
      <c r="H373" s="17" t="s">
        <v>5399</v>
      </c>
      <c r="I373" s="18">
        <v>77</v>
      </c>
    </row>
    <row r="374" spans="1:9" x14ac:dyDescent="0.25">
      <c r="A374" s="12" t="s">
        <v>2119</v>
      </c>
      <c r="B374" s="13" t="s">
        <v>6047</v>
      </c>
      <c r="C374" s="13" t="s">
        <v>6048</v>
      </c>
      <c r="D374" s="13" t="s">
        <v>5341</v>
      </c>
      <c r="E374" s="13" t="s">
        <v>6049</v>
      </c>
      <c r="F374" s="13" t="s">
        <v>5483</v>
      </c>
      <c r="G374" s="13" t="s">
        <v>5366</v>
      </c>
      <c r="H374" s="13" t="s">
        <v>5367</v>
      </c>
      <c r="I374" s="14">
        <v>47</v>
      </c>
    </row>
    <row r="375" spans="1:9" x14ac:dyDescent="0.25">
      <c r="A375" s="16" t="s">
        <v>325</v>
      </c>
      <c r="B375" s="17" t="s">
        <v>6047</v>
      </c>
      <c r="C375" s="17" t="s">
        <v>6048</v>
      </c>
      <c r="D375" s="17" t="s">
        <v>5357</v>
      </c>
      <c r="E375" s="17" t="s">
        <v>6050</v>
      </c>
      <c r="F375" s="17" t="s">
        <v>6051</v>
      </c>
      <c r="G375" s="17" t="s">
        <v>5398</v>
      </c>
      <c r="H375" s="17" t="s">
        <v>5399</v>
      </c>
      <c r="I375" s="18">
        <v>66</v>
      </c>
    </row>
    <row r="376" spans="1:9" x14ac:dyDescent="0.25">
      <c r="A376" s="16" t="s">
        <v>990</v>
      </c>
      <c r="B376" s="17" t="s">
        <v>6052</v>
      </c>
      <c r="C376" s="17" t="s">
        <v>6053</v>
      </c>
      <c r="D376" s="17" t="s">
        <v>5341</v>
      </c>
      <c r="E376" s="17" t="s">
        <v>5442</v>
      </c>
      <c r="F376" s="17" t="s">
        <v>5363</v>
      </c>
      <c r="G376" s="17" t="s">
        <v>5353</v>
      </c>
      <c r="H376" s="17" t="s">
        <v>5354</v>
      </c>
      <c r="I376" s="18">
        <v>61</v>
      </c>
    </row>
    <row r="377" spans="1:9" x14ac:dyDescent="0.25">
      <c r="A377" s="16" t="s">
        <v>875</v>
      </c>
      <c r="B377" s="17" t="s">
        <v>6052</v>
      </c>
      <c r="C377" s="17" t="s">
        <v>5975</v>
      </c>
      <c r="D377" s="17" t="s">
        <v>5341</v>
      </c>
      <c r="E377" s="17" t="s">
        <v>6054</v>
      </c>
      <c r="F377" s="17" t="s">
        <v>5397</v>
      </c>
      <c r="G377" s="17" t="s">
        <v>5398</v>
      </c>
      <c r="H377" s="17" t="s">
        <v>5399</v>
      </c>
      <c r="I377" s="18">
        <v>48</v>
      </c>
    </row>
    <row r="378" spans="1:9" x14ac:dyDescent="0.25">
      <c r="A378" s="12" t="s">
        <v>1351</v>
      </c>
      <c r="B378" s="13" t="s">
        <v>6052</v>
      </c>
      <c r="C378" s="13" t="s">
        <v>5975</v>
      </c>
      <c r="D378" s="13" t="s">
        <v>5357</v>
      </c>
      <c r="E378" s="13" t="s">
        <v>6055</v>
      </c>
      <c r="F378" s="13" t="s">
        <v>5365</v>
      </c>
      <c r="G378" s="13" t="s">
        <v>5366</v>
      </c>
      <c r="H378" s="13" t="s">
        <v>5367</v>
      </c>
      <c r="I378" s="14">
        <v>64</v>
      </c>
    </row>
    <row r="379" spans="1:9" x14ac:dyDescent="0.25">
      <c r="A379" s="12" t="s">
        <v>1493</v>
      </c>
      <c r="B379" s="13" t="s">
        <v>6052</v>
      </c>
      <c r="C379" s="13" t="s">
        <v>5975</v>
      </c>
      <c r="D379" s="13" t="s">
        <v>5357</v>
      </c>
      <c r="E379" s="13" t="s">
        <v>5538</v>
      </c>
      <c r="F379" s="13" t="s">
        <v>5605</v>
      </c>
      <c r="G379" s="13" t="s">
        <v>5366</v>
      </c>
      <c r="H379" s="13" t="s">
        <v>5367</v>
      </c>
      <c r="I379" s="14">
        <v>69</v>
      </c>
    </row>
    <row r="380" spans="1:9" x14ac:dyDescent="0.25">
      <c r="A380" s="12" t="s">
        <v>988</v>
      </c>
      <c r="B380" s="13" t="s">
        <v>6052</v>
      </c>
      <c r="C380" s="13" t="s">
        <v>5975</v>
      </c>
      <c r="D380" s="13" t="s">
        <v>5350</v>
      </c>
      <c r="E380" s="13" t="s">
        <v>6038</v>
      </c>
      <c r="F380" s="13" t="s">
        <v>5476</v>
      </c>
      <c r="G380" s="13" t="s">
        <v>5344</v>
      </c>
      <c r="H380" s="13" t="s">
        <v>5345</v>
      </c>
      <c r="I380" s="14">
        <v>62</v>
      </c>
    </row>
    <row r="381" spans="1:9" x14ac:dyDescent="0.25">
      <c r="A381" s="12" t="s">
        <v>1131</v>
      </c>
      <c r="B381" s="13" t="s">
        <v>6052</v>
      </c>
      <c r="C381" s="13" t="s">
        <v>6053</v>
      </c>
      <c r="D381" s="13" t="s">
        <v>5341</v>
      </c>
      <c r="E381" s="13" t="s">
        <v>6056</v>
      </c>
      <c r="F381" s="13" t="s">
        <v>5436</v>
      </c>
      <c r="G381" s="13" t="s">
        <v>5353</v>
      </c>
      <c r="H381" s="13" t="s">
        <v>5354</v>
      </c>
      <c r="I381" s="14">
        <v>31</v>
      </c>
    </row>
    <row r="382" spans="1:9" x14ac:dyDescent="0.25">
      <c r="A382" s="12" t="s">
        <v>277</v>
      </c>
      <c r="B382" s="13" t="s">
        <v>6057</v>
      </c>
      <c r="C382" s="13" t="s">
        <v>6058</v>
      </c>
      <c r="D382" s="13" t="s">
        <v>5357</v>
      </c>
      <c r="E382" s="13" t="s">
        <v>5489</v>
      </c>
      <c r="F382" s="13" t="s">
        <v>5390</v>
      </c>
      <c r="G382" s="13" t="s">
        <v>5353</v>
      </c>
      <c r="H382" s="13" t="s">
        <v>5354</v>
      </c>
      <c r="I382" s="14">
        <v>37</v>
      </c>
    </row>
    <row r="383" spans="1:9" x14ac:dyDescent="0.25">
      <c r="A383" s="16" t="s">
        <v>507</v>
      </c>
      <c r="B383" s="17" t="s">
        <v>6057</v>
      </c>
      <c r="C383" s="17" t="s">
        <v>5500</v>
      </c>
      <c r="D383" s="17" t="s">
        <v>5341</v>
      </c>
      <c r="E383" s="17" t="s">
        <v>5471</v>
      </c>
      <c r="F383" s="17" t="s">
        <v>5352</v>
      </c>
      <c r="G383" s="17" t="s">
        <v>5353</v>
      </c>
      <c r="H383" s="17" t="s">
        <v>5354</v>
      </c>
      <c r="I383" s="18">
        <v>29</v>
      </c>
    </row>
    <row r="384" spans="1:9" x14ac:dyDescent="0.25">
      <c r="A384" s="12" t="s">
        <v>740</v>
      </c>
      <c r="B384" s="13" t="s">
        <v>6059</v>
      </c>
      <c r="C384" s="13" t="s">
        <v>6060</v>
      </c>
      <c r="D384" s="13" t="s">
        <v>5350</v>
      </c>
      <c r="E384" s="13" t="s">
        <v>6061</v>
      </c>
      <c r="F384" s="13" t="s">
        <v>5359</v>
      </c>
      <c r="G384" s="13" t="s">
        <v>5344</v>
      </c>
      <c r="H384" s="13" t="s">
        <v>5345</v>
      </c>
      <c r="I384" s="14">
        <v>32</v>
      </c>
    </row>
    <row r="385" spans="1:9" x14ac:dyDescent="0.25">
      <c r="A385" s="16" t="s">
        <v>597</v>
      </c>
      <c r="B385" s="17" t="s">
        <v>6062</v>
      </c>
      <c r="C385" s="17" t="s">
        <v>6063</v>
      </c>
      <c r="D385" s="17" t="s">
        <v>5357</v>
      </c>
      <c r="E385" s="17" t="s">
        <v>5734</v>
      </c>
      <c r="F385" s="17" t="s">
        <v>5397</v>
      </c>
      <c r="G385" s="17" t="s">
        <v>5398</v>
      </c>
      <c r="H385" s="17" t="s">
        <v>5399</v>
      </c>
      <c r="I385" s="18">
        <v>75</v>
      </c>
    </row>
    <row r="386" spans="1:9" x14ac:dyDescent="0.25">
      <c r="A386" s="12" t="s">
        <v>34</v>
      </c>
      <c r="B386" s="13" t="s">
        <v>6062</v>
      </c>
      <c r="C386" s="13" t="s">
        <v>6064</v>
      </c>
      <c r="D386" s="13" t="s">
        <v>5341</v>
      </c>
      <c r="E386" s="13" t="s">
        <v>5664</v>
      </c>
      <c r="F386" s="13" t="s">
        <v>5423</v>
      </c>
      <c r="G386" s="13" t="s">
        <v>5398</v>
      </c>
      <c r="H386" s="13" t="s">
        <v>5399</v>
      </c>
      <c r="I386" s="14">
        <v>40</v>
      </c>
    </row>
    <row r="387" spans="1:9" x14ac:dyDescent="0.25">
      <c r="A387" s="12" t="s">
        <v>492</v>
      </c>
      <c r="B387" s="13" t="s">
        <v>6062</v>
      </c>
      <c r="C387" s="13" t="s">
        <v>6064</v>
      </c>
      <c r="D387" s="13" t="s">
        <v>5357</v>
      </c>
      <c r="E387" s="13" t="s">
        <v>5869</v>
      </c>
      <c r="F387" s="13" t="s">
        <v>5669</v>
      </c>
      <c r="G387" s="13" t="s">
        <v>5370</v>
      </c>
      <c r="H387" s="13" t="s">
        <v>5371</v>
      </c>
      <c r="I387" s="14">
        <v>72</v>
      </c>
    </row>
    <row r="388" spans="1:9" x14ac:dyDescent="0.25">
      <c r="A388" s="16" t="s">
        <v>424</v>
      </c>
      <c r="B388" s="17" t="s">
        <v>6065</v>
      </c>
      <c r="C388" s="17" t="s">
        <v>6066</v>
      </c>
      <c r="D388" s="17" t="s">
        <v>5341</v>
      </c>
      <c r="E388" s="17" t="s">
        <v>5415</v>
      </c>
      <c r="F388" s="17" t="s">
        <v>5415</v>
      </c>
      <c r="G388" s="17" t="s">
        <v>5344</v>
      </c>
      <c r="H388" s="17" t="s">
        <v>5345</v>
      </c>
      <c r="I388" s="18">
        <v>44</v>
      </c>
    </row>
    <row r="389" spans="1:9" x14ac:dyDescent="0.25">
      <c r="A389" s="12" t="s">
        <v>925</v>
      </c>
      <c r="B389" s="13" t="s">
        <v>6065</v>
      </c>
      <c r="C389" s="13" t="s">
        <v>6066</v>
      </c>
      <c r="D389" s="13" t="s">
        <v>5341</v>
      </c>
      <c r="E389" s="13" t="s">
        <v>6067</v>
      </c>
      <c r="F389" s="13" t="s">
        <v>5539</v>
      </c>
      <c r="G389" s="13" t="s">
        <v>5366</v>
      </c>
      <c r="H389" s="13" t="s">
        <v>5367</v>
      </c>
      <c r="I389" s="14">
        <v>75</v>
      </c>
    </row>
    <row r="390" spans="1:9" x14ac:dyDescent="0.25">
      <c r="A390" s="12" t="s">
        <v>416</v>
      </c>
      <c r="B390" s="13" t="s">
        <v>6068</v>
      </c>
      <c r="C390" s="13" t="s">
        <v>5884</v>
      </c>
      <c r="D390" s="13" t="s">
        <v>5357</v>
      </c>
      <c r="E390" s="13" t="s">
        <v>5549</v>
      </c>
      <c r="F390" s="13" t="s">
        <v>5454</v>
      </c>
      <c r="G390" s="13" t="s">
        <v>5353</v>
      </c>
      <c r="H390" s="13" t="s">
        <v>5354</v>
      </c>
      <c r="I390" s="14">
        <v>34</v>
      </c>
    </row>
    <row r="391" spans="1:9" x14ac:dyDescent="0.25">
      <c r="A391" s="12" t="s">
        <v>496</v>
      </c>
      <c r="B391" s="13" t="s">
        <v>6068</v>
      </c>
      <c r="C391" s="13" t="s">
        <v>6069</v>
      </c>
      <c r="D391" s="13" t="s">
        <v>5357</v>
      </c>
      <c r="E391" s="13" t="s">
        <v>6070</v>
      </c>
      <c r="F391" s="13" t="s">
        <v>5755</v>
      </c>
      <c r="G391" s="13" t="s">
        <v>5366</v>
      </c>
      <c r="H391" s="13" t="s">
        <v>5367</v>
      </c>
      <c r="I391" s="14">
        <v>69</v>
      </c>
    </row>
    <row r="392" spans="1:9" x14ac:dyDescent="0.25">
      <c r="A392" s="12" t="s">
        <v>3359</v>
      </c>
      <c r="B392" s="13" t="s">
        <v>6071</v>
      </c>
      <c r="C392" s="13" t="s">
        <v>6072</v>
      </c>
      <c r="D392" s="13" t="s">
        <v>5357</v>
      </c>
      <c r="E392" s="13" t="s">
        <v>5426</v>
      </c>
      <c r="F392" s="13" t="s">
        <v>5352</v>
      </c>
      <c r="G392" s="13" t="s">
        <v>5353</v>
      </c>
      <c r="H392" s="13" t="s">
        <v>5354</v>
      </c>
      <c r="I392" s="14">
        <v>63</v>
      </c>
    </row>
    <row r="393" spans="1:9" x14ac:dyDescent="0.25">
      <c r="A393" s="16" t="s">
        <v>1042</v>
      </c>
      <c r="B393" s="17" t="s">
        <v>6071</v>
      </c>
      <c r="C393" s="17" t="s">
        <v>6072</v>
      </c>
      <c r="D393" s="17" t="s">
        <v>5341</v>
      </c>
      <c r="E393" s="17" t="s">
        <v>6073</v>
      </c>
      <c r="F393" s="17" t="s">
        <v>6074</v>
      </c>
      <c r="G393" s="17" t="s">
        <v>5398</v>
      </c>
      <c r="H393" s="17" t="s">
        <v>5399</v>
      </c>
      <c r="I393" s="18">
        <v>25</v>
      </c>
    </row>
    <row r="394" spans="1:9" x14ac:dyDescent="0.25">
      <c r="A394" s="12" t="s">
        <v>1410</v>
      </c>
      <c r="B394" s="13" t="s">
        <v>6071</v>
      </c>
      <c r="C394" s="13" t="s">
        <v>6072</v>
      </c>
      <c r="D394" s="13" t="s">
        <v>5357</v>
      </c>
      <c r="E394" s="13" t="s">
        <v>5571</v>
      </c>
      <c r="F394" s="13" t="s">
        <v>5454</v>
      </c>
      <c r="G394" s="13" t="s">
        <v>5353</v>
      </c>
      <c r="H394" s="13" t="s">
        <v>5354</v>
      </c>
      <c r="I394" s="14">
        <v>47</v>
      </c>
    </row>
    <row r="395" spans="1:9" x14ac:dyDescent="0.25">
      <c r="A395" s="12" t="s">
        <v>266</v>
      </c>
      <c r="B395" s="13" t="s">
        <v>6071</v>
      </c>
      <c r="C395" s="13" t="s">
        <v>6075</v>
      </c>
      <c r="D395" s="13" t="s">
        <v>5357</v>
      </c>
      <c r="E395" s="13" t="s">
        <v>6076</v>
      </c>
      <c r="F395" s="13" t="s">
        <v>5476</v>
      </c>
      <c r="G395" s="13" t="s">
        <v>5344</v>
      </c>
      <c r="H395" s="13" t="s">
        <v>5345</v>
      </c>
      <c r="I395" s="14">
        <v>36</v>
      </c>
    </row>
    <row r="396" spans="1:9" x14ac:dyDescent="0.25">
      <c r="A396" s="16" t="s">
        <v>395</v>
      </c>
      <c r="B396" s="17" t="s">
        <v>6077</v>
      </c>
      <c r="C396" s="17" t="s">
        <v>6078</v>
      </c>
      <c r="D396" s="17" t="s">
        <v>5357</v>
      </c>
      <c r="E396" s="17" t="s">
        <v>5471</v>
      </c>
      <c r="F396" s="17" t="s">
        <v>5352</v>
      </c>
      <c r="G396" s="17" t="s">
        <v>5353</v>
      </c>
      <c r="H396" s="17" t="s">
        <v>5354</v>
      </c>
      <c r="I396" s="18">
        <v>72</v>
      </c>
    </row>
    <row r="397" spans="1:9" x14ac:dyDescent="0.25">
      <c r="A397" s="16" t="s">
        <v>347</v>
      </c>
      <c r="B397" s="17" t="s">
        <v>6077</v>
      </c>
      <c r="C397" s="17" t="s">
        <v>6079</v>
      </c>
      <c r="D397" s="17" t="s">
        <v>5357</v>
      </c>
      <c r="E397" s="17" t="s">
        <v>5716</v>
      </c>
      <c r="F397" s="17" t="s">
        <v>5716</v>
      </c>
      <c r="G397" s="17" t="s">
        <v>5344</v>
      </c>
      <c r="H397" s="17" t="s">
        <v>5345</v>
      </c>
      <c r="I397" s="18">
        <v>55</v>
      </c>
    </row>
    <row r="398" spans="1:9" x14ac:dyDescent="0.25">
      <c r="A398" s="16" t="s">
        <v>303</v>
      </c>
      <c r="B398" s="17" t="s">
        <v>6077</v>
      </c>
      <c r="C398" s="17" t="s">
        <v>6079</v>
      </c>
      <c r="D398" s="17" t="s">
        <v>5341</v>
      </c>
      <c r="E398" s="17" t="s">
        <v>6080</v>
      </c>
      <c r="F398" s="17" t="s">
        <v>5476</v>
      </c>
      <c r="G398" s="17" t="s">
        <v>5344</v>
      </c>
      <c r="H398" s="17" t="s">
        <v>5345</v>
      </c>
      <c r="I398" s="18">
        <v>72</v>
      </c>
    </row>
    <row r="399" spans="1:9" x14ac:dyDescent="0.25">
      <c r="A399" s="12" t="s">
        <v>908</v>
      </c>
      <c r="B399" s="13" t="s">
        <v>6081</v>
      </c>
      <c r="C399" s="13" t="s">
        <v>5830</v>
      </c>
      <c r="D399" s="13" t="s">
        <v>5350</v>
      </c>
      <c r="E399" s="13" t="s">
        <v>5763</v>
      </c>
      <c r="F399" s="13" t="s">
        <v>5436</v>
      </c>
      <c r="G399" s="13" t="s">
        <v>5353</v>
      </c>
      <c r="H399" s="13" t="s">
        <v>5354</v>
      </c>
      <c r="I399" s="14">
        <v>71</v>
      </c>
    </row>
    <row r="400" spans="1:9" x14ac:dyDescent="0.25">
      <c r="A400" s="16" t="s">
        <v>910</v>
      </c>
      <c r="B400" s="17" t="s">
        <v>6081</v>
      </c>
      <c r="C400" s="17" t="s">
        <v>5874</v>
      </c>
      <c r="D400" s="17" t="s">
        <v>5357</v>
      </c>
      <c r="E400" s="17" t="s">
        <v>5984</v>
      </c>
      <c r="F400" s="17" t="s">
        <v>5375</v>
      </c>
      <c r="G400" s="17" t="s">
        <v>5344</v>
      </c>
      <c r="H400" s="17" t="s">
        <v>5345</v>
      </c>
      <c r="I400" s="18">
        <v>52</v>
      </c>
    </row>
    <row r="401" spans="1:9" x14ac:dyDescent="0.25">
      <c r="A401" s="12" t="s">
        <v>1460</v>
      </c>
      <c r="B401" s="13" t="s">
        <v>6082</v>
      </c>
      <c r="C401" s="13" t="s">
        <v>6083</v>
      </c>
      <c r="D401" s="13" t="s">
        <v>5350</v>
      </c>
      <c r="E401" s="13" t="s">
        <v>5497</v>
      </c>
      <c r="F401" s="13" t="s">
        <v>5498</v>
      </c>
      <c r="G401" s="13" t="s">
        <v>5370</v>
      </c>
      <c r="H401" s="13" t="s">
        <v>5371</v>
      </c>
      <c r="I401" s="14">
        <v>27</v>
      </c>
    </row>
    <row r="402" spans="1:9" x14ac:dyDescent="0.25">
      <c r="A402" s="12" t="s">
        <v>174</v>
      </c>
      <c r="B402" s="13" t="s">
        <v>6082</v>
      </c>
      <c r="C402" s="13" t="s">
        <v>6084</v>
      </c>
      <c r="D402" s="13" t="s">
        <v>5341</v>
      </c>
      <c r="E402" s="13" t="s">
        <v>5458</v>
      </c>
      <c r="F402" s="13" t="s">
        <v>5454</v>
      </c>
      <c r="G402" s="13" t="s">
        <v>5353</v>
      </c>
      <c r="H402" s="13" t="s">
        <v>5354</v>
      </c>
      <c r="I402" s="14">
        <v>75</v>
      </c>
    </row>
    <row r="403" spans="1:9" x14ac:dyDescent="0.25">
      <c r="A403" s="16" t="s">
        <v>397</v>
      </c>
      <c r="B403" s="17" t="s">
        <v>6085</v>
      </c>
      <c r="C403" s="17" t="s">
        <v>6086</v>
      </c>
      <c r="D403" s="17" t="s">
        <v>5357</v>
      </c>
      <c r="E403" s="17" t="s">
        <v>6087</v>
      </c>
      <c r="F403" s="17" t="s">
        <v>5527</v>
      </c>
      <c r="G403" s="17" t="s">
        <v>5344</v>
      </c>
      <c r="H403" s="17" t="s">
        <v>5345</v>
      </c>
      <c r="I403" s="18">
        <v>77</v>
      </c>
    </row>
    <row r="404" spans="1:9" x14ac:dyDescent="0.25">
      <c r="A404" s="12" t="s">
        <v>675</v>
      </c>
      <c r="B404" s="13" t="s">
        <v>6088</v>
      </c>
      <c r="C404" s="13" t="s">
        <v>6089</v>
      </c>
      <c r="D404" s="13" t="s">
        <v>5357</v>
      </c>
      <c r="E404" s="13" t="s">
        <v>5987</v>
      </c>
      <c r="F404" s="13" t="s">
        <v>5823</v>
      </c>
      <c r="G404" s="13" t="s">
        <v>5398</v>
      </c>
      <c r="H404" s="13" t="s">
        <v>5399</v>
      </c>
      <c r="I404" s="14">
        <v>78</v>
      </c>
    </row>
    <row r="405" spans="1:9" x14ac:dyDescent="0.25">
      <c r="A405" s="12" t="s">
        <v>60</v>
      </c>
      <c r="B405" s="13" t="s">
        <v>5920</v>
      </c>
      <c r="C405" s="13" t="s">
        <v>6090</v>
      </c>
      <c r="D405" s="13" t="s">
        <v>5341</v>
      </c>
      <c r="E405" s="13" t="s">
        <v>5814</v>
      </c>
      <c r="F405" s="13" t="s">
        <v>5397</v>
      </c>
      <c r="G405" s="13" t="s">
        <v>5398</v>
      </c>
      <c r="H405" s="13" t="s">
        <v>5399</v>
      </c>
      <c r="I405" s="14">
        <v>69</v>
      </c>
    </row>
    <row r="406" spans="1:9" x14ac:dyDescent="0.25">
      <c r="A406" s="12" t="s">
        <v>381</v>
      </c>
      <c r="B406" s="13" t="s">
        <v>5920</v>
      </c>
      <c r="C406" s="13" t="s">
        <v>6091</v>
      </c>
      <c r="D406" s="13" t="s">
        <v>5350</v>
      </c>
      <c r="E406" s="13" t="s">
        <v>6092</v>
      </c>
      <c r="F406" s="13" t="s">
        <v>5594</v>
      </c>
      <c r="G406" s="13" t="s">
        <v>5344</v>
      </c>
      <c r="H406" s="13" t="s">
        <v>5345</v>
      </c>
      <c r="I406" s="14">
        <v>38</v>
      </c>
    </row>
    <row r="407" spans="1:9" x14ac:dyDescent="0.25">
      <c r="A407" s="16" t="s">
        <v>578</v>
      </c>
      <c r="B407" s="17" t="s">
        <v>6093</v>
      </c>
      <c r="C407" s="17" t="s">
        <v>6094</v>
      </c>
      <c r="D407" s="17" t="s">
        <v>5350</v>
      </c>
      <c r="E407" s="17" t="s">
        <v>5583</v>
      </c>
      <c r="F407" s="17" t="s">
        <v>5661</v>
      </c>
      <c r="G407" s="17" t="s">
        <v>5370</v>
      </c>
      <c r="H407" s="17" t="s">
        <v>5371</v>
      </c>
      <c r="I407" s="18">
        <v>38</v>
      </c>
    </row>
    <row r="408" spans="1:9" x14ac:dyDescent="0.25">
      <c r="A408" s="16" t="s">
        <v>295</v>
      </c>
      <c r="B408" s="17" t="s">
        <v>6093</v>
      </c>
      <c r="C408" s="17" t="s">
        <v>6032</v>
      </c>
      <c r="D408" s="17" t="s">
        <v>5357</v>
      </c>
      <c r="E408" s="17" t="s">
        <v>6095</v>
      </c>
      <c r="F408" s="17" t="s">
        <v>5359</v>
      </c>
      <c r="G408" s="17" t="s">
        <v>5344</v>
      </c>
      <c r="H408" s="17" t="s">
        <v>5345</v>
      </c>
      <c r="I408" s="18">
        <v>77</v>
      </c>
    </row>
    <row r="409" spans="1:9" x14ac:dyDescent="0.25">
      <c r="A409" s="16" t="s">
        <v>914</v>
      </c>
      <c r="B409" s="17" t="s">
        <v>6096</v>
      </c>
      <c r="C409" s="17" t="s">
        <v>6097</v>
      </c>
      <c r="D409" s="17" t="s">
        <v>5357</v>
      </c>
      <c r="E409" s="17" t="s">
        <v>6098</v>
      </c>
      <c r="F409" s="17" t="s">
        <v>5945</v>
      </c>
      <c r="G409" s="17" t="s">
        <v>5398</v>
      </c>
      <c r="H409" s="17" t="s">
        <v>5399</v>
      </c>
      <c r="I409" s="18">
        <v>38</v>
      </c>
    </row>
    <row r="410" spans="1:9" x14ac:dyDescent="0.25">
      <c r="A410" s="12" t="s">
        <v>168</v>
      </c>
      <c r="B410" s="13" t="s">
        <v>6096</v>
      </c>
      <c r="C410" s="13" t="s">
        <v>6099</v>
      </c>
      <c r="D410" s="13" t="s">
        <v>5357</v>
      </c>
      <c r="E410" s="13" t="s">
        <v>6100</v>
      </c>
      <c r="F410" s="13" t="s">
        <v>5639</v>
      </c>
      <c r="G410" s="13" t="s">
        <v>5366</v>
      </c>
      <c r="H410" s="13" t="s">
        <v>5367</v>
      </c>
      <c r="I410" s="14">
        <v>44</v>
      </c>
    </row>
    <row r="411" spans="1:9" x14ac:dyDescent="0.25">
      <c r="A411" s="16" t="s">
        <v>583</v>
      </c>
      <c r="B411" s="17" t="s">
        <v>6101</v>
      </c>
      <c r="C411" s="17" t="s">
        <v>6102</v>
      </c>
      <c r="D411" s="17" t="s">
        <v>5341</v>
      </c>
      <c r="E411" s="17" t="s">
        <v>5778</v>
      </c>
      <c r="F411" s="17" t="s">
        <v>5594</v>
      </c>
      <c r="G411" s="17" t="s">
        <v>5344</v>
      </c>
      <c r="H411" s="17" t="s">
        <v>5345</v>
      </c>
      <c r="I411" s="18">
        <v>48</v>
      </c>
    </row>
    <row r="412" spans="1:9" x14ac:dyDescent="0.25">
      <c r="A412" s="12" t="s">
        <v>188</v>
      </c>
      <c r="B412" s="13" t="s">
        <v>6101</v>
      </c>
      <c r="C412" s="13" t="s">
        <v>6034</v>
      </c>
      <c r="D412" s="13" t="s">
        <v>5341</v>
      </c>
      <c r="E412" s="13" t="s">
        <v>6103</v>
      </c>
      <c r="F412" s="13" t="s">
        <v>6104</v>
      </c>
      <c r="G412" s="13" t="s">
        <v>5398</v>
      </c>
      <c r="H412" s="13" t="s">
        <v>5399</v>
      </c>
      <c r="I412" s="14">
        <v>45</v>
      </c>
    </row>
    <row r="413" spans="1:9" x14ac:dyDescent="0.25">
      <c r="A413" s="12" t="s">
        <v>218</v>
      </c>
      <c r="B413" s="13" t="s">
        <v>6105</v>
      </c>
      <c r="C413" s="13" t="s">
        <v>6106</v>
      </c>
      <c r="D413" s="13" t="s">
        <v>5350</v>
      </c>
      <c r="E413" s="13" t="s">
        <v>5776</v>
      </c>
      <c r="F413" s="13" t="s">
        <v>5483</v>
      </c>
      <c r="G413" s="13" t="s">
        <v>5366</v>
      </c>
      <c r="H413" s="13" t="s">
        <v>5367</v>
      </c>
      <c r="I413" s="14">
        <v>77</v>
      </c>
    </row>
    <row r="414" spans="1:9" x14ac:dyDescent="0.25">
      <c r="A414" s="16" t="s">
        <v>258</v>
      </c>
      <c r="B414" s="17" t="s">
        <v>6107</v>
      </c>
      <c r="C414" s="17" t="s">
        <v>5444</v>
      </c>
      <c r="D414" s="17" t="s">
        <v>5341</v>
      </c>
      <c r="E414" s="17" t="s">
        <v>6108</v>
      </c>
      <c r="F414" s="17" t="s">
        <v>5637</v>
      </c>
      <c r="G414" s="17" t="s">
        <v>5366</v>
      </c>
      <c r="H414" s="17" t="s">
        <v>5367</v>
      </c>
      <c r="I414" s="18">
        <v>33</v>
      </c>
    </row>
    <row r="415" spans="1:9" x14ac:dyDescent="0.25">
      <c r="A415" s="12" t="s">
        <v>321</v>
      </c>
      <c r="B415" s="13" t="s">
        <v>6107</v>
      </c>
      <c r="C415" s="13" t="s">
        <v>6109</v>
      </c>
      <c r="D415" s="13" t="s">
        <v>5357</v>
      </c>
      <c r="E415" s="13" t="s">
        <v>5471</v>
      </c>
      <c r="F415" s="13" t="s">
        <v>5352</v>
      </c>
      <c r="G415" s="13" t="s">
        <v>5353</v>
      </c>
      <c r="H415" s="13" t="s">
        <v>5354</v>
      </c>
      <c r="I415" s="14">
        <v>36</v>
      </c>
    </row>
    <row r="416" spans="1:9" x14ac:dyDescent="0.25">
      <c r="A416" s="16" t="s">
        <v>1484</v>
      </c>
      <c r="B416" s="17" t="s">
        <v>6107</v>
      </c>
      <c r="C416" s="17" t="s">
        <v>5444</v>
      </c>
      <c r="D416" s="17" t="s">
        <v>5341</v>
      </c>
      <c r="E416" s="17" t="s">
        <v>6070</v>
      </c>
      <c r="F416" s="17" t="s">
        <v>5755</v>
      </c>
      <c r="G416" s="17" t="s">
        <v>5366</v>
      </c>
      <c r="H416" s="17" t="s">
        <v>5367</v>
      </c>
      <c r="I416" s="18">
        <v>59</v>
      </c>
    </row>
    <row r="417" spans="1:9" x14ac:dyDescent="0.25">
      <c r="A417" s="12" t="s">
        <v>478</v>
      </c>
      <c r="B417" s="13" t="s">
        <v>6110</v>
      </c>
      <c r="C417" s="13" t="s">
        <v>6111</v>
      </c>
      <c r="D417" s="13" t="s">
        <v>5350</v>
      </c>
      <c r="E417" s="13" t="s">
        <v>5543</v>
      </c>
      <c r="F417" s="13" t="s">
        <v>5387</v>
      </c>
      <c r="G417" s="13" t="s">
        <v>5344</v>
      </c>
      <c r="H417" s="13" t="s">
        <v>5345</v>
      </c>
      <c r="I417" s="14">
        <v>37</v>
      </c>
    </row>
    <row r="418" spans="1:9" x14ac:dyDescent="0.25">
      <c r="A418" s="12" t="s">
        <v>2043</v>
      </c>
      <c r="B418" s="13" t="s">
        <v>6110</v>
      </c>
      <c r="C418" s="13" t="s">
        <v>6112</v>
      </c>
      <c r="D418" s="13" t="s">
        <v>5341</v>
      </c>
      <c r="E418" s="13" t="s">
        <v>6113</v>
      </c>
      <c r="F418" s="13" t="s">
        <v>5446</v>
      </c>
      <c r="G418" s="13" t="s">
        <v>5353</v>
      </c>
      <c r="H418" s="13" t="s">
        <v>5354</v>
      </c>
      <c r="I418" s="14">
        <v>51</v>
      </c>
    </row>
    <row r="419" spans="1:9" x14ac:dyDescent="0.25">
      <c r="A419" s="12" t="s">
        <v>261</v>
      </c>
      <c r="B419" s="13" t="s">
        <v>6114</v>
      </c>
      <c r="C419" s="13" t="s">
        <v>5883</v>
      </c>
      <c r="D419" s="13" t="s">
        <v>5341</v>
      </c>
      <c r="E419" s="13" t="s">
        <v>5913</v>
      </c>
      <c r="F419" s="13" t="s">
        <v>5348</v>
      </c>
      <c r="G419" s="13" t="s">
        <v>5344</v>
      </c>
      <c r="H419" s="13" t="s">
        <v>5345</v>
      </c>
      <c r="I419" s="14">
        <v>65</v>
      </c>
    </row>
    <row r="420" spans="1:9" x14ac:dyDescent="0.25">
      <c r="A420" s="12" t="s">
        <v>474</v>
      </c>
      <c r="B420" s="13" t="s">
        <v>6114</v>
      </c>
      <c r="C420" s="13" t="s">
        <v>5883</v>
      </c>
      <c r="D420" s="13" t="s">
        <v>5357</v>
      </c>
      <c r="E420" s="13" t="s">
        <v>6115</v>
      </c>
      <c r="F420" s="13" t="s">
        <v>5423</v>
      </c>
      <c r="G420" s="13" t="s">
        <v>5398</v>
      </c>
      <c r="H420" s="13" t="s">
        <v>5399</v>
      </c>
      <c r="I420" s="14">
        <v>30</v>
      </c>
    </row>
    <row r="421" spans="1:9" x14ac:dyDescent="0.25">
      <c r="A421" s="12" t="s">
        <v>1334</v>
      </c>
      <c r="B421" s="13" t="s">
        <v>6116</v>
      </c>
      <c r="C421" s="13" t="s">
        <v>6117</v>
      </c>
      <c r="D421" s="13" t="s">
        <v>5357</v>
      </c>
      <c r="E421" s="13" t="s">
        <v>5368</v>
      </c>
      <c r="F421" s="13" t="s">
        <v>5369</v>
      </c>
      <c r="G421" s="13" t="s">
        <v>5370</v>
      </c>
      <c r="H421" s="13" t="s">
        <v>5371</v>
      </c>
      <c r="I421" s="14">
        <v>56</v>
      </c>
    </row>
    <row r="422" spans="1:9" x14ac:dyDescent="0.25">
      <c r="A422" s="12" t="s">
        <v>157</v>
      </c>
      <c r="B422" s="13" t="s">
        <v>6118</v>
      </c>
      <c r="C422" s="13" t="s">
        <v>6119</v>
      </c>
      <c r="D422" s="13" t="s">
        <v>5341</v>
      </c>
      <c r="E422" s="13" t="s">
        <v>5497</v>
      </c>
      <c r="F422" s="13" t="s">
        <v>5498</v>
      </c>
      <c r="G422" s="13" t="s">
        <v>5370</v>
      </c>
      <c r="H422" s="13" t="s">
        <v>5371</v>
      </c>
      <c r="I422" s="14">
        <v>27</v>
      </c>
    </row>
    <row r="423" spans="1:9" x14ac:dyDescent="0.25">
      <c r="A423" s="12" t="s">
        <v>1064</v>
      </c>
      <c r="B423" s="13" t="s">
        <v>6120</v>
      </c>
      <c r="C423" s="13" t="s">
        <v>5816</v>
      </c>
      <c r="D423" s="13" t="s">
        <v>5357</v>
      </c>
      <c r="E423" s="13" t="s">
        <v>5455</v>
      </c>
      <c r="F423" s="13" t="s">
        <v>5436</v>
      </c>
      <c r="G423" s="13" t="s">
        <v>5353</v>
      </c>
      <c r="H423" s="13" t="s">
        <v>5354</v>
      </c>
      <c r="I423" s="14">
        <v>35</v>
      </c>
    </row>
    <row r="424" spans="1:9" x14ac:dyDescent="0.25">
      <c r="A424" s="12" t="s">
        <v>972</v>
      </c>
      <c r="B424" s="13" t="s">
        <v>6120</v>
      </c>
      <c r="C424" s="13" t="s">
        <v>6121</v>
      </c>
      <c r="D424" s="13" t="s">
        <v>5357</v>
      </c>
      <c r="E424" s="13" t="s">
        <v>6122</v>
      </c>
      <c r="F424" s="13" t="s">
        <v>5523</v>
      </c>
      <c r="G424" s="13" t="s">
        <v>5398</v>
      </c>
      <c r="H424" s="13" t="s">
        <v>5399</v>
      </c>
      <c r="I424" s="14">
        <v>60</v>
      </c>
    </row>
    <row r="425" spans="1:9" x14ac:dyDescent="0.25">
      <c r="A425" s="12" t="s">
        <v>832</v>
      </c>
      <c r="B425" s="13" t="s">
        <v>6123</v>
      </c>
      <c r="C425" s="13" t="s">
        <v>6124</v>
      </c>
      <c r="D425" s="13" t="s">
        <v>5357</v>
      </c>
      <c r="E425" s="13" t="s">
        <v>5431</v>
      </c>
      <c r="F425" s="13" t="s">
        <v>5431</v>
      </c>
      <c r="G425" s="13" t="s">
        <v>5370</v>
      </c>
      <c r="H425" s="13" t="s">
        <v>5371</v>
      </c>
      <c r="I425" s="14">
        <v>66</v>
      </c>
    </row>
    <row r="426" spans="1:9" x14ac:dyDescent="0.25">
      <c r="A426" s="16" t="s">
        <v>464</v>
      </c>
      <c r="B426" s="17" t="s">
        <v>6123</v>
      </c>
      <c r="C426" s="17" t="s">
        <v>6124</v>
      </c>
      <c r="D426" s="17" t="s">
        <v>5357</v>
      </c>
      <c r="E426" s="17" t="s">
        <v>5458</v>
      </c>
      <c r="F426" s="17" t="s">
        <v>5454</v>
      </c>
      <c r="G426" s="17" t="s">
        <v>5353</v>
      </c>
      <c r="H426" s="17" t="s">
        <v>5354</v>
      </c>
      <c r="I426" s="18">
        <v>32</v>
      </c>
    </row>
    <row r="427" spans="1:9" x14ac:dyDescent="0.25">
      <c r="A427" s="16" t="s">
        <v>768</v>
      </c>
      <c r="B427" s="17" t="s">
        <v>6125</v>
      </c>
      <c r="C427" s="17" t="s">
        <v>6126</v>
      </c>
      <c r="D427" s="17" t="s">
        <v>5350</v>
      </c>
      <c r="E427" s="17" t="s">
        <v>5380</v>
      </c>
      <c r="F427" s="17" t="s">
        <v>5381</v>
      </c>
      <c r="G427" s="17" t="s">
        <v>5353</v>
      </c>
      <c r="H427" s="17" t="s">
        <v>5354</v>
      </c>
      <c r="I427" s="18">
        <v>65</v>
      </c>
    </row>
    <row r="428" spans="1:9" x14ac:dyDescent="0.25">
      <c r="A428" s="12" t="s">
        <v>1589</v>
      </c>
      <c r="B428" s="13" t="s">
        <v>6127</v>
      </c>
      <c r="C428" s="13" t="s">
        <v>6128</v>
      </c>
      <c r="D428" s="13" t="s">
        <v>5341</v>
      </c>
      <c r="E428" s="13" t="s">
        <v>6129</v>
      </c>
      <c r="F428" s="13" t="s">
        <v>5352</v>
      </c>
      <c r="G428" s="13" t="s">
        <v>5353</v>
      </c>
      <c r="H428" s="13" t="s">
        <v>5354</v>
      </c>
      <c r="I428" s="14">
        <v>74</v>
      </c>
    </row>
    <row r="429" spans="1:9" x14ac:dyDescent="0.25">
      <c r="A429" s="16" t="s">
        <v>637</v>
      </c>
      <c r="B429" s="17" t="s">
        <v>6130</v>
      </c>
      <c r="C429" s="17" t="s">
        <v>6131</v>
      </c>
      <c r="D429" s="17" t="s">
        <v>5350</v>
      </c>
      <c r="E429" s="17" t="s">
        <v>5552</v>
      </c>
      <c r="F429" s="17" t="s">
        <v>5486</v>
      </c>
      <c r="G429" s="17" t="s">
        <v>5398</v>
      </c>
      <c r="H429" s="17" t="s">
        <v>5399</v>
      </c>
      <c r="I429" s="18">
        <v>72</v>
      </c>
    </row>
    <row r="430" spans="1:9" x14ac:dyDescent="0.25">
      <c r="A430" s="16" t="s">
        <v>1047</v>
      </c>
      <c r="B430" s="17" t="s">
        <v>6130</v>
      </c>
      <c r="C430" s="17" t="s">
        <v>6131</v>
      </c>
      <c r="D430" s="17" t="s">
        <v>5357</v>
      </c>
      <c r="E430" s="17" t="s">
        <v>5525</v>
      </c>
      <c r="F430" s="17" t="s">
        <v>5363</v>
      </c>
      <c r="G430" s="17" t="s">
        <v>5353</v>
      </c>
      <c r="H430" s="17" t="s">
        <v>5354</v>
      </c>
      <c r="I430" s="18">
        <v>63</v>
      </c>
    </row>
    <row r="431" spans="1:9" x14ac:dyDescent="0.25">
      <c r="A431" s="16" t="s">
        <v>106</v>
      </c>
      <c r="B431" s="17" t="s">
        <v>6132</v>
      </c>
      <c r="C431" s="17" t="s">
        <v>5604</v>
      </c>
      <c r="D431" s="17" t="s">
        <v>5341</v>
      </c>
      <c r="E431" s="17" t="s">
        <v>5579</v>
      </c>
      <c r="F431" s="17" t="s">
        <v>5580</v>
      </c>
      <c r="G431" s="17" t="s">
        <v>5366</v>
      </c>
      <c r="H431" s="17" t="s">
        <v>5367</v>
      </c>
      <c r="I431" s="18">
        <v>33</v>
      </c>
    </row>
    <row r="432" spans="1:9" x14ac:dyDescent="0.25">
      <c r="A432" s="16" t="s">
        <v>37</v>
      </c>
      <c r="B432" s="17" t="s">
        <v>6132</v>
      </c>
      <c r="C432" s="17" t="s">
        <v>5502</v>
      </c>
      <c r="D432" s="17" t="s">
        <v>5357</v>
      </c>
      <c r="E432" s="17" t="s">
        <v>5441</v>
      </c>
      <c r="F432" s="17" t="s">
        <v>5441</v>
      </c>
      <c r="G432" s="17" t="s">
        <v>5398</v>
      </c>
      <c r="H432" s="17" t="s">
        <v>5399</v>
      </c>
      <c r="I432" s="18">
        <v>51</v>
      </c>
    </row>
    <row r="433" spans="1:9" x14ac:dyDescent="0.25">
      <c r="A433" s="12" t="s">
        <v>445</v>
      </c>
      <c r="B433" s="13" t="s">
        <v>6133</v>
      </c>
      <c r="C433" s="13" t="s">
        <v>6134</v>
      </c>
      <c r="D433" s="13" t="s">
        <v>5357</v>
      </c>
      <c r="E433" s="13" t="s">
        <v>5401</v>
      </c>
      <c r="F433" s="13" t="s">
        <v>5352</v>
      </c>
      <c r="G433" s="13" t="s">
        <v>5353</v>
      </c>
      <c r="H433" s="13" t="s">
        <v>5354</v>
      </c>
      <c r="I433" s="14">
        <v>26</v>
      </c>
    </row>
    <row r="434" spans="1:9" x14ac:dyDescent="0.25">
      <c r="A434" s="16" t="s">
        <v>100</v>
      </c>
      <c r="B434" s="17" t="s">
        <v>6133</v>
      </c>
      <c r="C434" s="17" t="s">
        <v>6135</v>
      </c>
      <c r="D434" s="17" t="s">
        <v>5341</v>
      </c>
      <c r="E434" s="17" t="s">
        <v>5489</v>
      </c>
      <c r="F434" s="17" t="s">
        <v>5390</v>
      </c>
      <c r="G434" s="17" t="s">
        <v>5353</v>
      </c>
      <c r="H434" s="17" t="s">
        <v>5354</v>
      </c>
      <c r="I434" s="18">
        <v>73</v>
      </c>
    </row>
    <row r="435" spans="1:9" x14ac:dyDescent="0.25">
      <c r="A435" s="16" t="s">
        <v>502</v>
      </c>
      <c r="B435" s="17" t="s">
        <v>6133</v>
      </c>
      <c r="C435" s="17" t="s">
        <v>6134</v>
      </c>
      <c r="D435" s="17" t="s">
        <v>5341</v>
      </c>
      <c r="E435" s="17" t="s">
        <v>5401</v>
      </c>
      <c r="F435" s="17" t="s">
        <v>5352</v>
      </c>
      <c r="G435" s="17" t="s">
        <v>5353</v>
      </c>
      <c r="H435" s="17" t="s">
        <v>5354</v>
      </c>
      <c r="I435" s="18">
        <v>55</v>
      </c>
    </row>
    <row r="436" spans="1:9" x14ac:dyDescent="0.25">
      <c r="A436" s="16" t="s">
        <v>1734</v>
      </c>
      <c r="B436" s="17" t="s">
        <v>6133</v>
      </c>
      <c r="C436" s="17" t="s">
        <v>6136</v>
      </c>
      <c r="D436" s="17" t="s">
        <v>5357</v>
      </c>
      <c r="E436" s="17" t="s">
        <v>5910</v>
      </c>
      <c r="F436" s="17" t="s">
        <v>5359</v>
      </c>
      <c r="G436" s="17" t="s">
        <v>5344</v>
      </c>
      <c r="H436" s="17" t="s">
        <v>5345</v>
      </c>
      <c r="I436" s="18">
        <v>43</v>
      </c>
    </row>
    <row r="437" spans="1:9" x14ac:dyDescent="0.25">
      <c r="A437" s="12" t="s">
        <v>688</v>
      </c>
      <c r="B437" s="13" t="s">
        <v>5478</v>
      </c>
      <c r="C437" s="13" t="s">
        <v>6137</v>
      </c>
      <c r="D437" s="13" t="s">
        <v>5341</v>
      </c>
      <c r="E437" s="13" t="s">
        <v>6055</v>
      </c>
      <c r="F437" s="13" t="s">
        <v>5365</v>
      </c>
      <c r="G437" s="13" t="s">
        <v>5366</v>
      </c>
      <c r="H437" s="13" t="s">
        <v>5367</v>
      </c>
      <c r="I437" s="14">
        <v>38</v>
      </c>
    </row>
    <row r="438" spans="1:9" x14ac:dyDescent="0.25">
      <c r="A438" s="16" t="s">
        <v>285</v>
      </c>
      <c r="B438" s="17" t="s">
        <v>6138</v>
      </c>
      <c r="C438" s="17" t="s">
        <v>6139</v>
      </c>
      <c r="D438" s="17" t="s">
        <v>5341</v>
      </c>
      <c r="E438" s="17" t="s">
        <v>6140</v>
      </c>
      <c r="F438" s="17" t="s">
        <v>5387</v>
      </c>
      <c r="G438" s="17" t="s">
        <v>5344</v>
      </c>
      <c r="H438" s="17" t="s">
        <v>5345</v>
      </c>
      <c r="I438" s="18">
        <v>73</v>
      </c>
    </row>
    <row r="439" spans="1:9" x14ac:dyDescent="0.25">
      <c r="A439" s="12" t="s">
        <v>1413</v>
      </c>
      <c r="B439" s="13" t="s">
        <v>6138</v>
      </c>
      <c r="C439" s="13" t="s">
        <v>6139</v>
      </c>
      <c r="D439" s="13" t="s">
        <v>5341</v>
      </c>
      <c r="E439" s="13" t="s">
        <v>6050</v>
      </c>
      <c r="F439" s="13" t="s">
        <v>6051</v>
      </c>
      <c r="G439" s="13" t="s">
        <v>5398</v>
      </c>
      <c r="H439" s="13" t="s">
        <v>5399</v>
      </c>
      <c r="I439" s="14">
        <v>32</v>
      </c>
    </row>
    <row r="440" spans="1:9" x14ac:dyDescent="0.25">
      <c r="A440" s="12" t="s">
        <v>533</v>
      </c>
      <c r="B440" s="13" t="s">
        <v>6138</v>
      </c>
      <c r="C440" s="13" t="s">
        <v>6139</v>
      </c>
      <c r="D440" s="13" t="s">
        <v>5357</v>
      </c>
      <c r="E440" s="13" t="s">
        <v>5496</v>
      </c>
      <c r="F440" s="13" t="s">
        <v>5359</v>
      </c>
      <c r="G440" s="13" t="s">
        <v>5344</v>
      </c>
      <c r="H440" s="13" t="s">
        <v>5345</v>
      </c>
      <c r="I440" s="14">
        <v>47</v>
      </c>
    </row>
    <row r="441" spans="1:9" x14ac:dyDescent="0.25">
      <c r="A441" s="16" t="s">
        <v>777</v>
      </c>
      <c r="B441" s="17" t="s">
        <v>6138</v>
      </c>
      <c r="C441" s="17" t="s">
        <v>6141</v>
      </c>
      <c r="D441" s="17" t="s">
        <v>5350</v>
      </c>
      <c r="E441" s="17" t="s">
        <v>6142</v>
      </c>
      <c r="F441" s="17" t="s">
        <v>5446</v>
      </c>
      <c r="G441" s="17" t="s">
        <v>5353</v>
      </c>
      <c r="H441" s="17" t="s">
        <v>5354</v>
      </c>
      <c r="I441" s="18">
        <v>71</v>
      </c>
    </row>
    <row r="442" spans="1:9" x14ac:dyDescent="0.25">
      <c r="A442" s="16" t="s">
        <v>126</v>
      </c>
      <c r="B442" s="17" t="s">
        <v>6138</v>
      </c>
      <c r="C442" s="17" t="s">
        <v>6139</v>
      </c>
      <c r="D442" s="17" t="s">
        <v>5357</v>
      </c>
      <c r="E442" s="17" t="s">
        <v>6143</v>
      </c>
      <c r="F442" s="17" t="s">
        <v>5352</v>
      </c>
      <c r="G442" s="17" t="s">
        <v>5353</v>
      </c>
      <c r="H442" s="17" t="s">
        <v>5354</v>
      </c>
      <c r="I442" s="18">
        <v>49</v>
      </c>
    </row>
    <row r="443" spans="1:9" x14ac:dyDescent="0.25">
      <c r="A443" s="16" t="s">
        <v>807</v>
      </c>
      <c r="B443" s="17" t="s">
        <v>6144</v>
      </c>
      <c r="C443" s="17" t="s">
        <v>6145</v>
      </c>
      <c r="D443" s="17" t="s">
        <v>5357</v>
      </c>
      <c r="E443" s="17" t="s">
        <v>6115</v>
      </c>
      <c r="F443" s="17" t="s">
        <v>5423</v>
      </c>
      <c r="G443" s="17" t="s">
        <v>5398</v>
      </c>
      <c r="H443" s="17" t="s">
        <v>5399</v>
      </c>
      <c r="I443" s="18">
        <v>52</v>
      </c>
    </row>
    <row r="444" spans="1:9" x14ac:dyDescent="0.25">
      <c r="A444" s="16" t="s">
        <v>1238</v>
      </c>
      <c r="B444" s="17" t="s">
        <v>6144</v>
      </c>
      <c r="C444" s="17" t="s">
        <v>5461</v>
      </c>
      <c r="D444" s="17" t="s">
        <v>5357</v>
      </c>
      <c r="E444" s="17" t="s">
        <v>5406</v>
      </c>
      <c r="F444" s="17" t="s">
        <v>5407</v>
      </c>
      <c r="G444" s="17" t="s">
        <v>5366</v>
      </c>
      <c r="H444" s="17" t="s">
        <v>5367</v>
      </c>
      <c r="I444" s="18">
        <v>41</v>
      </c>
    </row>
    <row r="445" spans="1:9" x14ac:dyDescent="0.25">
      <c r="A445" s="16" t="s">
        <v>1154</v>
      </c>
      <c r="B445" s="17" t="s">
        <v>6146</v>
      </c>
      <c r="C445" s="17" t="s">
        <v>6147</v>
      </c>
      <c r="D445" s="17" t="s">
        <v>5357</v>
      </c>
      <c r="E445" s="17" t="s">
        <v>6148</v>
      </c>
      <c r="F445" s="17" t="s">
        <v>6149</v>
      </c>
      <c r="G445" s="17" t="s">
        <v>5370</v>
      </c>
      <c r="H445" s="17" t="s">
        <v>5371</v>
      </c>
      <c r="I445" s="18">
        <v>37</v>
      </c>
    </row>
    <row r="446" spans="1:9" x14ac:dyDescent="0.25">
      <c r="A446" s="12" t="s">
        <v>1787</v>
      </c>
      <c r="B446" s="13" t="s">
        <v>6146</v>
      </c>
      <c r="C446" s="13" t="s">
        <v>6150</v>
      </c>
      <c r="D446" s="13" t="s">
        <v>5341</v>
      </c>
      <c r="E446" s="13" t="s">
        <v>5435</v>
      </c>
      <c r="F446" s="13" t="s">
        <v>5436</v>
      </c>
      <c r="G446" s="13" t="s">
        <v>5353</v>
      </c>
      <c r="H446" s="13" t="s">
        <v>5354</v>
      </c>
      <c r="I446" s="14">
        <v>60</v>
      </c>
    </row>
    <row r="447" spans="1:9" x14ac:dyDescent="0.25">
      <c r="A447" s="12" t="s">
        <v>297</v>
      </c>
      <c r="B447" s="13" t="s">
        <v>6151</v>
      </c>
      <c r="C447" s="13" t="s">
        <v>6152</v>
      </c>
      <c r="D447" s="13" t="s">
        <v>5357</v>
      </c>
      <c r="E447" s="13" t="s">
        <v>6153</v>
      </c>
      <c r="F447" s="13" t="s">
        <v>5387</v>
      </c>
      <c r="G447" s="13" t="s">
        <v>5344</v>
      </c>
      <c r="H447" s="13" t="s">
        <v>5345</v>
      </c>
      <c r="I447" s="14">
        <v>78</v>
      </c>
    </row>
    <row r="448" spans="1:9" x14ac:dyDescent="0.25">
      <c r="A448" s="12" t="s">
        <v>544</v>
      </c>
      <c r="B448" s="13" t="s">
        <v>6154</v>
      </c>
      <c r="C448" s="13" t="s">
        <v>5990</v>
      </c>
      <c r="D448" s="13" t="s">
        <v>5357</v>
      </c>
      <c r="E448" s="13" t="s">
        <v>5442</v>
      </c>
      <c r="F448" s="13" t="s">
        <v>5363</v>
      </c>
      <c r="G448" s="13" t="s">
        <v>5353</v>
      </c>
      <c r="H448" s="13" t="s">
        <v>5354</v>
      </c>
      <c r="I448" s="14">
        <v>73</v>
      </c>
    </row>
    <row r="449" spans="1:9" x14ac:dyDescent="0.25">
      <c r="A449" s="16" t="s">
        <v>170</v>
      </c>
      <c r="B449" s="17" t="s">
        <v>6154</v>
      </c>
      <c r="C449" s="17" t="s">
        <v>5990</v>
      </c>
      <c r="D449" s="17" t="s">
        <v>5341</v>
      </c>
      <c r="E449" s="17" t="s">
        <v>5727</v>
      </c>
      <c r="F449" s="17" t="s">
        <v>5387</v>
      </c>
      <c r="G449" s="17" t="s">
        <v>5344</v>
      </c>
      <c r="H449" s="17" t="s">
        <v>5345</v>
      </c>
      <c r="I449" s="18">
        <v>33</v>
      </c>
    </row>
    <row r="450" spans="1:9" x14ac:dyDescent="0.25">
      <c r="A450" s="12" t="s">
        <v>648</v>
      </c>
      <c r="B450" s="13" t="s">
        <v>6154</v>
      </c>
      <c r="C450" s="13" t="s">
        <v>6034</v>
      </c>
      <c r="D450" s="13" t="s">
        <v>5341</v>
      </c>
      <c r="E450" s="13" t="s">
        <v>5380</v>
      </c>
      <c r="F450" s="13" t="s">
        <v>5381</v>
      </c>
      <c r="G450" s="13" t="s">
        <v>5353</v>
      </c>
      <c r="H450" s="13" t="s">
        <v>5354</v>
      </c>
      <c r="I450" s="14">
        <v>64</v>
      </c>
    </row>
    <row r="451" spans="1:9" x14ac:dyDescent="0.25">
      <c r="A451" s="12" t="s">
        <v>1525</v>
      </c>
      <c r="B451" s="13" t="s">
        <v>6154</v>
      </c>
      <c r="C451" s="13" t="s">
        <v>6034</v>
      </c>
      <c r="D451" s="13" t="s">
        <v>5341</v>
      </c>
      <c r="E451" s="13" t="s">
        <v>5661</v>
      </c>
      <c r="F451" s="13" t="s">
        <v>5661</v>
      </c>
      <c r="G451" s="13" t="s">
        <v>5370</v>
      </c>
      <c r="H451" s="13" t="s">
        <v>5371</v>
      </c>
      <c r="I451" s="14">
        <v>68</v>
      </c>
    </row>
    <row r="452" spans="1:9" x14ac:dyDescent="0.25">
      <c r="A452" s="16" t="s">
        <v>500</v>
      </c>
      <c r="B452" s="17" t="s">
        <v>6155</v>
      </c>
      <c r="C452" s="17" t="s">
        <v>6156</v>
      </c>
      <c r="D452" s="17" t="s">
        <v>5350</v>
      </c>
      <c r="E452" s="17" t="s">
        <v>5453</v>
      </c>
      <c r="F452" s="17" t="s">
        <v>5454</v>
      </c>
      <c r="G452" s="17" t="s">
        <v>5353</v>
      </c>
      <c r="H452" s="17" t="s">
        <v>5354</v>
      </c>
      <c r="I452" s="18">
        <v>57</v>
      </c>
    </row>
    <row r="453" spans="1:9" x14ac:dyDescent="0.25">
      <c r="A453" s="12" t="s">
        <v>1195</v>
      </c>
      <c r="B453" s="13" t="s">
        <v>6155</v>
      </c>
      <c r="C453" s="13" t="s">
        <v>6156</v>
      </c>
      <c r="D453" s="13" t="s">
        <v>5357</v>
      </c>
      <c r="E453" s="13" t="s">
        <v>5455</v>
      </c>
      <c r="F453" s="13" t="s">
        <v>5436</v>
      </c>
      <c r="G453" s="13" t="s">
        <v>5353</v>
      </c>
      <c r="H453" s="13" t="s">
        <v>5354</v>
      </c>
      <c r="I453" s="14">
        <v>72</v>
      </c>
    </row>
    <row r="454" spans="1:9" x14ac:dyDescent="0.25">
      <c r="A454" s="16" t="s">
        <v>172</v>
      </c>
      <c r="B454" s="17" t="s">
        <v>6157</v>
      </c>
      <c r="C454" s="17" t="s">
        <v>6158</v>
      </c>
      <c r="D454" s="17" t="s">
        <v>5341</v>
      </c>
      <c r="E454" s="17" t="s">
        <v>5809</v>
      </c>
      <c r="F454" s="17" t="s">
        <v>5359</v>
      </c>
      <c r="G454" s="17" t="s">
        <v>5344</v>
      </c>
      <c r="H454" s="17" t="s">
        <v>5345</v>
      </c>
      <c r="I454" s="18">
        <v>63</v>
      </c>
    </row>
    <row r="455" spans="1:9" x14ac:dyDescent="0.25">
      <c r="A455" s="16" t="s">
        <v>2896</v>
      </c>
      <c r="B455" s="17" t="s">
        <v>6159</v>
      </c>
      <c r="C455" s="17" t="s">
        <v>6160</v>
      </c>
      <c r="D455" s="17" t="s">
        <v>5350</v>
      </c>
      <c r="E455" s="17" t="s">
        <v>6161</v>
      </c>
      <c r="F455" s="17" t="s">
        <v>5580</v>
      </c>
      <c r="G455" s="17" t="s">
        <v>5366</v>
      </c>
      <c r="H455" s="17" t="s">
        <v>5367</v>
      </c>
      <c r="I455" s="18">
        <v>34</v>
      </c>
    </row>
    <row r="456" spans="1:9" x14ac:dyDescent="0.25">
      <c r="A456" s="16" t="s">
        <v>2436</v>
      </c>
      <c r="B456" s="17" t="s">
        <v>6159</v>
      </c>
      <c r="C456" s="17" t="s">
        <v>6160</v>
      </c>
      <c r="D456" s="17" t="s">
        <v>5350</v>
      </c>
      <c r="E456" s="17" t="s">
        <v>6162</v>
      </c>
      <c r="F456" s="17" t="s">
        <v>5359</v>
      </c>
      <c r="G456" s="17" t="s">
        <v>5344</v>
      </c>
      <c r="H456" s="17" t="s">
        <v>5345</v>
      </c>
      <c r="I456" s="18">
        <v>39</v>
      </c>
    </row>
    <row r="457" spans="1:9" x14ac:dyDescent="0.25">
      <c r="A457" s="16" t="s">
        <v>249</v>
      </c>
      <c r="B457" s="17" t="s">
        <v>6159</v>
      </c>
      <c r="C457" s="17" t="s">
        <v>6163</v>
      </c>
      <c r="D457" s="17" t="s">
        <v>5357</v>
      </c>
      <c r="E457" s="17" t="s">
        <v>5383</v>
      </c>
      <c r="F457" s="17" t="s">
        <v>5365</v>
      </c>
      <c r="G457" s="17" t="s">
        <v>5366</v>
      </c>
      <c r="H457" s="17" t="s">
        <v>5367</v>
      </c>
      <c r="I457" s="18">
        <v>50</v>
      </c>
    </row>
    <row r="458" spans="1:9" x14ac:dyDescent="0.25">
      <c r="A458" s="12" t="s">
        <v>1104</v>
      </c>
      <c r="B458" s="13" t="s">
        <v>5491</v>
      </c>
      <c r="C458" s="13" t="s">
        <v>6164</v>
      </c>
      <c r="D458" s="13" t="s">
        <v>5357</v>
      </c>
      <c r="E458" s="13" t="s">
        <v>6016</v>
      </c>
      <c r="F458" s="13" t="s">
        <v>6010</v>
      </c>
      <c r="G458" s="13" t="s">
        <v>5370</v>
      </c>
      <c r="H458" s="13" t="s">
        <v>5371</v>
      </c>
      <c r="I458" s="14">
        <v>68</v>
      </c>
    </row>
    <row r="459" spans="1:9" x14ac:dyDescent="0.25">
      <c r="A459" s="12" t="s">
        <v>599</v>
      </c>
      <c r="B459" s="13" t="s">
        <v>5491</v>
      </c>
      <c r="C459" s="13" t="s">
        <v>6165</v>
      </c>
      <c r="D459" s="13" t="s">
        <v>5357</v>
      </c>
      <c r="E459" s="13" t="s">
        <v>6113</v>
      </c>
      <c r="F459" s="13" t="s">
        <v>5446</v>
      </c>
      <c r="G459" s="13" t="s">
        <v>5353</v>
      </c>
      <c r="H459" s="13" t="s">
        <v>5354</v>
      </c>
      <c r="I459" s="14">
        <v>27</v>
      </c>
    </row>
    <row r="460" spans="1:9" x14ac:dyDescent="0.25">
      <c r="A460" s="16" t="s">
        <v>2420</v>
      </c>
      <c r="B460" s="17" t="s">
        <v>5491</v>
      </c>
      <c r="C460" s="17" t="s">
        <v>6164</v>
      </c>
      <c r="D460" s="17" t="s">
        <v>5357</v>
      </c>
      <c r="E460" s="17" t="s">
        <v>5401</v>
      </c>
      <c r="F460" s="17" t="s">
        <v>5352</v>
      </c>
      <c r="G460" s="17" t="s">
        <v>5353</v>
      </c>
      <c r="H460" s="17" t="s">
        <v>5354</v>
      </c>
      <c r="I460" s="18">
        <v>71</v>
      </c>
    </row>
    <row r="461" spans="1:9" x14ac:dyDescent="0.25">
      <c r="A461" s="16" t="s">
        <v>588</v>
      </c>
      <c r="B461" s="17" t="s">
        <v>5491</v>
      </c>
      <c r="C461" s="17" t="s">
        <v>6166</v>
      </c>
      <c r="D461" s="17" t="s">
        <v>5357</v>
      </c>
      <c r="E461" s="17" t="s">
        <v>5458</v>
      </c>
      <c r="F461" s="17" t="s">
        <v>5454</v>
      </c>
      <c r="G461" s="17" t="s">
        <v>5353</v>
      </c>
      <c r="H461" s="17" t="s">
        <v>5354</v>
      </c>
      <c r="I461" s="18">
        <v>51</v>
      </c>
    </row>
    <row r="462" spans="1:9" x14ac:dyDescent="0.25">
      <c r="A462" s="12" t="s">
        <v>85</v>
      </c>
      <c r="B462" s="13" t="s">
        <v>5491</v>
      </c>
      <c r="C462" s="13" t="s">
        <v>6165</v>
      </c>
      <c r="D462" s="13" t="s">
        <v>5341</v>
      </c>
      <c r="E462" s="13" t="s">
        <v>6167</v>
      </c>
      <c r="F462" s="13" t="s">
        <v>5580</v>
      </c>
      <c r="G462" s="13" t="s">
        <v>5366</v>
      </c>
      <c r="H462" s="13" t="s">
        <v>5367</v>
      </c>
      <c r="I462" s="14">
        <v>68</v>
      </c>
    </row>
    <row r="463" spans="1:9" x14ac:dyDescent="0.25">
      <c r="A463" s="16" t="s">
        <v>650</v>
      </c>
      <c r="B463" s="17" t="s">
        <v>6168</v>
      </c>
      <c r="C463" s="17" t="s">
        <v>6169</v>
      </c>
      <c r="D463" s="17" t="s">
        <v>5350</v>
      </c>
      <c r="E463" s="17" t="s">
        <v>5451</v>
      </c>
      <c r="F463" s="17" t="s">
        <v>5436</v>
      </c>
      <c r="G463" s="17" t="s">
        <v>5353</v>
      </c>
      <c r="H463" s="17" t="s">
        <v>5354</v>
      </c>
      <c r="I463" s="18">
        <v>48</v>
      </c>
    </row>
    <row r="464" spans="1:9" x14ac:dyDescent="0.25">
      <c r="A464" s="12" t="s">
        <v>1490</v>
      </c>
      <c r="B464" s="13" t="s">
        <v>6170</v>
      </c>
      <c r="C464" s="13" t="s">
        <v>5924</v>
      </c>
      <c r="D464" s="13" t="s">
        <v>5341</v>
      </c>
      <c r="E464" s="13" t="s">
        <v>5583</v>
      </c>
      <c r="F464" s="13" t="s">
        <v>5661</v>
      </c>
      <c r="G464" s="13" t="s">
        <v>5370</v>
      </c>
      <c r="H464" s="13" t="s">
        <v>5371</v>
      </c>
      <c r="I464" s="14">
        <v>57</v>
      </c>
    </row>
    <row r="465" spans="1:9" x14ac:dyDescent="0.25">
      <c r="A465" s="16" t="s">
        <v>1174</v>
      </c>
      <c r="B465" s="17" t="s">
        <v>6170</v>
      </c>
      <c r="C465" s="17" t="s">
        <v>6171</v>
      </c>
      <c r="D465" s="17" t="s">
        <v>5341</v>
      </c>
      <c r="E465" s="17" t="s">
        <v>6172</v>
      </c>
      <c r="F465" s="17" t="s">
        <v>5580</v>
      </c>
      <c r="G465" s="17" t="s">
        <v>5366</v>
      </c>
      <c r="H465" s="17" t="s">
        <v>5367</v>
      </c>
      <c r="I465" s="18">
        <v>79</v>
      </c>
    </row>
    <row r="466" spans="1:9" x14ac:dyDescent="0.25">
      <c r="A466" s="12" t="s">
        <v>552</v>
      </c>
      <c r="B466" s="13" t="s">
        <v>6170</v>
      </c>
      <c r="C466" s="13" t="s">
        <v>6173</v>
      </c>
      <c r="D466" s="13" t="s">
        <v>5341</v>
      </c>
      <c r="E466" s="13" t="s">
        <v>6174</v>
      </c>
      <c r="F466" s="13" t="s">
        <v>5352</v>
      </c>
      <c r="G466" s="13" t="s">
        <v>5353</v>
      </c>
      <c r="H466" s="13" t="s">
        <v>5354</v>
      </c>
      <c r="I466" s="14">
        <v>50</v>
      </c>
    </row>
    <row r="467" spans="1:9" x14ac:dyDescent="0.25">
      <c r="A467" s="12" t="s">
        <v>1278</v>
      </c>
      <c r="B467" s="13" t="s">
        <v>6170</v>
      </c>
      <c r="C467" s="13" t="s">
        <v>6173</v>
      </c>
      <c r="D467" s="13" t="s">
        <v>5341</v>
      </c>
      <c r="E467" s="13" t="s">
        <v>6175</v>
      </c>
      <c r="F467" s="13" t="s">
        <v>5744</v>
      </c>
      <c r="G467" s="13" t="s">
        <v>5398</v>
      </c>
      <c r="H467" s="13" t="s">
        <v>5399</v>
      </c>
      <c r="I467" s="14">
        <v>54</v>
      </c>
    </row>
    <row r="468" spans="1:9" x14ac:dyDescent="0.25">
      <c r="A468" s="12" t="s">
        <v>164</v>
      </c>
      <c r="B468" s="13" t="s">
        <v>6170</v>
      </c>
      <c r="C468" s="13" t="s">
        <v>6176</v>
      </c>
      <c r="D468" s="13" t="s">
        <v>5357</v>
      </c>
      <c r="E468" s="13" t="s">
        <v>5442</v>
      </c>
      <c r="F468" s="13" t="s">
        <v>5363</v>
      </c>
      <c r="G468" s="13" t="s">
        <v>5353</v>
      </c>
      <c r="H468" s="13" t="s">
        <v>5354</v>
      </c>
      <c r="I468" s="14">
        <v>76</v>
      </c>
    </row>
    <row r="469" spans="1:9" x14ac:dyDescent="0.25">
      <c r="A469" s="16" t="s">
        <v>227</v>
      </c>
      <c r="B469" s="17" t="s">
        <v>6170</v>
      </c>
      <c r="C469" s="17" t="s">
        <v>6176</v>
      </c>
      <c r="D469" s="17" t="s">
        <v>5341</v>
      </c>
      <c r="E469" s="17" t="s">
        <v>6177</v>
      </c>
      <c r="F469" s="17" t="s">
        <v>5558</v>
      </c>
      <c r="G469" s="17" t="s">
        <v>5366</v>
      </c>
      <c r="H469" s="17" t="s">
        <v>5367</v>
      </c>
      <c r="I469" s="18">
        <v>49</v>
      </c>
    </row>
    <row r="470" spans="1:9" x14ac:dyDescent="0.25">
      <c r="A470" s="12" t="s">
        <v>216</v>
      </c>
      <c r="B470" s="13" t="s">
        <v>6178</v>
      </c>
      <c r="C470" s="13" t="s">
        <v>6179</v>
      </c>
      <c r="D470" s="13" t="s">
        <v>5357</v>
      </c>
      <c r="E470" s="13" t="s">
        <v>6180</v>
      </c>
      <c r="F470" s="13" t="s">
        <v>5558</v>
      </c>
      <c r="G470" s="13" t="s">
        <v>5366</v>
      </c>
      <c r="H470" s="13" t="s">
        <v>5367</v>
      </c>
      <c r="I470" s="14">
        <v>37</v>
      </c>
    </row>
    <row r="471" spans="1:9" x14ac:dyDescent="0.25">
      <c r="A471" s="16" t="s">
        <v>661</v>
      </c>
      <c r="B471" s="17" t="s">
        <v>6124</v>
      </c>
      <c r="C471" s="17" t="s">
        <v>5745</v>
      </c>
      <c r="D471" s="17" t="s">
        <v>5357</v>
      </c>
      <c r="E471" s="17" t="s">
        <v>6142</v>
      </c>
      <c r="F471" s="17" t="s">
        <v>5446</v>
      </c>
      <c r="G471" s="17" t="s">
        <v>5353</v>
      </c>
      <c r="H471" s="17" t="s">
        <v>5354</v>
      </c>
      <c r="I471" s="18">
        <v>63</v>
      </c>
    </row>
    <row r="472" spans="1:9" x14ac:dyDescent="0.25">
      <c r="A472" s="16" t="s">
        <v>1451</v>
      </c>
      <c r="B472" s="17" t="s">
        <v>6124</v>
      </c>
      <c r="C472" s="17" t="s">
        <v>6181</v>
      </c>
      <c r="D472" s="17" t="s">
        <v>5357</v>
      </c>
      <c r="E472" s="17" t="s">
        <v>6182</v>
      </c>
      <c r="F472" s="17" t="s">
        <v>5423</v>
      </c>
      <c r="G472" s="17" t="s">
        <v>5398</v>
      </c>
      <c r="H472" s="17" t="s">
        <v>5399</v>
      </c>
      <c r="I472" s="18">
        <v>67</v>
      </c>
    </row>
    <row r="473" spans="1:9" x14ac:dyDescent="0.25">
      <c r="A473" s="16" t="s">
        <v>1856</v>
      </c>
      <c r="B473" s="17" t="s">
        <v>6124</v>
      </c>
      <c r="C473" s="17" t="s">
        <v>5861</v>
      </c>
      <c r="D473" s="17" t="s">
        <v>5341</v>
      </c>
      <c r="E473" s="17" t="s">
        <v>6183</v>
      </c>
      <c r="F473" s="17" t="s">
        <v>6184</v>
      </c>
      <c r="G473" s="17" t="s">
        <v>5398</v>
      </c>
      <c r="H473" s="17" t="s">
        <v>5399</v>
      </c>
      <c r="I473" s="18">
        <v>49</v>
      </c>
    </row>
    <row r="474" spans="1:9" x14ac:dyDescent="0.25">
      <c r="A474" s="12" t="s">
        <v>569</v>
      </c>
      <c r="B474" s="13" t="s">
        <v>6124</v>
      </c>
      <c r="C474" s="13" t="s">
        <v>6185</v>
      </c>
      <c r="D474" s="13" t="s">
        <v>5341</v>
      </c>
      <c r="E474" s="13" t="s">
        <v>6186</v>
      </c>
      <c r="F474" s="13" t="s">
        <v>6187</v>
      </c>
      <c r="G474" s="13" t="s">
        <v>5344</v>
      </c>
      <c r="H474" s="13" t="s">
        <v>5345</v>
      </c>
      <c r="I474" s="14">
        <v>45</v>
      </c>
    </row>
    <row r="475" spans="1:9" x14ac:dyDescent="0.25">
      <c r="A475" s="12" t="s">
        <v>1094</v>
      </c>
      <c r="B475" s="13" t="s">
        <v>6124</v>
      </c>
      <c r="C475" s="13" t="s">
        <v>6181</v>
      </c>
      <c r="D475" s="13" t="s">
        <v>5341</v>
      </c>
      <c r="E475" s="13" t="s">
        <v>6188</v>
      </c>
      <c r="F475" s="13" t="s">
        <v>5407</v>
      </c>
      <c r="G475" s="13" t="s">
        <v>5366</v>
      </c>
      <c r="H475" s="13" t="s">
        <v>5367</v>
      </c>
      <c r="I475" s="14">
        <v>64</v>
      </c>
    </row>
    <row r="476" spans="1:9" x14ac:dyDescent="0.25">
      <c r="A476" s="12" t="s">
        <v>135</v>
      </c>
      <c r="B476" s="13" t="s">
        <v>6189</v>
      </c>
      <c r="C476" s="13" t="s">
        <v>5540</v>
      </c>
      <c r="D476" s="13" t="s">
        <v>5357</v>
      </c>
      <c r="E476" s="13" t="s">
        <v>6190</v>
      </c>
      <c r="F476" s="13" t="s">
        <v>5585</v>
      </c>
      <c r="G476" s="13" t="s">
        <v>5398</v>
      </c>
      <c r="H476" s="13" t="s">
        <v>5399</v>
      </c>
      <c r="I476" s="14">
        <v>43</v>
      </c>
    </row>
    <row r="477" spans="1:9" x14ac:dyDescent="0.25">
      <c r="A477" s="12" t="s">
        <v>624</v>
      </c>
      <c r="B477" s="13" t="s">
        <v>6189</v>
      </c>
      <c r="C477" s="13" t="s">
        <v>5540</v>
      </c>
      <c r="D477" s="13" t="s">
        <v>5350</v>
      </c>
      <c r="E477" s="13" t="s">
        <v>5412</v>
      </c>
      <c r="F477" s="13" t="s">
        <v>5365</v>
      </c>
      <c r="G477" s="13" t="s">
        <v>5366</v>
      </c>
      <c r="H477" s="13" t="s">
        <v>5367</v>
      </c>
      <c r="I477" s="14">
        <v>63</v>
      </c>
    </row>
    <row r="478" spans="1:9" x14ac:dyDescent="0.25">
      <c r="A478" s="16" t="s">
        <v>229</v>
      </c>
      <c r="B478" s="17" t="s">
        <v>6189</v>
      </c>
      <c r="C478" s="17" t="s">
        <v>5540</v>
      </c>
      <c r="D478" s="17" t="s">
        <v>5357</v>
      </c>
      <c r="E478" s="17" t="s">
        <v>5431</v>
      </c>
      <c r="F478" s="17" t="s">
        <v>5431</v>
      </c>
      <c r="G478" s="17" t="s">
        <v>5370</v>
      </c>
      <c r="H478" s="17" t="s">
        <v>5371</v>
      </c>
      <c r="I478" s="18">
        <v>67</v>
      </c>
    </row>
    <row r="479" spans="1:9" x14ac:dyDescent="0.25">
      <c r="A479" s="12" t="s">
        <v>1112</v>
      </c>
      <c r="B479" s="13" t="s">
        <v>6191</v>
      </c>
      <c r="C479" s="13" t="s">
        <v>5450</v>
      </c>
      <c r="D479" s="13" t="s">
        <v>5357</v>
      </c>
      <c r="E479" s="13" t="s">
        <v>6188</v>
      </c>
      <c r="F479" s="13" t="s">
        <v>5407</v>
      </c>
      <c r="G479" s="13" t="s">
        <v>5366</v>
      </c>
      <c r="H479" s="13" t="s">
        <v>5367</v>
      </c>
      <c r="I479" s="14">
        <v>60</v>
      </c>
    </row>
    <row r="480" spans="1:9" x14ac:dyDescent="0.25">
      <c r="A480" s="12" t="s">
        <v>418</v>
      </c>
      <c r="B480" s="13" t="s">
        <v>6192</v>
      </c>
      <c r="C480" s="13" t="s">
        <v>6193</v>
      </c>
      <c r="D480" s="13" t="s">
        <v>5357</v>
      </c>
      <c r="E480" s="13" t="s">
        <v>5917</v>
      </c>
      <c r="F480" s="13" t="s">
        <v>5423</v>
      </c>
      <c r="G480" s="13" t="s">
        <v>5398</v>
      </c>
      <c r="H480" s="13" t="s">
        <v>5399</v>
      </c>
      <c r="I480" s="14">
        <v>72</v>
      </c>
    </row>
    <row r="481" spans="1:9" x14ac:dyDescent="0.25">
      <c r="A481" s="16" t="s">
        <v>1768</v>
      </c>
      <c r="B481" s="17" t="s">
        <v>6192</v>
      </c>
      <c r="C481" s="17" t="s">
        <v>6194</v>
      </c>
      <c r="D481" s="17" t="s">
        <v>5357</v>
      </c>
      <c r="E481" s="17" t="s">
        <v>5583</v>
      </c>
      <c r="F481" s="17" t="s">
        <v>5661</v>
      </c>
      <c r="G481" s="17" t="s">
        <v>5370</v>
      </c>
      <c r="H481" s="17" t="s">
        <v>5371</v>
      </c>
      <c r="I481" s="18">
        <v>62</v>
      </c>
    </row>
    <row r="482" spans="1:9" x14ac:dyDescent="0.25">
      <c r="A482" s="12" t="s">
        <v>970</v>
      </c>
      <c r="B482" s="13" t="s">
        <v>6192</v>
      </c>
      <c r="C482" s="13" t="s">
        <v>6193</v>
      </c>
      <c r="D482" s="13" t="s">
        <v>5350</v>
      </c>
      <c r="E482" s="13" t="s">
        <v>5819</v>
      </c>
      <c r="F482" s="13" t="s">
        <v>5359</v>
      </c>
      <c r="G482" s="13" t="s">
        <v>5344</v>
      </c>
      <c r="H482" s="13" t="s">
        <v>5345</v>
      </c>
      <c r="I482" s="14">
        <v>40</v>
      </c>
    </row>
    <row r="483" spans="1:9" x14ac:dyDescent="0.25">
      <c r="A483" s="16" t="s">
        <v>400</v>
      </c>
      <c r="B483" s="17" t="s">
        <v>6192</v>
      </c>
      <c r="C483" s="17" t="s">
        <v>6194</v>
      </c>
      <c r="D483" s="17" t="s">
        <v>5350</v>
      </c>
      <c r="E483" s="17" t="s">
        <v>5380</v>
      </c>
      <c r="F483" s="17" t="s">
        <v>5381</v>
      </c>
      <c r="G483" s="17" t="s">
        <v>5353</v>
      </c>
      <c r="H483" s="17" t="s">
        <v>5354</v>
      </c>
      <c r="I483" s="18">
        <v>45</v>
      </c>
    </row>
    <row r="484" spans="1:9" x14ac:dyDescent="0.25">
      <c r="A484" s="16" t="s">
        <v>96</v>
      </c>
      <c r="B484" s="17" t="s">
        <v>6195</v>
      </c>
      <c r="C484" s="17" t="s">
        <v>6196</v>
      </c>
      <c r="D484" s="17" t="s">
        <v>5357</v>
      </c>
      <c r="E484" s="17" t="s">
        <v>6197</v>
      </c>
      <c r="F484" s="17" t="s">
        <v>5558</v>
      </c>
      <c r="G484" s="17" t="s">
        <v>5366</v>
      </c>
      <c r="H484" s="17" t="s">
        <v>5367</v>
      </c>
      <c r="I484" s="18">
        <v>67</v>
      </c>
    </row>
    <row r="485" spans="1:9" x14ac:dyDescent="0.25">
      <c r="A485" s="16" t="s">
        <v>122</v>
      </c>
      <c r="B485" s="17" t="s">
        <v>6195</v>
      </c>
      <c r="C485" s="17" t="s">
        <v>6196</v>
      </c>
      <c r="D485" s="17" t="s">
        <v>5357</v>
      </c>
      <c r="E485" s="17" t="s">
        <v>5435</v>
      </c>
      <c r="F485" s="17" t="s">
        <v>5436</v>
      </c>
      <c r="G485" s="17" t="s">
        <v>5353</v>
      </c>
      <c r="H485" s="17" t="s">
        <v>5354</v>
      </c>
      <c r="I485" s="18">
        <v>47</v>
      </c>
    </row>
    <row r="486" spans="1:9" x14ac:dyDescent="0.25">
      <c r="A486" s="16" t="s">
        <v>410</v>
      </c>
      <c r="B486" s="17" t="s">
        <v>6198</v>
      </c>
      <c r="C486" s="17" t="s">
        <v>5746</v>
      </c>
      <c r="D486" s="17" t="s">
        <v>5357</v>
      </c>
      <c r="E486" s="17" t="s">
        <v>6199</v>
      </c>
      <c r="F486" s="17" t="s">
        <v>5377</v>
      </c>
      <c r="G486" s="17" t="s">
        <v>5366</v>
      </c>
      <c r="H486" s="17" t="s">
        <v>5367</v>
      </c>
      <c r="I486" s="18">
        <v>62</v>
      </c>
    </row>
    <row r="487" spans="1:9" x14ac:dyDescent="0.25">
      <c r="A487" s="16" t="s">
        <v>732</v>
      </c>
      <c r="B487" s="17" t="s">
        <v>6198</v>
      </c>
      <c r="C487" s="17" t="s">
        <v>5879</v>
      </c>
      <c r="D487" s="17" t="s">
        <v>5357</v>
      </c>
      <c r="E487" s="17" t="s">
        <v>5429</v>
      </c>
      <c r="F487" s="17" t="s">
        <v>5430</v>
      </c>
      <c r="G487" s="17" t="s">
        <v>5398</v>
      </c>
      <c r="H487" s="17" t="s">
        <v>5399</v>
      </c>
      <c r="I487" s="18">
        <v>77</v>
      </c>
    </row>
    <row r="488" spans="1:9" x14ac:dyDescent="0.25">
      <c r="A488" s="12" t="s">
        <v>52</v>
      </c>
      <c r="B488" s="13" t="s">
        <v>6200</v>
      </c>
      <c r="C488" s="13" t="s">
        <v>6201</v>
      </c>
      <c r="D488" s="13" t="s">
        <v>5350</v>
      </c>
      <c r="E488" s="13" t="s">
        <v>5458</v>
      </c>
      <c r="F488" s="13" t="s">
        <v>5454</v>
      </c>
      <c r="G488" s="13" t="s">
        <v>5353</v>
      </c>
      <c r="H488" s="13" t="s">
        <v>5354</v>
      </c>
      <c r="I488" s="14">
        <v>55</v>
      </c>
    </row>
    <row r="489" spans="1:9" x14ac:dyDescent="0.25">
      <c r="A489" s="16" t="s">
        <v>585</v>
      </c>
      <c r="B489" s="17" t="s">
        <v>5454</v>
      </c>
      <c r="C489" s="17" t="s">
        <v>6202</v>
      </c>
      <c r="D489" s="17" t="s">
        <v>5341</v>
      </c>
      <c r="E489" s="17" t="s">
        <v>5489</v>
      </c>
      <c r="F489" s="17" t="s">
        <v>5390</v>
      </c>
      <c r="G489" s="17" t="s">
        <v>5353</v>
      </c>
      <c r="H489" s="17" t="s">
        <v>5354</v>
      </c>
      <c r="I489" s="18">
        <v>28</v>
      </c>
    </row>
    <row r="490" spans="1:9" x14ac:dyDescent="0.25">
      <c r="A490" s="12" t="s">
        <v>523</v>
      </c>
      <c r="B490" s="13" t="s">
        <v>5454</v>
      </c>
      <c r="C490" s="13" t="s">
        <v>6202</v>
      </c>
      <c r="D490" s="13" t="s">
        <v>5350</v>
      </c>
      <c r="E490" s="13" t="s">
        <v>5380</v>
      </c>
      <c r="F490" s="13" t="s">
        <v>5381</v>
      </c>
      <c r="G490" s="13" t="s">
        <v>5353</v>
      </c>
      <c r="H490" s="13" t="s">
        <v>5354</v>
      </c>
      <c r="I490" s="14">
        <v>55</v>
      </c>
    </row>
    <row r="491" spans="1:9" x14ac:dyDescent="0.25">
      <c r="A491" s="12" t="s">
        <v>166</v>
      </c>
      <c r="B491" s="13" t="s">
        <v>5454</v>
      </c>
      <c r="C491" s="13" t="s">
        <v>5673</v>
      </c>
      <c r="D491" s="13" t="s">
        <v>5350</v>
      </c>
      <c r="E491" s="13" t="s">
        <v>5400</v>
      </c>
      <c r="F491" s="13" t="s">
        <v>5400</v>
      </c>
      <c r="G491" s="13" t="s">
        <v>5344</v>
      </c>
      <c r="H491" s="13" t="s">
        <v>5345</v>
      </c>
      <c r="I491" s="14">
        <v>54</v>
      </c>
    </row>
    <row r="492" spans="1:9" x14ac:dyDescent="0.25">
      <c r="A492" s="12" t="s">
        <v>102</v>
      </c>
      <c r="B492" s="13" t="s">
        <v>5454</v>
      </c>
      <c r="C492" s="13" t="s">
        <v>6203</v>
      </c>
      <c r="D492" s="13" t="s">
        <v>5341</v>
      </c>
      <c r="E492" s="13" t="s">
        <v>6183</v>
      </c>
      <c r="F492" s="13" t="s">
        <v>6184</v>
      </c>
      <c r="G492" s="13" t="s">
        <v>5398</v>
      </c>
      <c r="H492" s="13" t="s">
        <v>5399</v>
      </c>
      <c r="I492" s="14">
        <v>76</v>
      </c>
    </row>
    <row r="493" spans="1:9" x14ac:dyDescent="0.25">
      <c r="A493" s="16" t="s">
        <v>818</v>
      </c>
      <c r="B493" s="17" t="s">
        <v>5454</v>
      </c>
      <c r="C493" s="17" t="s">
        <v>6202</v>
      </c>
      <c r="D493" s="17" t="s">
        <v>5357</v>
      </c>
      <c r="E493" s="17" t="s">
        <v>5779</v>
      </c>
      <c r="F493" s="17" t="s">
        <v>5523</v>
      </c>
      <c r="G493" s="17" t="s">
        <v>5398</v>
      </c>
      <c r="H493" s="17" t="s">
        <v>5399</v>
      </c>
      <c r="I493" s="18">
        <v>69</v>
      </c>
    </row>
    <row r="494" spans="1:9" x14ac:dyDescent="0.25">
      <c r="A494" s="16" t="s">
        <v>536</v>
      </c>
      <c r="B494" s="17" t="s">
        <v>6204</v>
      </c>
      <c r="C494" s="17" t="s">
        <v>6205</v>
      </c>
      <c r="D494" s="17" t="s">
        <v>5357</v>
      </c>
      <c r="E494" s="17" t="s">
        <v>5415</v>
      </c>
      <c r="F494" s="17" t="s">
        <v>5415</v>
      </c>
      <c r="G494" s="17" t="s">
        <v>5344</v>
      </c>
      <c r="H494" s="17" t="s">
        <v>5345</v>
      </c>
      <c r="I494" s="18">
        <v>67</v>
      </c>
    </row>
    <row r="495" spans="1:9" x14ac:dyDescent="0.25">
      <c r="A495" s="16" t="s">
        <v>1055</v>
      </c>
      <c r="B495" s="17" t="s">
        <v>6204</v>
      </c>
      <c r="C495" s="17" t="s">
        <v>5704</v>
      </c>
      <c r="D495" s="17" t="s">
        <v>5341</v>
      </c>
      <c r="E495" s="17" t="s">
        <v>5516</v>
      </c>
      <c r="F495" s="17" t="s">
        <v>5407</v>
      </c>
      <c r="G495" s="17" t="s">
        <v>5366</v>
      </c>
      <c r="H495" s="17" t="s">
        <v>5367</v>
      </c>
      <c r="I495" s="18">
        <v>64</v>
      </c>
    </row>
    <row r="496" spans="1:9" x14ac:dyDescent="0.25">
      <c r="A496" s="12" t="s">
        <v>1152</v>
      </c>
      <c r="B496" s="13" t="s">
        <v>6204</v>
      </c>
      <c r="C496" s="13" t="s">
        <v>6031</v>
      </c>
      <c r="D496" s="13" t="s">
        <v>5357</v>
      </c>
      <c r="E496" s="13" t="s">
        <v>6206</v>
      </c>
      <c r="F496" s="13" t="s">
        <v>5394</v>
      </c>
      <c r="G496" s="13" t="s">
        <v>5366</v>
      </c>
      <c r="H496" s="13" t="s">
        <v>5367</v>
      </c>
      <c r="I496" s="14">
        <v>30</v>
      </c>
    </row>
    <row r="497" spans="1:9" x14ac:dyDescent="0.25">
      <c r="A497" s="16" t="s">
        <v>882</v>
      </c>
      <c r="B497" s="17" t="s">
        <v>6207</v>
      </c>
      <c r="C497" s="17" t="s">
        <v>5980</v>
      </c>
      <c r="D497" s="17" t="s">
        <v>5357</v>
      </c>
      <c r="E497" s="17" t="s">
        <v>5939</v>
      </c>
      <c r="F497" s="17" t="s">
        <v>5940</v>
      </c>
      <c r="G497" s="17" t="s">
        <v>5370</v>
      </c>
      <c r="H497" s="17" t="s">
        <v>5371</v>
      </c>
      <c r="I497" s="18">
        <v>42</v>
      </c>
    </row>
    <row r="498" spans="1:9" x14ac:dyDescent="0.25">
      <c r="A498" s="12" t="s">
        <v>220</v>
      </c>
      <c r="B498" s="13" t="s">
        <v>6208</v>
      </c>
      <c r="C498" s="13" t="s">
        <v>6201</v>
      </c>
      <c r="D498" s="13" t="s">
        <v>5350</v>
      </c>
      <c r="E498" s="13" t="s">
        <v>6209</v>
      </c>
      <c r="F498" s="13" t="s">
        <v>5558</v>
      </c>
      <c r="G498" s="13" t="s">
        <v>5366</v>
      </c>
      <c r="H498" s="13" t="s">
        <v>5367</v>
      </c>
      <c r="I498" s="14">
        <v>72</v>
      </c>
    </row>
    <row r="499" spans="1:9" x14ac:dyDescent="0.25">
      <c r="A499" s="16" t="s">
        <v>210</v>
      </c>
      <c r="B499" s="17" t="s">
        <v>6208</v>
      </c>
      <c r="C499" s="17" t="s">
        <v>6201</v>
      </c>
      <c r="D499" s="17" t="s">
        <v>5341</v>
      </c>
      <c r="E499" s="17" t="s">
        <v>6210</v>
      </c>
      <c r="F499" s="17" t="s">
        <v>5377</v>
      </c>
      <c r="G499" s="17" t="s">
        <v>5366</v>
      </c>
      <c r="H499" s="17" t="s">
        <v>5367</v>
      </c>
      <c r="I499" s="18">
        <v>77</v>
      </c>
    </row>
    <row r="500" spans="1:9" x14ac:dyDescent="0.25">
      <c r="A500" s="16" t="s">
        <v>736</v>
      </c>
      <c r="B500" s="17" t="s">
        <v>6211</v>
      </c>
      <c r="C500" s="17" t="s">
        <v>6212</v>
      </c>
      <c r="D500" s="17" t="s">
        <v>5350</v>
      </c>
      <c r="E500" s="17" t="s">
        <v>6213</v>
      </c>
      <c r="F500" s="17" t="s">
        <v>5480</v>
      </c>
      <c r="G500" s="17" t="s">
        <v>5366</v>
      </c>
      <c r="H500" s="17" t="s">
        <v>5367</v>
      </c>
      <c r="I500" s="18">
        <v>52</v>
      </c>
    </row>
    <row r="501" spans="1:9" x14ac:dyDescent="0.25">
      <c r="A501" s="19" t="s">
        <v>243</v>
      </c>
      <c r="B501" s="20" t="s">
        <v>6211</v>
      </c>
      <c r="C501" s="20" t="s">
        <v>6212</v>
      </c>
      <c r="D501" s="20" t="s">
        <v>5341</v>
      </c>
      <c r="E501" s="20" t="s">
        <v>6214</v>
      </c>
      <c r="F501" s="20" t="s">
        <v>5359</v>
      </c>
      <c r="G501" s="20" t="s">
        <v>5344</v>
      </c>
      <c r="H501" s="20" t="s">
        <v>5345</v>
      </c>
      <c r="I501" s="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Abhijit Raut</cp:lastModifiedBy>
  <dcterms:created xsi:type="dcterms:W3CDTF">2022-11-26T08:10:01Z</dcterms:created>
  <dcterms:modified xsi:type="dcterms:W3CDTF">2026-10-22T17:01:30Z</dcterms:modified>
</cp:coreProperties>
</file>
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jit raut\Downloads\"/>
    </mc:Choice>
  </mc:AlternateContent>
  <xr:revisionPtr revIDLastSave="0" documentId="13_ncr:1_{3C68D66F-4A9F-42C9-8018-EEEFA9F905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Depreciation Calculator" sheetId="3" r:id="rId2"/>
    <sheet name="Advanced Answers" sheetId="4" r:id="rId3"/>
  </sheets>
  <definedNames>
    <definedName name="_xlchart.v1.0" hidden="1">Dashboard!$A$13:$A$22</definedName>
    <definedName name="_xlchart.v1.1" hidden="1">Dashboard!$B$12</definedName>
    <definedName name="_xlchart.v1.2" hidden="1">Dashboard!$B$13:$B$22</definedName>
    <definedName name="_xlchart.v1.3" hidden="1">Dashboard!$C$12</definedName>
    <definedName name="_xlchart.v1.4" hidden="1">Dashboard!$C$13:$C$22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4" l="1"/>
  <c r="C5" i="4"/>
  <c r="C4" i="4"/>
  <c r="C3" i="4"/>
  <c r="D38" i="3"/>
  <c r="D20" i="3"/>
  <c r="D8" i="3"/>
  <c r="B3" i="1" s="1"/>
  <c r="B5" i="1"/>
  <c r="B4" i="1"/>
  <c r="D23" i="3" l="1"/>
  <c r="D5" i="4" s="1"/>
  <c r="D11" i="3"/>
  <c r="D2" i="4" l="1"/>
  <c r="D20" i="1"/>
  <c r="B22" i="1"/>
  <c r="B21" i="1"/>
  <c r="B20" i="1"/>
  <c r="B19" i="1"/>
  <c r="B18" i="1"/>
  <c r="B17" i="1"/>
  <c r="B16" i="1"/>
  <c r="B15" i="1"/>
  <c r="B14" i="1"/>
  <c r="B13" i="1"/>
  <c r="D13" i="3"/>
  <c r="D12" i="3"/>
  <c r="D22" i="1"/>
  <c r="D21" i="1"/>
  <c r="D19" i="1"/>
  <c r="D18" i="1"/>
  <c r="D17" i="1"/>
  <c r="D16" i="1"/>
  <c r="D15" i="1"/>
  <c r="D14" i="1"/>
  <c r="D13" i="1"/>
  <c r="B8" i="1"/>
  <c r="C38" i="3"/>
  <c r="D39" i="3" s="1"/>
  <c r="C26" i="3"/>
  <c r="C13" i="1" l="1"/>
  <c r="B9" i="1"/>
  <c r="D26" i="3"/>
  <c r="C39" i="3"/>
  <c r="D40" i="3" s="1"/>
  <c r="D3" i="4"/>
  <c r="C8" i="1"/>
  <c r="D14" i="3"/>
  <c r="C40" i="3" l="1"/>
  <c r="D41" i="3" s="1"/>
  <c r="E13" i="1"/>
  <c r="C27" i="3"/>
  <c r="D27" i="3" s="1"/>
  <c r="D4" i="4"/>
  <c r="D8" i="1"/>
  <c r="D15" i="3"/>
  <c r="C41" i="3" l="1"/>
  <c r="D42" i="3" s="1"/>
  <c r="C28" i="3"/>
  <c r="C15" i="1" s="1"/>
  <c r="E14" i="1"/>
  <c r="C14" i="1"/>
  <c r="D6" i="4"/>
  <c r="C42" i="3" l="1"/>
  <c r="D43" i="3" s="1"/>
  <c r="D28" i="3"/>
  <c r="C43" i="3" l="1"/>
  <c r="D44" i="3" s="1"/>
  <c r="E15" i="1"/>
  <c r="C29" i="3"/>
  <c r="C16" i="1" s="1"/>
  <c r="D29" i="3" l="1"/>
  <c r="C44" i="3"/>
  <c r="D45" i="3" s="1"/>
  <c r="C45" i="3" s="1"/>
  <c r="D7" i="4"/>
  <c r="C30" i="3"/>
  <c r="C17" i="1" s="1"/>
  <c r="E16" i="1"/>
  <c r="D30" i="3" l="1"/>
  <c r="E17" i="1"/>
  <c r="C31" i="3"/>
  <c r="C18" i="1" s="1"/>
  <c r="D31" i="3" l="1"/>
  <c r="C32" i="3" l="1"/>
  <c r="C19" i="1" s="1"/>
  <c r="E18" i="1"/>
  <c r="D32" i="3" l="1"/>
  <c r="E19" i="1" l="1"/>
  <c r="C33" i="3"/>
  <c r="C20" i="1" s="1"/>
  <c r="D33" i="3" l="1"/>
  <c r="C34" i="3" l="1"/>
  <c r="C21" i="1" s="1"/>
  <c r="E20" i="1"/>
  <c r="D34" i="3" l="1"/>
  <c r="E21" i="1" l="1"/>
  <c r="C35" i="3"/>
  <c r="C22" i="1" s="1"/>
  <c r="D35" i="3" l="1"/>
  <c r="D9" i="4" l="1"/>
  <c r="D36" i="3"/>
  <c r="C36" i="3" s="1"/>
  <c r="E22" i="1"/>
  <c r="D9" i="1"/>
  <c r="C9" i="1"/>
  <c r="D8" i="4"/>
  <c r="D10" i="4"/>
  <c r="C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MD</author>
  </authors>
  <commentList>
    <comment ref="D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 case of no scrap value, please put zero value.</t>
        </r>
      </text>
    </comment>
    <comment ref="D15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Accuracy Check - This cell must be zero.</t>
        </r>
      </text>
    </comment>
    <comment ref="D2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In case of diminishing depreciation scrap value cannot be zero</t>
        </r>
      </text>
    </comment>
  </commentList>
</comments>
</file>

<file path=xl/sharedStrings.xml><?xml version="1.0" encoding="utf-8"?>
<sst xmlns="http://schemas.openxmlformats.org/spreadsheetml/2006/main" count="61" uniqueCount="54">
  <si>
    <t>DEPRECIATION ANALYSIS DASHBOARD</t>
  </si>
  <si>
    <t>Asset Price</t>
  </si>
  <si>
    <t>Scrap Value</t>
  </si>
  <si>
    <t>Useful Life (Years)</t>
  </si>
  <si>
    <t>Method</t>
  </si>
  <si>
    <t>Annual Depreciation (Year 1)</t>
  </si>
  <si>
    <t>Total Depreciation</t>
  </si>
  <si>
    <t>Book Value at End of Life</t>
  </si>
  <si>
    <t>Straight-Line</t>
  </si>
  <si>
    <t>Diminishing Balance</t>
  </si>
  <si>
    <t>Year</t>
  </si>
  <si>
    <t>Straight-Line Depreciation</t>
  </si>
  <si>
    <t>Diminishing Balance Depreciation</t>
  </si>
  <si>
    <t>Straight-Line Closing Value</t>
  </si>
  <si>
    <t>Diminishing Balance Closing Value</t>
  </si>
  <si>
    <t>Coachx.live</t>
  </si>
  <si>
    <t>Depreciation Calculator</t>
  </si>
  <si>
    <t>Straight Line Method</t>
  </si>
  <si>
    <t>Asset Cost</t>
  </si>
  <si>
    <t>Additonal Asset Cost</t>
  </si>
  <si>
    <t>Estimated Life Span (Years)</t>
  </si>
  <si>
    <t>Depreciation / Year as per Straight Line Method</t>
  </si>
  <si>
    <t>Depreciation Percentage</t>
  </si>
  <si>
    <t>Total Depreciation For Its Life Span</t>
  </si>
  <si>
    <t>Depreciated Book Value After Its Life Span</t>
  </si>
  <si>
    <t>Balance Amount</t>
  </si>
  <si>
    <t>Diminishing Balance Method</t>
  </si>
  <si>
    <t xml:space="preserve">Additonal Asset Cost </t>
  </si>
  <si>
    <t>Rate of Depreciation as per Diminishing Balance Method</t>
  </si>
  <si>
    <t>Depreciation Schedule</t>
  </si>
  <si>
    <t>Year on Year Depreciation Amount</t>
  </si>
  <si>
    <t>Book Value</t>
  </si>
  <si>
    <t>Note:</t>
  </si>
  <si>
    <t>Diminishing Balance rate is calculated to reach the $50,000 scrap value at the end of 10 years.</t>
  </si>
  <si>
    <t>No.</t>
  </si>
  <si>
    <t>Question</t>
  </si>
  <si>
    <t>Excel formula / method</t>
  </si>
  <si>
    <t>Answer</t>
  </si>
  <si>
    <t>Annual depreciation using Straight-Line</t>
  </si>
  <si>
    <t>Total depreciation over useful life using Straight-Line</t>
  </si>
  <si>
    <t>Book value after useful life using Straight-Line</t>
  </si>
  <si>
    <t>Rate of depreciation using Diminishing Balance</t>
  </si>
  <si>
    <t>Depreciation amount in Year 2 (Diminishing Balance)</t>
  </si>
  <si>
    <t>Book value at the end of Year 4 (Diminishing Balance)</t>
  </si>
  <si>
    <t>Total depreciation over useful life (Diminishing Balance)</t>
  </si>
  <si>
    <t>Book value after useful life (Diminishing Balance)</t>
  </si>
  <si>
    <t>Compare total depreciation amounts</t>
  </si>
  <si>
    <t>Presentation with visual graphs</t>
  </si>
  <si>
    <t>See companion PowerPoint presentation</t>
  </si>
  <si>
    <t>Completed</t>
  </si>
  <si>
    <t>Assumptions used</t>
  </si>
  <si>
    <t>Asset cost $450,000; additional cost $50,000; total asset price $500,000; scrap value $50,000; useful life 10 years.</t>
  </si>
  <si>
    <t>Important</t>
  </si>
  <si>
    <t>The uploaded workbook uses $50,000 scrap value in both methods. The screenshot showed $0 in the Straight-Line section; the workbook's actual input has been retained for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</si>
</sst>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_ ;[Red]\-[$$-409]#,##0.00\ "/>
    <numFmt numFmtId="165" formatCode="[$$-409]#,##0.00"/>
    <numFmt numFmtId="166" formatCode="\$#,##0.0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</font>
    <font>
      <sz val="14"/>
      <color theme="0"/>
      <name val="Times New Roman"/>
      <family val="1"/>
    </font>
    <font>
      <b/>
      <sz val="20"/>
      <color theme="0"/>
      <name val="Cambria"/>
      <family val="1"/>
      <scheme val="major"/>
    </font>
    <font>
      <b/>
      <sz val="14"/>
      <color theme="0"/>
      <name val="Times New Roman"/>
      <family val="1"/>
    </font>
    <font>
      <u/>
      <sz val="25"/>
      <color rgb="FFFFFF00"/>
      <name val="Lucida Calligraphy"/>
      <family val="4"/>
    </font>
    <font>
      <b/>
      <sz val="14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0" fontId="7" fillId="5" borderId="0" xfId="0" applyFont="1" applyFill="1"/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 wrapText="1"/>
    </xf>
    <xf numFmtId="166" fontId="0" fillId="0" borderId="0" xfId="0" applyNumberFormat="1"/>
    <xf numFmtId="0" fontId="8" fillId="5" borderId="0" xfId="0" applyFont="1" applyFill="1" applyAlignment="1">
      <alignment vertical="center" wrapText="1"/>
    </xf>
    <xf numFmtId="166" fontId="8" fillId="5" borderId="0" xfId="0" applyNumberFormat="1" applyFont="1" applyFill="1" applyAlignment="1">
      <alignment vertical="center" wrapText="1"/>
    </xf>
    <xf numFmtId="166" fontId="8" fillId="5" borderId="0" xfId="0" applyNumberFormat="1" applyFont="1" applyFill="1"/>
    <xf numFmtId="0" fontId="8" fillId="5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166" fontId="5" fillId="2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166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5" fontId="3" fillId="2" borderId="1" xfId="0" applyNumberFormat="1" applyFont="1" applyFill="1" applyBorder="1" applyAlignment="1">
      <alignment vertical="center" wrapText="1"/>
    </xf>
    <xf numFmtId="165" fontId="3" fillId="2" borderId="1" xfId="0" applyNumberFormat="1" applyFont="1" applyFill="1" applyBorder="1" applyAlignment="1">
      <alignment vertical="center" wrapText="1"/>
    </xf>
    <xf numFmtId="0" fontId="0" fillId="0" borderId="5" xfId="0" applyBorder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0" fillId="0" borderId="4" xfId="0" applyBorder="1"/>
    <xf numFmtId="0" fontId="8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2" borderId="1" xfId="1" applyFont="1" applyFill="1" applyBorder="1" applyAlignment="1" applyProtection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Depreciation Analysis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Straight-Line Depreciation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Dashboard!$A$13:$A$22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Dashboard!$B$13:$B$22</c:f>
              <c:numCache>
                <c:formatCode>\$#,##0.00</c:formatCode>
                <c:ptCount val="10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  <c:pt idx="6">
                  <c:v>45000</c:v>
                </c:pt>
                <c:pt idx="7">
                  <c:v>45000</c:v>
                </c:pt>
                <c:pt idx="8">
                  <c:v>45000</c:v>
                </c:pt>
                <c:pt idx="9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2-40E5-806B-164CBD013FEB}"/>
            </c:ext>
          </c:extLst>
        </c:ser>
        <c:ser>
          <c:idx val="1"/>
          <c:order val="1"/>
          <c:tx>
            <c:strRef>
              <c:f>Dashboard!$C$12</c:f>
              <c:strCache>
                <c:ptCount val="1"/>
                <c:pt idx="0">
                  <c:v>Diminishing Balance Depreciation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Dashboard!$A$13:$A$22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Dashboard!$C$13:$C$22</c:f>
              <c:numCache>
                <c:formatCode>\$#,##0.00</c:formatCode>
                <c:ptCount val="10"/>
                <c:pt idx="0">
                  <c:v>102835.88263785925</c:v>
                </c:pt>
                <c:pt idx="1">
                  <c:v>81685.445122044126</c:v>
                </c:pt>
                <c:pt idx="2">
                  <c:v>64885.05542646048</c:v>
                </c:pt>
                <c:pt idx="3">
                  <c:v>51540.031536887516</c:v>
                </c:pt>
                <c:pt idx="4">
                  <c:v>40939.70226832966</c:v>
                </c:pt>
                <c:pt idx="5">
                  <c:v>32519.561432939961</c:v>
                </c:pt>
                <c:pt idx="6">
                  <c:v>25831.205827035024</c:v>
                </c:pt>
                <c:pt idx="7">
                  <c:v>20518.456125388308</c:v>
                </c:pt>
                <c:pt idx="8">
                  <c:v>16298.389033347312</c:v>
                </c:pt>
                <c:pt idx="9">
                  <c:v>12946.27058970836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2-40E5-806B-164CBD01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98283487"/>
        <c:axId val="724122639"/>
      </c:barChart>
      <c:catAx>
        <c:axId val="6982834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22639"/>
        <c:crosses val="autoZero"/>
        <c:auto val="1"/>
        <c:lblAlgn val="ctr"/>
        <c:lblOffset val="100"/>
        <c:noMultiLvlLbl val="0"/>
      </c:catAx>
      <c:valAx>
        <c:axId val="724122639"/>
        <c:scaling>
          <c:orientation val="minMax"/>
        </c:scaling>
        <c:delete val="0"/>
        <c:axPos val="b"/>
        <c:numFmt formatCode="\$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8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Dashboard!$E$12</c:f>
              <c:strCache>
                <c:ptCount val="1"/>
                <c:pt idx="0">
                  <c:v>Diminishing Balance Closing Value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Dashboard!$D$13:$D$22</c:f>
              <c:numCache>
                <c:formatCode>\$#,##0.00</c:formatCode>
                <c:ptCount val="10"/>
                <c:pt idx="0">
                  <c:v>455000</c:v>
                </c:pt>
                <c:pt idx="1">
                  <c:v>410000</c:v>
                </c:pt>
                <c:pt idx="2">
                  <c:v>365000</c:v>
                </c:pt>
                <c:pt idx="3">
                  <c:v>320000</c:v>
                </c:pt>
                <c:pt idx="4">
                  <c:v>275000</c:v>
                </c:pt>
                <c:pt idx="5">
                  <c:v>230000</c:v>
                </c:pt>
                <c:pt idx="6">
                  <c:v>185000</c:v>
                </c:pt>
                <c:pt idx="7">
                  <c:v>140000</c:v>
                </c:pt>
                <c:pt idx="8">
                  <c:v>95000</c:v>
                </c:pt>
                <c:pt idx="9">
                  <c:v>50000</c:v>
                </c:pt>
              </c:numCache>
            </c:numRef>
          </c:cat>
          <c:val>
            <c:numRef>
              <c:f>Dashboard!$E$13:$E$22</c:f>
              <c:numCache>
                <c:formatCode>\$#,##0.00</c:formatCode>
                <c:ptCount val="10"/>
                <c:pt idx="0">
                  <c:v>397164.11736214074</c:v>
                </c:pt>
                <c:pt idx="1">
                  <c:v>315478.67224009661</c:v>
                </c:pt>
                <c:pt idx="2">
                  <c:v>250593.61681363612</c:v>
                </c:pt>
                <c:pt idx="3">
                  <c:v>199053.58527674861</c:v>
                </c:pt>
                <c:pt idx="4">
                  <c:v>158113.88300841895</c:v>
                </c:pt>
                <c:pt idx="5">
                  <c:v>125594.321575479</c:v>
                </c:pt>
                <c:pt idx="6">
                  <c:v>99763.115748443975</c:v>
                </c:pt>
                <c:pt idx="7">
                  <c:v>79244.659623055661</c:v>
                </c:pt>
                <c:pt idx="8">
                  <c:v>62946.270589708351</c:v>
                </c:pt>
                <c:pt idx="9">
                  <c:v>49999.999999999993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3-46E3-B945-292F0D828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307583"/>
        <c:axId val="724100079"/>
      </c:lineChart>
      <c:catAx>
        <c:axId val="824307583"/>
        <c:scaling>
          <c:orientation val="minMax"/>
        </c:scaling>
        <c:delete val="0"/>
        <c:axPos val="b"/>
        <c:numFmt formatCode="\$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00079"/>
        <c:crosses val="autoZero"/>
        <c:auto val="1"/>
        <c:lblAlgn val="ctr"/>
        <c:lblOffset val="100"/>
        <c:noMultiLvlLbl val="0"/>
      </c:catAx>
      <c:valAx>
        <c:axId val="7241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0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74837</xdr:colOff>
      <xdr:row>1</xdr:row>
      <xdr:rowOff>163284</xdr:rowOff>
    </xdr:from>
    <xdr:to>
      <xdr:col>18</xdr:col>
      <xdr:colOff>326570</xdr:colOff>
      <xdr:row>19</xdr:row>
      <xdr:rowOff>149677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0D7EA-1BC2-1715-80B3-D9AF66075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197302</xdr:colOff>
      <xdr:row>22</xdr:row>
      <xdr:rowOff>118381</xdr:rowOff>
    </xdr:from>
    <xdr:to>
      <xdr:col>18</xdr:col>
      <xdr:colOff>380999</xdr:colOff>
      <xdr:row>44</xdr:row>
      <xdr:rowOff>108857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A834A5-3391-16A6-60FC-F4AAAE15D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70" zoomScaleNormal="70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25" customWidth="1"/>
    <col min="2" max="2" width="26" customWidth="1"/>
    <col min="3" max="3" width="30" customWidth="1"/>
    <col min="4" max="4" width="28" customWidth="1"/>
    <col min="5" max="5" width="30" customWidth="1"/>
    <col min="6" max="6" width="3" customWidth="1"/>
  </cols>
  <sheetData>
    <row r="1" spans="1:5" ht="56.25" x14ac:dyDescent="0.3">
      <c r="A1" s="5" t="s">
        <v>0</v>
      </c>
      <c r="B1" s="6"/>
      <c r="C1" s="6"/>
      <c r="D1" s="6"/>
      <c r="E1" s="6"/>
    </row>
    <row r="3" spans="1:5" x14ac:dyDescent="0.25">
      <c r="A3" s="7" t="s">
        <v>1</v>
      </c>
      <c r="B3" s="8">
        <f>'Depreciation Calculator'!D8</f>
        <v>500000</v>
      </c>
      <c r="C3" s="9"/>
      <c r="D3" s="9"/>
      <c r="E3" s="9"/>
    </row>
    <row r="4" spans="1:5" x14ac:dyDescent="0.25">
      <c r="A4" s="7" t="s">
        <v>2</v>
      </c>
      <c r="B4" s="8">
        <f>'Depreciation Calculator'!D9</f>
        <v>50000</v>
      </c>
      <c r="C4" s="9"/>
      <c r="D4" s="9"/>
      <c r="E4" s="9"/>
    </row>
    <row r="5" spans="1:5" x14ac:dyDescent="0.25">
      <c r="A5" s="7" t="s">
        <v>3</v>
      </c>
      <c r="B5" s="8">
        <f>'Depreciation Calculator'!D10</f>
        <v>10</v>
      </c>
      <c r="C5" s="9"/>
      <c r="D5" s="9"/>
      <c r="E5" s="9"/>
    </row>
    <row r="6" spans="1:5" x14ac:dyDescent="0.25">
      <c r="B6" s="9"/>
      <c r="C6" s="9"/>
      <c r="D6" s="9"/>
      <c r="E6" s="9"/>
    </row>
    <row r="7" spans="1:5" ht="30" x14ac:dyDescent="0.25">
      <c r="A7" s="10" t="s">
        <v>4</v>
      </c>
      <c r="B7" s="11" t="s">
        <v>5</v>
      </c>
      <c r="C7" s="11" t="s">
        <v>6</v>
      </c>
      <c r="D7" s="11" t="s">
        <v>7</v>
      </c>
      <c r="E7" s="12"/>
    </row>
    <row r="8" spans="1:5" x14ac:dyDescent="0.25">
      <c r="A8" s="7" t="s">
        <v>8</v>
      </c>
      <c r="B8" s="8">
        <f>'Depreciation Calculator'!D11</f>
        <v>45000</v>
      </c>
      <c r="C8" s="8">
        <f>'Depreciation Calculator'!D13</f>
        <v>450000</v>
      </c>
      <c r="D8" s="8">
        <f>'Depreciation Calculator'!D14</f>
        <v>50000</v>
      </c>
      <c r="E8" s="9"/>
    </row>
    <row r="9" spans="1:5" x14ac:dyDescent="0.25">
      <c r="A9" s="7" t="s">
        <v>9</v>
      </c>
      <c r="B9" s="8">
        <f>'Depreciation Calculator'!C26</f>
        <v>102835.88263785925</v>
      </c>
      <c r="C9" s="8">
        <f>'Depreciation Calculator'!D20-'Depreciation Calculator'!D35</f>
        <v>450000</v>
      </c>
      <c r="D9" s="8">
        <f>'Depreciation Calculator'!D35</f>
        <v>49999.999999999993</v>
      </c>
      <c r="E9" s="9"/>
    </row>
    <row r="12" spans="1:5" ht="30" x14ac:dyDescent="0.25">
      <c r="A12" s="10" t="s">
        <v>10</v>
      </c>
      <c r="B12" s="10" t="s">
        <v>11</v>
      </c>
      <c r="C12" s="10" t="s">
        <v>12</v>
      </c>
      <c r="D12" s="10" t="s">
        <v>13</v>
      </c>
      <c r="E12" s="10" t="s">
        <v>14</v>
      </c>
    </row>
    <row r="13" spans="1:5" x14ac:dyDescent="0.25">
      <c r="A13" s="7">
        <v>1</v>
      </c>
      <c r="B13" s="8">
        <f>'Depreciation Calculator'!D11</f>
        <v>45000</v>
      </c>
      <c r="C13" s="8">
        <f>'Depreciation Calculator'!C26</f>
        <v>102835.88263785925</v>
      </c>
      <c r="D13" s="8">
        <f>'Depreciation Calculator'!D8-'Depreciation Calculator'!D11*A13</f>
        <v>455000</v>
      </c>
      <c r="E13" s="8">
        <f>'Depreciation Calculator'!D26</f>
        <v>397164.11736214074</v>
      </c>
    </row>
    <row r="14" spans="1:5" x14ac:dyDescent="0.25">
      <c r="A14" s="7">
        <v>2</v>
      </c>
      <c r="B14" s="8">
        <f>'Depreciation Calculator'!D11</f>
        <v>45000</v>
      </c>
      <c r="C14" s="8">
        <f>'Depreciation Calculator'!C27</f>
        <v>81685.445122044126</v>
      </c>
      <c r="D14" s="8">
        <f>'Depreciation Calculator'!D8-'Depreciation Calculator'!D11*A14</f>
        <v>410000</v>
      </c>
      <c r="E14" s="8">
        <f>'Depreciation Calculator'!D27</f>
        <v>315478.67224009661</v>
      </c>
    </row>
    <row r="15" spans="1:5" x14ac:dyDescent="0.25">
      <c r="A15" s="7">
        <v>3</v>
      </c>
      <c r="B15" s="8">
        <f>'Depreciation Calculator'!D11</f>
        <v>45000</v>
      </c>
      <c r="C15" s="8">
        <f>'Depreciation Calculator'!C28</f>
        <v>64885.05542646048</v>
      </c>
      <c r="D15" s="8">
        <f>'Depreciation Calculator'!D8-'Depreciation Calculator'!D11*A15</f>
        <v>365000</v>
      </c>
      <c r="E15" s="8">
        <f>'Depreciation Calculator'!D28</f>
        <v>250593.61681363612</v>
      </c>
    </row>
    <row r="16" spans="1:5" x14ac:dyDescent="0.25">
      <c r="A16" s="7">
        <v>4</v>
      </c>
      <c r="B16" s="8">
        <f>'Depreciation Calculator'!D11</f>
        <v>45000</v>
      </c>
      <c r="C16" s="8">
        <f>'Depreciation Calculator'!C29</f>
        <v>51540.031536887516</v>
      </c>
      <c r="D16" s="8">
        <f>'Depreciation Calculator'!D8-'Depreciation Calculator'!D11*A16</f>
        <v>320000</v>
      </c>
      <c r="E16" s="8">
        <f>'Depreciation Calculator'!D29</f>
        <v>199053.58527674861</v>
      </c>
    </row>
    <row r="17" spans="1:5" x14ac:dyDescent="0.25">
      <c r="A17" s="7">
        <v>5</v>
      </c>
      <c r="B17" s="8">
        <f>'Depreciation Calculator'!D11</f>
        <v>45000</v>
      </c>
      <c r="C17" s="8">
        <f>'Depreciation Calculator'!C30</f>
        <v>40939.70226832966</v>
      </c>
      <c r="D17" s="8">
        <f>'Depreciation Calculator'!D8-'Depreciation Calculator'!D11*A17</f>
        <v>275000</v>
      </c>
      <c r="E17" s="8">
        <f>'Depreciation Calculator'!D30</f>
        <v>158113.88300841895</v>
      </c>
    </row>
    <row r="18" spans="1:5" x14ac:dyDescent="0.25">
      <c r="A18" s="7">
        <v>6</v>
      </c>
      <c r="B18" s="8">
        <f>'Depreciation Calculator'!D11</f>
        <v>45000</v>
      </c>
      <c r="C18" s="8">
        <f>'Depreciation Calculator'!C31</f>
        <v>32519.561432939961</v>
      </c>
      <c r="D18" s="8">
        <f>'Depreciation Calculator'!D8-'Depreciation Calculator'!D11*A18</f>
        <v>230000</v>
      </c>
      <c r="E18" s="8">
        <f>'Depreciation Calculator'!D31</f>
        <v>125594.321575479</v>
      </c>
    </row>
    <row r="19" spans="1:5" x14ac:dyDescent="0.25">
      <c r="A19" s="7">
        <v>7</v>
      </c>
      <c r="B19" s="8">
        <f>'Depreciation Calculator'!D11</f>
        <v>45000</v>
      </c>
      <c r="C19" s="8">
        <f>'Depreciation Calculator'!C32</f>
        <v>25831.205827035024</v>
      </c>
      <c r="D19" s="8">
        <f>'Depreciation Calculator'!D8-'Depreciation Calculator'!D11*A19</f>
        <v>185000</v>
      </c>
      <c r="E19" s="8">
        <f>'Depreciation Calculator'!D32</f>
        <v>99763.115748443975</v>
      </c>
    </row>
    <row r="20" spans="1:5" x14ac:dyDescent="0.25">
      <c r="A20" s="7">
        <v>8</v>
      </c>
      <c r="B20" s="8">
        <f>'Depreciation Calculator'!D11</f>
        <v>45000</v>
      </c>
      <c r="C20" s="8">
        <f>'Depreciation Calculator'!C33</f>
        <v>20518.456125388308</v>
      </c>
      <c r="D20" s="8">
        <f>'Depreciation Calculator'!D8-'Depreciation Calculator'!D11*A20</f>
        <v>140000</v>
      </c>
      <c r="E20" s="8">
        <f>'Depreciation Calculator'!D33</f>
        <v>79244.659623055661</v>
      </c>
    </row>
    <row r="21" spans="1:5" x14ac:dyDescent="0.25">
      <c r="A21" s="7">
        <v>9</v>
      </c>
      <c r="B21" s="8">
        <f>'Depreciation Calculator'!D11</f>
        <v>45000</v>
      </c>
      <c r="C21" s="8">
        <f>'Depreciation Calculator'!C34</f>
        <v>16298.389033347312</v>
      </c>
      <c r="D21" s="8">
        <f>'Depreciation Calculator'!D8-'Depreciation Calculator'!D11*A21</f>
        <v>95000</v>
      </c>
      <c r="E21" s="8">
        <f>'Depreciation Calculator'!D34</f>
        <v>62946.270589708351</v>
      </c>
    </row>
    <row r="22" spans="1:5" x14ac:dyDescent="0.25">
      <c r="A22" s="7">
        <v>10</v>
      </c>
      <c r="B22" s="8">
        <f>'Depreciation Calculator'!D11</f>
        <v>45000</v>
      </c>
      <c r="C22" s="8">
        <f>'Depreciation Calculator'!C35</f>
        <v>12946.27058970836</v>
      </c>
      <c r="D22" s="8">
        <f>'Depreciation Calculator'!D8-'Depreciation Calculator'!D11*A22</f>
        <v>50000</v>
      </c>
      <c r="E22" s="8">
        <f>'Depreciation Calculator'!D35</f>
        <v>49999.999999999993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>
      <pane ySplit="1" topLeftCell="A44" activePane="bottomLeft" state="frozen"/>
      <selection activeCell="AB19" sqref="AB19"/>
      <selection pane="bottomLeft" activeCell="AB19" sqref="AB19"/>
    </sheetView>
  </sheetViews>
  <sheetFormatPr defaultColWidth="8.7109375" defaultRowHeight="18.75" x14ac:dyDescent="0.25"/>
  <cols>
    <col min="1" max="1" width="4" style="1" customWidth="1"/>
    <col min="2" max="2" width="48" style="1" customWidth="1"/>
    <col min="3" max="3" width="34" style="1" customWidth="1"/>
    <col min="4" max="4" width="22" style="1" bestFit="1" customWidth="1"/>
    <col min="5" max="5" width="4" style="1" customWidth="1"/>
    <col min="6" max="6" width="8.7109375" style="1" customWidth="1"/>
    <col min="7" max="7" width="9" style="1" bestFit="1" customWidth="1"/>
    <col min="8" max="8" width="8.7109375" style="1" customWidth="1"/>
    <col min="9" max="16384" width="8.7109375" style="1"/>
  </cols>
  <sheetData>
    <row r="1" spans="1:5" ht="9.9499999999999993" customHeight="1" thickBot="1" x14ac:dyDescent="0.3">
      <c r="A1" s="4"/>
      <c r="B1" s="4"/>
      <c r="C1" s="4"/>
      <c r="D1" s="4"/>
      <c r="E1" s="4"/>
    </row>
    <row r="2" spans="1:5" ht="36.75" customHeight="1" thickTop="1" thickBot="1" x14ac:dyDescent="0.3">
      <c r="A2" s="4"/>
      <c r="B2" s="28"/>
      <c r="C2" s="30" t="s">
        <v>15</v>
      </c>
      <c r="D2" s="22"/>
      <c r="E2" s="4"/>
    </row>
    <row r="3" spans="1:5" ht="27" customHeight="1" thickTop="1" thickBot="1" x14ac:dyDescent="0.3">
      <c r="A3" s="4"/>
      <c r="B3" s="29"/>
      <c r="C3" s="23" t="s">
        <v>16</v>
      </c>
      <c r="D3" s="22"/>
      <c r="E3" s="4"/>
    </row>
    <row r="4" spans="1:5" ht="20.25" customHeight="1" thickTop="1" thickBot="1" x14ac:dyDescent="0.3">
      <c r="A4" s="4"/>
      <c r="B4" s="3"/>
      <c r="C4" s="3"/>
      <c r="D4" s="3"/>
      <c r="E4" s="4"/>
    </row>
    <row r="5" spans="1:5" ht="27" customHeight="1" thickTop="1" thickBot="1" x14ac:dyDescent="0.3">
      <c r="A5" s="4"/>
      <c r="B5" s="27" t="s">
        <v>17</v>
      </c>
      <c r="C5" s="26"/>
      <c r="D5" s="22"/>
      <c r="E5" s="4"/>
    </row>
    <row r="6" spans="1:5" ht="20.25" customHeight="1" thickTop="1" thickBot="1" x14ac:dyDescent="0.3">
      <c r="A6" s="4"/>
      <c r="B6" s="25" t="s">
        <v>18</v>
      </c>
      <c r="C6" s="26"/>
      <c r="D6" s="14">
        <v>450000</v>
      </c>
      <c r="E6" s="4"/>
    </row>
    <row r="7" spans="1:5" ht="20.25" customHeight="1" thickTop="1" thickBot="1" x14ac:dyDescent="0.3">
      <c r="A7" s="4"/>
      <c r="B7" s="25" t="s">
        <v>19</v>
      </c>
      <c r="C7" s="26"/>
      <c r="D7" s="14">
        <v>50000</v>
      </c>
      <c r="E7" s="4"/>
    </row>
    <row r="8" spans="1:5" ht="20.25" customHeight="1" thickTop="1" thickBot="1" x14ac:dyDescent="0.3">
      <c r="A8" s="4"/>
      <c r="B8" s="25" t="s">
        <v>1</v>
      </c>
      <c r="C8" s="26"/>
      <c r="D8" s="15">
        <f>D6+D7</f>
        <v>500000</v>
      </c>
      <c r="E8" s="4"/>
    </row>
    <row r="9" spans="1:5" ht="20.25" customHeight="1" thickTop="1" thickBot="1" x14ac:dyDescent="0.3">
      <c r="A9" s="4"/>
      <c r="B9" s="25" t="s">
        <v>2</v>
      </c>
      <c r="C9" s="26"/>
      <c r="D9" s="14">
        <v>50000</v>
      </c>
      <c r="E9" s="4"/>
    </row>
    <row r="10" spans="1:5" ht="20.25" customHeight="1" thickTop="1" thickBot="1" x14ac:dyDescent="0.3">
      <c r="A10" s="4"/>
      <c r="B10" s="25" t="s">
        <v>20</v>
      </c>
      <c r="C10" s="26"/>
      <c r="D10" s="16">
        <v>10</v>
      </c>
      <c r="E10" s="4"/>
    </row>
    <row r="11" spans="1:5" ht="20.25" customHeight="1" thickTop="1" thickBot="1" x14ac:dyDescent="0.3">
      <c r="A11" s="4"/>
      <c r="B11" s="24" t="s">
        <v>21</v>
      </c>
      <c r="C11" s="22"/>
      <c r="D11" s="15">
        <f>IF(OR(D8="",D10=0),"",(D8-D9)/D10)</f>
        <v>45000</v>
      </c>
      <c r="E11" s="4"/>
    </row>
    <row r="12" spans="1:5" ht="20.25" customHeight="1" thickTop="1" thickBot="1" x14ac:dyDescent="0.3">
      <c r="A12" s="4"/>
      <c r="B12" s="24" t="s">
        <v>22</v>
      </c>
      <c r="C12" s="22"/>
      <c r="D12" s="17">
        <f>IFERROR(D11/D8,"")</f>
        <v>0.09</v>
      </c>
      <c r="E12" s="4"/>
    </row>
    <row r="13" spans="1:5" ht="20.25" customHeight="1" thickTop="1" thickBot="1" x14ac:dyDescent="0.3">
      <c r="A13" s="4"/>
      <c r="B13" s="25" t="s">
        <v>23</v>
      </c>
      <c r="C13" s="26"/>
      <c r="D13" s="18">
        <f>IF(D8="","",D11*D10)</f>
        <v>450000</v>
      </c>
      <c r="E13" s="4"/>
    </row>
    <row r="14" spans="1:5" ht="20.25" customHeight="1" thickTop="1" thickBot="1" x14ac:dyDescent="0.3">
      <c r="A14" s="4"/>
      <c r="B14" s="25" t="s">
        <v>24</v>
      </c>
      <c r="C14" s="26"/>
      <c r="D14" s="18">
        <f>IF(D8="","",D8-D13)</f>
        <v>50000</v>
      </c>
      <c r="E14" s="4"/>
    </row>
    <row r="15" spans="1:5" ht="20.25" customHeight="1" thickTop="1" thickBot="1" x14ac:dyDescent="0.3">
      <c r="A15" s="4"/>
      <c r="B15" s="25" t="s">
        <v>25</v>
      </c>
      <c r="C15" s="26"/>
      <c r="D15" s="18">
        <f>IF(D8="","",D14-D9)</f>
        <v>0</v>
      </c>
      <c r="E15" s="4"/>
    </row>
    <row r="16" spans="1:5" ht="20.25" customHeight="1" thickTop="1" thickBot="1" x14ac:dyDescent="0.3">
      <c r="A16" s="4"/>
      <c r="B16" s="3"/>
      <c r="C16" s="3"/>
      <c r="D16" s="3"/>
      <c r="E16" s="4"/>
    </row>
    <row r="17" spans="1:5" ht="27" customHeight="1" thickTop="1" thickBot="1" x14ac:dyDescent="0.3">
      <c r="A17" s="4"/>
      <c r="B17" s="27" t="s">
        <v>26</v>
      </c>
      <c r="C17" s="26"/>
      <c r="D17" s="22"/>
      <c r="E17" s="4"/>
    </row>
    <row r="18" spans="1:5" ht="18.95" customHeight="1" thickTop="1" thickBot="1" x14ac:dyDescent="0.3">
      <c r="A18" s="4"/>
      <c r="B18" s="24" t="s">
        <v>18</v>
      </c>
      <c r="C18" s="22"/>
      <c r="D18" s="14">
        <v>450000</v>
      </c>
      <c r="E18" s="4"/>
    </row>
    <row r="19" spans="1:5" ht="18.95" customHeight="1" thickTop="1" thickBot="1" x14ac:dyDescent="0.3">
      <c r="A19" s="4"/>
      <c r="B19" s="24" t="s">
        <v>27</v>
      </c>
      <c r="C19" s="22"/>
      <c r="D19" s="14">
        <v>50000</v>
      </c>
      <c r="E19" s="4"/>
    </row>
    <row r="20" spans="1:5" ht="18.95" customHeight="1" thickTop="1" thickBot="1" x14ac:dyDescent="0.3">
      <c r="A20" s="4"/>
      <c r="B20" s="24" t="s">
        <v>1</v>
      </c>
      <c r="C20" s="22"/>
      <c r="D20" s="15">
        <f>D18+D19</f>
        <v>500000</v>
      </c>
      <c r="E20" s="4"/>
    </row>
    <row r="21" spans="1:5" ht="18.95" customHeight="1" thickTop="1" thickBot="1" x14ac:dyDescent="0.3">
      <c r="A21" s="4"/>
      <c r="B21" s="24" t="s">
        <v>2</v>
      </c>
      <c r="C21" s="22"/>
      <c r="D21" s="14">
        <v>50000</v>
      </c>
      <c r="E21" s="4"/>
    </row>
    <row r="22" spans="1:5" ht="18.95" customHeight="1" thickTop="1" thickBot="1" x14ac:dyDescent="0.3">
      <c r="A22" s="4"/>
      <c r="B22" s="24" t="s">
        <v>20</v>
      </c>
      <c r="C22" s="22"/>
      <c r="D22" s="16">
        <v>10</v>
      </c>
      <c r="E22" s="4"/>
    </row>
    <row r="23" spans="1:5" ht="18.95" customHeight="1" thickTop="1" thickBot="1" x14ac:dyDescent="0.3">
      <c r="A23" s="4"/>
      <c r="B23" s="24" t="s">
        <v>28</v>
      </c>
      <c r="C23" s="22"/>
      <c r="D23" s="17">
        <f>IFERROR(1-(D21/D20)^(1/D22),"")</f>
        <v>0.20567176527571851</v>
      </c>
      <c r="E23" s="4"/>
    </row>
    <row r="24" spans="1:5" ht="24" customHeight="1" thickTop="1" thickBot="1" x14ac:dyDescent="0.3">
      <c r="A24" s="4"/>
      <c r="B24" s="27" t="s">
        <v>29</v>
      </c>
      <c r="C24" s="26"/>
      <c r="D24" s="22"/>
      <c r="E24" s="4"/>
    </row>
    <row r="25" spans="1:5" ht="20.25" customHeight="1" thickTop="1" thickBot="1" x14ac:dyDescent="0.3">
      <c r="A25" s="4"/>
      <c r="B25" s="13" t="s">
        <v>10</v>
      </c>
      <c r="C25" s="13" t="s">
        <v>30</v>
      </c>
      <c r="D25" s="13" t="s">
        <v>31</v>
      </c>
      <c r="E25" s="4"/>
    </row>
    <row r="26" spans="1:5" ht="20.25" customHeight="1" thickTop="1" thickBot="1" x14ac:dyDescent="0.3">
      <c r="A26" s="4"/>
      <c r="B26" s="19">
        <v>1</v>
      </c>
      <c r="C26" s="18">
        <f>IFERROR(IF($D$20&gt;$D$21,$D$20*$D$23,0),"")</f>
        <v>102835.88263785925</v>
      </c>
      <c r="D26" s="18">
        <f>IFERROR($D$20-C26,"")</f>
        <v>397164.11736214074</v>
      </c>
      <c r="E26" s="4"/>
    </row>
    <row r="27" spans="1:5" ht="20.25" customHeight="1" thickTop="1" thickBot="1" x14ac:dyDescent="0.3">
      <c r="A27" s="4"/>
      <c r="B27" s="19">
        <v>2</v>
      </c>
      <c r="C27" s="18">
        <f t="shared" ref="C27:C35" si="0">IFERROR(IF(D26&gt;$D$21,D26*$D$23,0),"")</f>
        <v>81685.445122044126</v>
      </c>
      <c r="D27" s="18">
        <f t="shared" ref="D27:D35" si="1">IFERROR(D26-C27,"")</f>
        <v>315478.67224009661</v>
      </c>
      <c r="E27" s="4"/>
    </row>
    <row r="28" spans="1:5" ht="20.25" customHeight="1" thickTop="1" thickBot="1" x14ac:dyDescent="0.3">
      <c r="A28" s="4"/>
      <c r="B28" s="19">
        <v>3</v>
      </c>
      <c r="C28" s="18">
        <f t="shared" si="0"/>
        <v>64885.05542646048</v>
      </c>
      <c r="D28" s="18">
        <f t="shared" si="1"/>
        <v>250593.61681363612</v>
      </c>
      <c r="E28" s="4"/>
    </row>
    <row r="29" spans="1:5" ht="20.25" customHeight="1" thickTop="1" thickBot="1" x14ac:dyDescent="0.3">
      <c r="A29" s="4"/>
      <c r="B29" s="19">
        <v>4</v>
      </c>
      <c r="C29" s="18">
        <f t="shared" si="0"/>
        <v>51540.031536887516</v>
      </c>
      <c r="D29" s="18">
        <f t="shared" si="1"/>
        <v>199053.58527674861</v>
      </c>
      <c r="E29" s="4"/>
    </row>
    <row r="30" spans="1:5" ht="20.25" customHeight="1" thickTop="1" thickBot="1" x14ac:dyDescent="0.3">
      <c r="A30" s="4"/>
      <c r="B30" s="19">
        <v>5</v>
      </c>
      <c r="C30" s="18">
        <f t="shared" si="0"/>
        <v>40939.70226832966</v>
      </c>
      <c r="D30" s="18">
        <f t="shared" si="1"/>
        <v>158113.88300841895</v>
      </c>
      <c r="E30" s="4"/>
    </row>
    <row r="31" spans="1:5" ht="20.25" customHeight="1" thickTop="1" thickBot="1" x14ac:dyDescent="0.3">
      <c r="A31" s="4"/>
      <c r="B31" s="19">
        <v>6</v>
      </c>
      <c r="C31" s="18">
        <f t="shared" si="0"/>
        <v>32519.561432939961</v>
      </c>
      <c r="D31" s="18">
        <f t="shared" si="1"/>
        <v>125594.321575479</v>
      </c>
      <c r="E31" s="4"/>
    </row>
    <row r="32" spans="1:5" ht="20.25" customHeight="1" thickTop="1" thickBot="1" x14ac:dyDescent="0.3">
      <c r="A32" s="4"/>
      <c r="B32" s="19">
        <v>7</v>
      </c>
      <c r="C32" s="18">
        <f t="shared" si="0"/>
        <v>25831.205827035024</v>
      </c>
      <c r="D32" s="18">
        <f t="shared" si="1"/>
        <v>99763.115748443975</v>
      </c>
      <c r="E32" s="4"/>
    </row>
    <row r="33" spans="1:5" ht="20.25" customHeight="1" thickTop="1" thickBot="1" x14ac:dyDescent="0.3">
      <c r="A33" s="4"/>
      <c r="B33" s="19">
        <v>8</v>
      </c>
      <c r="C33" s="18">
        <f t="shared" si="0"/>
        <v>20518.456125388308</v>
      </c>
      <c r="D33" s="18">
        <f t="shared" si="1"/>
        <v>79244.659623055661</v>
      </c>
      <c r="E33" s="4"/>
    </row>
    <row r="34" spans="1:5" ht="20.25" customHeight="1" thickTop="1" thickBot="1" x14ac:dyDescent="0.3">
      <c r="A34" s="4"/>
      <c r="B34" s="19">
        <v>9</v>
      </c>
      <c r="C34" s="18">
        <f t="shared" si="0"/>
        <v>16298.389033347312</v>
      </c>
      <c r="D34" s="18">
        <f t="shared" si="1"/>
        <v>62946.270589708351</v>
      </c>
      <c r="E34" s="4"/>
    </row>
    <row r="35" spans="1:5" ht="20.25" customHeight="1" thickTop="1" thickBot="1" x14ac:dyDescent="0.3">
      <c r="A35" s="4"/>
      <c r="B35" s="19">
        <v>10</v>
      </c>
      <c r="C35" s="18">
        <f t="shared" si="0"/>
        <v>12946.27058970836</v>
      </c>
      <c r="D35" s="18">
        <f t="shared" si="1"/>
        <v>49999.999999999993</v>
      </c>
      <c r="E35" s="4"/>
    </row>
    <row r="36" spans="1:5" ht="20.25" customHeight="1" thickTop="1" thickBot="1" x14ac:dyDescent="0.3">
      <c r="A36" s="4"/>
      <c r="B36" s="2"/>
      <c r="C36" s="20" t="str">
        <f>IFERROR(IF(D36&gt;$D$21, (D36*$D$23), ""),"")</f>
        <v/>
      </c>
      <c r="D36" s="20">
        <f>IFERROR(D35-C35, "")</f>
        <v>37053.729410291635</v>
      </c>
      <c r="E36" s="4"/>
    </row>
    <row r="37" spans="1:5" ht="30" customHeight="1" thickTop="1" thickBot="1" x14ac:dyDescent="0.3">
      <c r="A37" s="4"/>
      <c r="B37" s="19" t="s">
        <v>32</v>
      </c>
      <c r="C37" s="21" t="s">
        <v>33</v>
      </c>
      <c r="D37" s="22"/>
      <c r="E37" s="4"/>
    </row>
    <row r="38" spans="1:5" ht="20.25" customHeight="1" thickTop="1" thickBot="1" x14ac:dyDescent="0.3">
      <c r="A38" s="4"/>
      <c r="B38" s="2"/>
      <c r="C38" s="20" t="str">
        <f t="shared" ref="C38:C45" si="2">IFERROR(IF(D38&gt;$D$21, (D38*$D$23), ""),"")</f>
        <v/>
      </c>
      <c r="D38" s="20" t="str">
        <f t="shared" ref="D38:D45" si="3">IFERROR(D37-C37, "")</f>
        <v/>
      </c>
      <c r="E38" s="4"/>
    </row>
    <row r="39" spans="1:5" ht="20.25" customHeight="1" thickTop="1" thickBot="1" x14ac:dyDescent="0.3">
      <c r="A39" s="4"/>
      <c r="B39" s="2"/>
      <c r="C39" s="20" t="str">
        <f t="shared" si="2"/>
        <v/>
      </c>
      <c r="D39" s="20" t="str">
        <f t="shared" si="3"/>
        <v/>
      </c>
      <c r="E39" s="4"/>
    </row>
    <row r="40" spans="1:5" ht="20.25" customHeight="1" thickTop="1" thickBot="1" x14ac:dyDescent="0.3">
      <c r="A40" s="4"/>
      <c r="B40" s="2"/>
      <c r="C40" s="20" t="str">
        <f t="shared" si="2"/>
        <v/>
      </c>
      <c r="D40" s="20" t="str">
        <f t="shared" si="3"/>
        <v/>
      </c>
      <c r="E40" s="4"/>
    </row>
    <row r="41" spans="1:5" ht="20.25" customHeight="1" thickTop="1" thickBot="1" x14ac:dyDescent="0.3">
      <c r="A41" s="4"/>
      <c r="B41" s="2"/>
      <c r="C41" s="20" t="str">
        <f t="shared" si="2"/>
        <v/>
      </c>
      <c r="D41" s="20" t="str">
        <f t="shared" si="3"/>
        <v/>
      </c>
      <c r="E41" s="4"/>
    </row>
    <row r="42" spans="1:5" ht="20.25" customHeight="1" thickTop="1" thickBot="1" x14ac:dyDescent="0.3">
      <c r="A42" s="4"/>
      <c r="B42" s="2"/>
      <c r="C42" s="20" t="str">
        <f t="shared" si="2"/>
        <v/>
      </c>
      <c r="D42" s="20" t="str">
        <f t="shared" si="3"/>
        <v/>
      </c>
      <c r="E42" s="4"/>
    </row>
    <row r="43" spans="1:5" ht="20.25" customHeight="1" thickTop="1" thickBot="1" x14ac:dyDescent="0.3">
      <c r="A43" s="4"/>
      <c r="B43" s="2"/>
      <c r="C43" s="20" t="str">
        <f t="shared" si="2"/>
        <v/>
      </c>
      <c r="D43" s="20" t="str">
        <f t="shared" si="3"/>
        <v/>
      </c>
      <c r="E43" s="4"/>
    </row>
    <row r="44" spans="1:5" ht="20.25" customHeight="1" thickTop="1" thickBot="1" x14ac:dyDescent="0.3">
      <c r="A44" s="4"/>
      <c r="B44" s="2"/>
      <c r="C44" s="20" t="str">
        <f t="shared" si="2"/>
        <v/>
      </c>
      <c r="D44" s="20" t="str">
        <f t="shared" si="3"/>
        <v/>
      </c>
      <c r="E44" s="4"/>
    </row>
    <row r="45" spans="1:5" ht="20.25" customHeight="1" thickTop="1" thickBot="1" x14ac:dyDescent="0.3">
      <c r="A45" s="4"/>
      <c r="B45" s="2"/>
      <c r="C45" s="20" t="str">
        <f t="shared" si="2"/>
        <v/>
      </c>
      <c r="D45" s="20" t="str">
        <f t="shared" si="3"/>
        <v/>
      </c>
      <c r="E45" s="4"/>
    </row>
    <row r="46" spans="1:5" ht="19.5" customHeight="1" thickTop="1" x14ac:dyDescent="0.25">
      <c r="A46" s="4"/>
      <c r="B46" s="4"/>
      <c r="C46" s="4"/>
      <c r="D46" s="4"/>
      <c r="E46" s="4"/>
    </row>
  </sheetData>
  <mergeCells count="23">
    <mergeCell ref="C2:D2"/>
    <mergeCell ref="B6:C6"/>
    <mergeCell ref="B18:C18"/>
    <mergeCell ref="B12:C12"/>
    <mergeCell ref="B21:C21"/>
    <mergeCell ref="B11:C11"/>
    <mergeCell ref="B5:D5"/>
    <mergeCell ref="C37:D37"/>
    <mergeCell ref="C3:D3"/>
    <mergeCell ref="B23:C23"/>
    <mergeCell ref="B14:C14"/>
    <mergeCell ref="B8:C8"/>
    <mergeCell ref="B24:D24"/>
    <mergeCell ref="B13:C13"/>
    <mergeCell ref="B19:C19"/>
    <mergeCell ref="B10:C10"/>
    <mergeCell ref="B9:C9"/>
    <mergeCell ref="B15:C15"/>
    <mergeCell ref="B20:C20"/>
    <mergeCell ref="B7:C7"/>
    <mergeCell ref="B17:D17"/>
    <mergeCell ref="B22:C22"/>
    <mergeCell ref="B2:B3"/>
  </mergeCells>
  <printOptions horizontalCentered="1" verticalCentered="1"/>
  <pageMargins left="0.19685039370078741" right="0.19685039370078741" top="0.19685039370078741" bottom="0.19685039370078741" header="0.31496062992125978" footer="0.31496062992125978"/>
  <pageSetup paperSize="9" orientation="portrait" horizont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1" topLeftCell="A2" activePane="bottomLeft" state="frozen"/>
      <selection pane="bottomLeft" activeCell="B1" sqref="B1:D1048576"/>
    </sheetView>
  </sheetViews>
  <sheetFormatPr defaultRowHeight="15" x14ac:dyDescent="0.25"/>
  <cols>
    <col min="1" max="1" width="8" customWidth="1"/>
    <col min="2" max="2" width="54" style="38" customWidth="1"/>
    <col min="3" max="3" width="48" style="38" hidden="1" customWidth="1"/>
    <col min="4" max="4" width="22" style="38" customWidth="1"/>
  </cols>
  <sheetData>
    <row r="1" spans="1:4" x14ac:dyDescent="0.25">
      <c r="A1" s="10" t="s">
        <v>34</v>
      </c>
      <c r="B1" s="31" t="s">
        <v>35</v>
      </c>
      <c r="C1" s="31" t="s">
        <v>36</v>
      </c>
      <c r="D1" s="31" t="s">
        <v>37</v>
      </c>
    </row>
    <row r="2" spans="1:4" ht="38.1" customHeight="1" x14ac:dyDescent="0.25">
      <c r="A2" s="7">
        <v>1</v>
      </c>
      <c r="B2" s="32" t="s">
        <v>38</v>
      </c>
      <c r="C2" s="32" t="e">
        <f>(D8-D9)/D10</f>
        <v>#DIV/0!</v>
      </c>
      <c r="D2" s="33">
        <f>'Depreciation Calculator'!D11</f>
        <v>45000</v>
      </c>
    </row>
    <row r="3" spans="1:4" ht="38.1" customHeight="1" x14ac:dyDescent="0.25">
      <c r="A3" s="7">
        <v>2</v>
      </c>
      <c r="B3" s="32" t="s">
        <v>39</v>
      </c>
      <c r="C3" s="32" t="e">
        <f>Annual depreciation * useful life</f>
        <v>#NAME?</v>
      </c>
      <c r="D3" s="33">
        <f>'Depreciation Calculator'!D13</f>
        <v>450000</v>
      </c>
    </row>
    <row r="4" spans="1:4" ht="38.1" customHeight="1" x14ac:dyDescent="0.25">
      <c r="A4" s="7">
        <v>3</v>
      </c>
      <c r="B4" s="32" t="s">
        <v>40</v>
      </c>
      <c r="C4" s="32" t="e">
        <f>Asset Price - Total depreciation</f>
        <v>#NAME?</v>
      </c>
      <c r="D4" s="34">
        <f>'Depreciation Calculator'!D14</f>
        <v>50000</v>
      </c>
    </row>
    <row r="5" spans="1:4" ht="38.1" customHeight="1" x14ac:dyDescent="0.25">
      <c r="A5" s="7">
        <v>4</v>
      </c>
      <c r="B5" s="32" t="s">
        <v>41</v>
      </c>
      <c r="C5" s="32" t="e">
        <f>1-(Scrap Value/Asset Price)^(1/useful life)</f>
        <v>#NAME?</v>
      </c>
      <c r="D5" s="34">
        <f>'Depreciation Calculator'!D23</f>
        <v>0.20567176527571851</v>
      </c>
    </row>
    <row r="6" spans="1:4" ht="38.1" customHeight="1" x14ac:dyDescent="0.25">
      <c r="A6" s="7">
        <v>5</v>
      </c>
      <c r="B6" s="32" t="s">
        <v>42</v>
      </c>
      <c r="C6" s="32"/>
      <c r="D6" s="33">
        <f>'Depreciation Calculator'!C27</f>
        <v>81685.445122044126</v>
      </c>
    </row>
    <row r="7" spans="1:4" ht="38.1" customHeight="1" x14ac:dyDescent="0.25">
      <c r="A7" s="7">
        <v>6</v>
      </c>
      <c r="B7" s="32" t="s">
        <v>43</v>
      </c>
      <c r="C7" s="32"/>
      <c r="D7" s="33">
        <f>'Depreciation Calculator'!D29</f>
        <v>199053.58527674861</v>
      </c>
    </row>
    <row r="8" spans="1:4" ht="38.1" customHeight="1" x14ac:dyDescent="0.25">
      <c r="A8" s="7">
        <v>7</v>
      </c>
      <c r="B8" s="32" t="s">
        <v>44</v>
      </c>
      <c r="C8" s="32"/>
      <c r="D8" s="33">
        <f>'Depreciation Calculator'!D20-'Depreciation Calculator'!D35</f>
        <v>450000</v>
      </c>
    </row>
    <row r="9" spans="1:4" ht="38.1" customHeight="1" x14ac:dyDescent="0.25">
      <c r="A9" s="7">
        <v>8</v>
      </c>
      <c r="B9" s="32" t="s">
        <v>45</v>
      </c>
      <c r="C9" s="32"/>
      <c r="D9" s="33">
        <f>'Depreciation Calculator'!D35</f>
        <v>49999.999999999993</v>
      </c>
    </row>
    <row r="10" spans="1:4" ht="38.1" customHeight="1" x14ac:dyDescent="0.25">
      <c r="A10" s="7">
        <v>9</v>
      </c>
      <c r="B10" s="32" t="s">
        <v>46</v>
      </c>
      <c r="C10" s="32" t="e">
        <f>Straight-Line Total depreciation - Diminishing Balance Total</f>
        <v>#NAME?</v>
      </c>
      <c r="D10" s="33">
        <f>'Depreciation Calculator'!D13-('Depreciation Calculator'!D20-'Depreciation Calculator'!D35)</f>
        <v>0</v>
      </c>
    </row>
    <row r="11" spans="1:4" ht="38.1" customHeight="1" x14ac:dyDescent="0.25">
      <c r="A11" s="7">
        <v>10</v>
      </c>
      <c r="B11" s="32" t="s">
        <v>47</v>
      </c>
      <c r="C11" s="32" t="s">
        <v>48</v>
      </c>
      <c r="D11" s="32" t="s">
        <v>49</v>
      </c>
    </row>
    <row r="13" spans="1:4" ht="45" x14ac:dyDescent="0.25">
      <c r="A13" s="7" t="s">
        <v>50</v>
      </c>
      <c r="B13" s="35" t="s">
        <v>51</v>
      </c>
      <c r="C13" s="36"/>
      <c r="D13" s="36"/>
    </row>
    <row r="14" spans="1:4" ht="45" customHeight="1" x14ac:dyDescent="0.25">
      <c r="A14" s="7" t="s">
        <v>52</v>
      </c>
      <c r="B14" s="37" t="s">
        <v>53</v>
      </c>
      <c r="C14" s="36"/>
      <c r="D14" s="36"/>
    </row>
  </sheetData>
  <mergeCells count="2">
    <mergeCell ref="B13:D13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Depreciation Calculator</vt:lpstr>
      <vt:lpstr>Advanced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Depreciation Calculator Excel Template;www.ExcelDataPro.com</cp:keywords>
  <cp:lastModifiedBy>Abhijit Raut</cp:lastModifiedBy>
  <cp:lastPrinted>2019-12-30T11:34:18Z</cp:lastPrinted>
  <dcterms:created xsi:type="dcterms:W3CDTF">2019-12-30T10:28:43Z</dcterms:created>
  <dcterms:modified xsi:type="dcterms:W3CDTF">2026-10-25T06:42:39Z</dcterms:modified>
</cp:coreProperties>
</file>